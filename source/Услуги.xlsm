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slicers/slicer2.xml" ContentType="application/vnd.ms-excel.slicer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slicers/slicer3.xml" ContentType="application/vnd.ms-excel.slicer+xml"/>
  <Override PartName="/xl/drawings/drawing4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slicers/slicer4.xml" ContentType="application/vnd.ms-excel.slicer+xml"/>
  <Override PartName="/xl/drawings/drawing5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slicers/slicer5.xml" ContentType="application/vnd.ms-excel.slicer+xml"/>
  <Override PartName="/xl/drawings/drawing6.xml" ContentType="application/vnd.openxmlformats-officedocument.drawing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slicers/slicer6.xml" ContentType="application/vnd.ms-excel.slicer+xml"/>
  <Override PartName="/xl/drawings/drawing7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slicers/slicer7.xml" ContentType="application/vnd.ms-excel.slicer+xml"/>
  <Override PartName="/xl/drawings/drawing8.xml" ContentType="application/vnd.openxmlformats-officedocument.drawing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slicers/slicer8.xml" ContentType="application/vnd.ms-excel.slicer+xml"/>
  <Override PartName="/xl/drawings/drawing9.xml" ContentType="application/vnd.openxmlformats-officedocument.drawing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slicers/slicer9.xml" ContentType="application/vnd.ms-excel.slicer+xml"/>
  <Override PartName="/xl/drawings/drawing10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slicers/slicer10.xml" ContentType="application/vnd.ms-excel.slicer+xml"/>
  <Override PartName="/xl/drawings/drawing11.xml" ContentType="application/vnd.openxmlformats-officedocument.drawing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slicers/slicer11.xml" ContentType="application/vnd.ms-excel.slicer+xml"/>
  <Override PartName="/xl/drawings/drawing12.xml" ContentType="application/vnd.openxmlformats-officedocument.drawing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slicers/slicer1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stomUI2010RelI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social-services-Develop\"/>
    </mc:Choice>
  </mc:AlternateContent>
  <bookViews>
    <workbookView xWindow="0" yWindow="0" windowWidth="20400" windowHeight="7155" firstSheet="6" activeTab="6"/>
  </bookViews>
  <sheets>
    <sheet name="СписокУслуг" sheetId="1" state="hidden" r:id="rId1"/>
    <sheet name="СоцРаботники" sheetId="2" state="hidden" r:id="rId2"/>
    <sheet name="СписокУчета" sheetId="3" state="hidden" r:id="rId3"/>
    <sheet name="Месяцы" sheetId="4" state="hidden" r:id="rId4"/>
    <sheet name="ЦветПлатной" sheetId="20" state="hidden" r:id="rId5"/>
    <sheet name="СчетУслуг" sheetId="23" state="hidden" r:id="rId6"/>
    <sheet name="Главная" sheetId="5" r:id="rId7"/>
    <sheet name="Январь" sheetId="6" r:id="rId8"/>
    <sheet name="Февраль" sheetId="8" r:id="rId9"/>
    <sheet name="Март" sheetId="22" r:id="rId10"/>
    <sheet name="Апрель" sheetId="24" r:id="rId11"/>
    <sheet name="Май" sheetId="26" r:id="rId12"/>
    <sheet name="Июнь" sheetId="27" r:id="rId13"/>
    <sheet name="Июль" sheetId="14" r:id="rId14"/>
    <sheet name="Август" sheetId="28" r:id="rId15"/>
    <sheet name="Сентябрь" sheetId="16" r:id="rId16"/>
    <sheet name="Октябрь" sheetId="17" r:id="rId17"/>
    <sheet name="Ноябрь" sheetId="18" r:id="rId18"/>
    <sheet name="Декабрь" sheetId="19" r:id="rId19"/>
  </sheets>
  <functionGroups builtInGroupCount="18"/>
  <definedNames>
    <definedName name="Месяц">OFFSET(Месяцы!$A$2,0,0,COUNTIF(Месяцы!$A:$A,"*")-1,1)</definedName>
    <definedName name="СоцРаботник">OFFSET(СоцРаботники!$A$2,0,0,COUNTIF(СоцРаботники!$A:$A,"*")-1,1)</definedName>
    <definedName name="Срез_Признак_учета">#N/A</definedName>
    <definedName name="Срез_Признак_учета1">#N/A</definedName>
    <definedName name="Срез_Признак_учета11">#N/A</definedName>
    <definedName name="Срез_Признак_учета111">#N/A</definedName>
    <definedName name="Срез_Признак_учета1111">#N/A</definedName>
    <definedName name="Срез_Признак_учета11111">#N/A</definedName>
    <definedName name="Срез_Признак_учета1114">#N/A</definedName>
    <definedName name="Срез_Признак_учета11141">#N/A</definedName>
    <definedName name="Срез_Признак_учета1116">#N/A</definedName>
    <definedName name="Срез_Признак_учета1117">#N/A</definedName>
    <definedName name="Срез_Признак_учета1118">#N/A</definedName>
    <definedName name="Срез_Признак_учета1119">#N/A</definedName>
    <definedName name="Срез_Соц._Работник">#N/A</definedName>
    <definedName name="Срез_Соц._Работник1">#N/A</definedName>
    <definedName name="Срез_Соц._Работник11">#N/A</definedName>
    <definedName name="Срез_Соц._Работник111">#N/A</definedName>
    <definedName name="Срез_Соц._Работник1111">#N/A</definedName>
    <definedName name="Срез_Соц._Работник11111">#N/A</definedName>
    <definedName name="Срез_Соц._Работник1114">#N/A</definedName>
    <definedName name="Срез_Соц._Работник11141">#N/A</definedName>
    <definedName name="Срез_Соц._Работник1116">#N/A</definedName>
    <definedName name="Срез_Соц._Работник1117">#N/A</definedName>
    <definedName name="Срез_Соц._Работник1118">#N/A</definedName>
    <definedName name="Срез_Соц._Работник1119">#N/A</definedName>
    <definedName name="СчетУслуги">OFFSET(СчетУслуг!$A$2,0,0,COUNTIF(СчетУслуг!$A:$A,"*")-1,1)</definedName>
    <definedName name="ТипУслуги">OFFSET(СписокУслуг!$F$2,0,0,COUNTIF(СписокУслуг!$F:$F,"*")-1,1)</definedName>
    <definedName name="Услуга">OFFSET(СписокУслуг!$A$2,0,0,COUNTIF(СписокУслуг!$A:$A,"*")-1,1)</definedName>
    <definedName name="Учет">OFFSET(СписокУчета!$A$2,0,0,COUNTIF(СписокУчета!$A:$A,"*")-1,1)</definedName>
  </definedNames>
  <calcPr calcId="152511"/>
  <extLst>
    <ext xmlns:x14="http://schemas.microsoft.com/office/spreadsheetml/2009/9/main" uri="{8193D73E-4604-4355-AFF4-8A2333D13BE4}">
      <x14:definedNames>
        <x14:definedName name="SummSocialType">
          <x14:argumentDescriptions count="5">
            <x14:argumentDescription index="0">- диапазон суммирования</x14:argumentDescription>
            <x14:argumentDescription index="1">- динамический или именованный диапазон категорий</x14:argumentDescription>
            <x14:argumentDescription index="2">- текущий тип</x14:argumentDescription>
            <x14:argumentDescription index="3">- цвет выборки платной слуги</x14:argumentDescription>
            <x14:argumentDescription index="4">- 1 платно и 0 бесплатно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15" i="14" l="1"/>
  <c r="AC16" i="16"/>
  <c r="D12" i="8"/>
  <c r="D12" i="16"/>
  <c r="D12" i="26"/>
  <c r="D12" i="6"/>
  <c r="D12" i="18"/>
  <c r="D12" i="22"/>
  <c r="D12" i="27"/>
  <c r="D12" i="17"/>
  <c r="D12" i="14"/>
  <c r="D12" i="28"/>
  <c r="D12" i="19"/>
  <c r="D12" i="24"/>
  <c r="E12" i="8" l="1"/>
  <c r="E12" i="18"/>
  <c r="E12" i="14"/>
  <c r="E12" i="17"/>
  <c r="E12" i="24"/>
  <c r="E12" i="26"/>
  <c r="E12" i="6"/>
  <c r="E12" i="28"/>
  <c r="E12" i="16"/>
  <c r="E12" i="19"/>
  <c r="E12" i="22"/>
  <c r="E12" i="27"/>
</calcChain>
</file>

<file path=xl/sharedStrings.xml><?xml version="1.0" encoding="utf-8"?>
<sst xmlns="http://schemas.openxmlformats.org/spreadsheetml/2006/main" count="787" uniqueCount="77">
  <si>
    <t>Услуги</t>
  </si>
  <si>
    <t>покупка продуктов</t>
  </si>
  <si>
    <t>помощь в приготовлении пищи</t>
  </si>
  <si>
    <t>кормление</t>
  </si>
  <si>
    <t>оплата коммунальныхи услуг и связи</t>
  </si>
  <si>
    <t>вынос мусора</t>
  </si>
  <si>
    <t>смена штор</t>
  </si>
  <si>
    <t>уборка б/у</t>
  </si>
  <si>
    <t>уборка с/у</t>
  </si>
  <si>
    <t>помывка в ванной</t>
  </si>
  <si>
    <t>смена постельного белья</t>
  </si>
  <si>
    <t>смена нательного белья</t>
  </si>
  <si>
    <t>обработка ногтей</t>
  </si>
  <si>
    <t>оказание помощи при стирке вещей</t>
  </si>
  <si>
    <t>стирка вещей</t>
  </si>
  <si>
    <t>доставка воды</t>
  </si>
  <si>
    <t>покупка топлива, топка печей</t>
  </si>
  <si>
    <t>сод-е в получении услуг в пр.торговли, КБО</t>
  </si>
  <si>
    <t>сод-е в организации ритуальных услуг</t>
  </si>
  <si>
    <t>присмотр за детьми</t>
  </si>
  <si>
    <t>письма</t>
  </si>
  <si>
    <t>снег</t>
  </si>
  <si>
    <t>вып. процедур, связанных с сохранением здоровья</t>
  </si>
  <si>
    <t>покупка лекарств, выписка рецептов</t>
  </si>
  <si>
    <t>сиделка</t>
  </si>
  <si>
    <t>сод-е в госпитализации</t>
  </si>
  <si>
    <t>сод-е сан-кур. лечение</t>
  </si>
  <si>
    <t>содействие в получ. тех. средств</t>
  </si>
  <si>
    <t>сод-е в провед. мед. обслед. (запись)</t>
  </si>
  <si>
    <t>консультирование по соц-мед.вопросам</t>
  </si>
  <si>
    <t>сод-е в прохождении МСЭ</t>
  </si>
  <si>
    <t>вызов врача на дом по телефону</t>
  </si>
  <si>
    <t>беседа</t>
  </si>
  <si>
    <t>соц-пед.услуги</t>
  </si>
  <si>
    <t>оказание помощи в оформлении документов</t>
  </si>
  <si>
    <t>помощь в получении юр.услуг</t>
  </si>
  <si>
    <t>Соц. Работники</t>
  </si>
  <si>
    <t>Признак учета</t>
  </si>
  <si>
    <t>На учете</t>
  </si>
  <si>
    <t>Снят с учета</t>
  </si>
  <si>
    <t>Месяцы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</si>
  <si>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</si>
  <si>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</si>
  <si>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</si>
  <si>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</si>
  <si>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</si>
  <si>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</si>
  <si>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</si>
  <si>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</si>
  <si>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</si>
  <si>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</si>
  <si>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</si>
  <si>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</si>
  <si>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Управление</t>
  </si>
  <si>
    <t>Переходы по страницам (все названия кликабельны).</t>
  </si>
  <si>
    <t>Данные</t>
  </si>
  <si>
    <t>б/пл.</t>
  </si>
  <si>
    <t>пл.</t>
  </si>
  <si>
    <t>Соц-бытовые</t>
  </si>
  <si>
    <t>Соц-медицинские</t>
  </si>
  <si>
    <t>Соц-психологические</t>
  </si>
  <si>
    <t>Соц-педагогические</t>
  </si>
  <si>
    <t>Соц-правовые</t>
  </si>
  <si>
    <t>Соц. Работник</t>
  </si>
  <si>
    <t>Получатели ФИО</t>
  </si>
  <si>
    <t>Итого</t>
  </si>
  <si>
    <t>Среднее кол-во услуг на 1 получ. Усл.</t>
  </si>
  <si>
    <t>Тип услуги</t>
  </si>
  <si>
    <t>Категории услуг</t>
  </si>
  <si>
    <t>Выбор цвета для платной услуги</t>
  </si>
  <si>
    <t>Выбор цвета</t>
  </si>
  <si>
    <t>Платно</t>
  </si>
  <si>
    <t>Бесплатно</t>
  </si>
  <si>
    <t>Тип счета</t>
  </si>
  <si>
    <t>Тип Счета</t>
  </si>
  <si>
    <t>ФИО Соц. работника</t>
  </si>
  <si>
    <t>ФИО Получателя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</si>
</sst>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;[Red]0.000"/>
    <numFmt numFmtId="165" formatCode="0;[Red]0"/>
  </numFmts>
  <fonts count="11" x14ac:knownFonts="1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20"/>
      <color rgb="FFFF000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20"/>
      <color rgb="FFFF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u/>
      <sz val="14"/>
      <color theme="10"/>
      <name val="Times New Roman"/>
      <family val="1"/>
      <charset val="204"/>
    </font>
    <font>
      <b/>
      <sz val="14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2" fillId="0" borderId="1" xfId="0" applyFont="1" applyBorder="1"/>
    <xf numFmtId="0" fontId="5" fillId="0" borderId="0" xfId="0" applyFont="1"/>
    <xf numFmtId="0" fontId="5" fillId="0" borderId="0" xfId="0" applyFont="1" applyAlignment="1">
      <alignment horizontal="center" vertical="center" wrapText="1" shrinkToFit="1"/>
    </xf>
    <xf numFmtId="0" fontId="6" fillId="0" borderId="0" xfId="0" applyFont="1"/>
    <xf numFmtId="0" fontId="9" fillId="2" borderId="4" xfId="1" applyFont="1" applyFill="1" applyBorder="1" applyAlignment="1">
      <alignment horizontal="center" vertical="center"/>
    </xf>
    <xf numFmtId="0" fontId="9" fillId="2" borderId="2" xfId="1" applyFont="1" applyFill="1" applyBorder="1" applyAlignment="1">
      <alignment horizontal="center" vertical="center"/>
    </xf>
    <xf numFmtId="0" fontId="9" fillId="2" borderId="10" xfId="1" applyFont="1" applyFill="1" applyBorder="1" applyAlignment="1">
      <alignment horizontal="center" vertical="center"/>
    </xf>
    <xf numFmtId="0" fontId="9" fillId="3" borderId="2" xfId="1" applyFont="1" applyFill="1" applyBorder="1" applyAlignment="1">
      <alignment horizontal="center" vertical="center"/>
    </xf>
    <xf numFmtId="0" fontId="9" fillId="3" borderId="6" xfId="1" applyFont="1" applyFill="1" applyBorder="1" applyAlignment="1">
      <alignment horizontal="center" vertical="center"/>
    </xf>
    <xf numFmtId="0" fontId="9" fillId="3" borderId="5" xfId="1" applyFont="1" applyFill="1" applyBorder="1" applyAlignment="1">
      <alignment horizontal="center" vertical="center"/>
    </xf>
    <xf numFmtId="0" fontId="9" fillId="4" borderId="3" xfId="1" applyFont="1" applyFill="1" applyBorder="1" applyAlignment="1">
      <alignment horizontal="center" vertical="center"/>
    </xf>
    <xf numFmtId="0" fontId="9" fillId="4" borderId="7" xfId="1" applyFont="1" applyFill="1" applyBorder="1" applyAlignment="1">
      <alignment horizontal="center" vertical="center"/>
    </xf>
    <xf numFmtId="0" fontId="9" fillId="5" borderId="8" xfId="1" applyFont="1" applyFill="1" applyBorder="1" applyAlignment="1">
      <alignment horizontal="center" vertical="center"/>
    </xf>
    <xf numFmtId="0" fontId="9" fillId="5" borderId="9" xfId="1" applyFont="1" applyFill="1" applyBorder="1" applyAlignment="1">
      <alignment horizontal="center" vertical="center"/>
    </xf>
    <xf numFmtId="0" fontId="10" fillId="0" borderId="0" xfId="0" applyFont="1"/>
    <xf numFmtId="0" fontId="2" fillId="0" borderId="11" xfId="0" applyFont="1" applyBorder="1"/>
    <xf numFmtId="0" fontId="1" fillId="0" borderId="0" xfId="0" applyFont="1" applyAlignment="1">
      <alignment horizontal="center" wrapText="1" shrinkToFit="1"/>
    </xf>
    <xf numFmtId="0" fontId="1" fillId="0" borderId="0" xfId="0" applyFont="1" applyAlignment="1">
      <alignment horizontal="center" textRotation="90" wrapText="1" shrinkToFit="1"/>
    </xf>
    <xf numFmtId="0" fontId="1" fillId="0" borderId="0" xfId="0" applyFont="1" applyAlignment="1">
      <alignment horizontal="left" wrapText="1" shrinkToFit="1"/>
    </xf>
    <xf numFmtId="0" fontId="1" fillId="6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6" borderId="0" xfId="0" applyFont="1" applyFill="1" applyAlignment="1">
      <alignment horizontal="center" vertical="center"/>
    </xf>
    <xf numFmtId="0" fontId="1" fillId="0" borderId="0" xfId="0" applyFont="1" applyAlignment="1">
      <alignment horizontal="left"/>
    </xf>
    <xf numFmtId="164" fontId="1" fillId="6" borderId="0" xfId="0" applyNumberFormat="1" applyFont="1" applyFill="1" applyAlignment="1">
      <alignment horizontal="center" vertical="center"/>
    </xf>
    <xf numFmtId="0" fontId="0" fillId="0" borderId="0" xfId="0" applyFill="1"/>
    <xf numFmtId="0" fontId="1" fillId="7" borderId="0" xfId="0" applyFont="1" applyFill="1"/>
    <xf numFmtId="0" fontId="1" fillId="0" borderId="0" xfId="0" applyFont="1" applyFill="1"/>
    <xf numFmtId="0" fontId="4" fillId="0" borderId="0" xfId="0" applyFont="1" applyAlignment="1">
      <alignment horizontal="centerContinuous" wrapText="1" shrinkToFit="1"/>
    </xf>
    <xf numFmtId="164" fontId="7" fillId="6" borderId="0" xfId="0" applyNumberFormat="1" applyFont="1" applyFill="1" applyAlignment="1">
      <alignment horizontal="center"/>
    </xf>
    <xf numFmtId="0" fontId="10" fillId="0" borderId="0" xfId="0" applyFont="1" applyBorder="1"/>
    <xf numFmtId="0" fontId="1" fillId="0" borderId="0" xfId="0" applyFont="1" applyBorder="1"/>
    <xf numFmtId="0" fontId="2" fillId="0" borderId="0" xfId="0" applyFont="1"/>
    <xf numFmtId="165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165" fontId="1" fillId="0" borderId="0" xfId="0" applyNumberFormat="1" applyFont="1" applyFill="1"/>
    <xf numFmtId="0" fontId="3" fillId="0" borderId="0" xfId="0" applyFont="1" applyAlignment="1">
      <alignment horizontal="center" vertical="center" wrapText="1" shrinkToFit="1"/>
    </xf>
    <xf numFmtId="0" fontId="4" fillId="0" borderId="0" xfId="0" applyFont="1" applyAlignment="1">
      <alignment horizontal="center" vertical="center" wrapText="1" shrinkToFit="1"/>
    </xf>
  </cellXfs>
  <cellStyles count="2">
    <cellStyle name="Гиперссылка" xfId="1" builtinId="8"/>
    <cellStyle name="Обычный" xfId="0" builtinId="0"/>
  </cellStyles>
  <dxfs count="943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5" formatCode="0;[Red]0"/>
    </dxf>
    <dxf>
      <fill>
        <patternFill patternType="none">
          <fgColor indexed="64"/>
          <bgColor indexed="65"/>
        </patternFill>
      </fill>
    </dxf>
    <dxf>
      <numFmt numFmtId="164" formatCode="0.000;[Red]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numFmt numFmtId="165" formatCode="0;[Red]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5" formatCode="0;[Red]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4"/>
        <color theme="10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4"/>
        <color theme="10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4"/>
        <color theme="10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4"/>
        <color theme="10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/>
        <vertAlign val="baseline"/>
        <sz val="14"/>
        <color theme="10"/>
        <name val="Times New Roman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4"/>
        <color theme="10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solid">
          <fgColor theme="4" tint="0.79995117038483843"/>
          <bgColor theme="9" tint="0.59996337778862885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1"/>
      </font>
      <fill>
        <patternFill>
          <bgColor theme="5" tint="0.79998168889431442"/>
        </patternFill>
      </fill>
      <border>
        <bottom style="medium">
          <color theme="4"/>
        </bottom>
      </border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</dxfs>
  <tableStyles count="1" defaultTableStyle="TableStyleMedium2" defaultPivotStyle="PivotStyleLight16">
    <tableStyle name="Social" pivot="0" count="7">
      <tableStyleElement type="wholeTable" dxfId="942"/>
      <tableStyleElement type="headerRow" dxfId="941"/>
      <tableStyleElement type="totalRow" dxfId="940"/>
      <tableStyleElement type="firstColumn" dxfId="939"/>
      <tableStyleElement type="lastColumn" dxfId="938"/>
      <tableStyleElement type="firstRowStripe" dxfId="937"/>
      <tableStyleElement type="firstColumnStripe" dxfId="93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7.xml"/><Relationship Id="rId39" Type="http://schemas.microsoft.com/office/2007/relationships/slicerCache" Target="slicerCaches/slicerCache20.xml"/><Relationship Id="rId21" Type="http://schemas.microsoft.com/office/2007/relationships/slicerCache" Target="slicerCaches/slicerCache2.xml"/><Relationship Id="rId34" Type="http://schemas.microsoft.com/office/2007/relationships/slicerCache" Target="slicerCaches/slicerCache15.xml"/><Relationship Id="rId42" Type="http://schemas.microsoft.com/office/2007/relationships/slicerCache" Target="slicerCaches/slicerCache23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10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32" Type="http://schemas.microsoft.com/office/2007/relationships/slicerCache" Target="slicerCaches/slicerCache13.xml"/><Relationship Id="rId37" Type="http://schemas.microsoft.com/office/2007/relationships/slicerCache" Target="slicerCaches/slicerCache18.xml"/><Relationship Id="rId40" Type="http://schemas.microsoft.com/office/2007/relationships/slicerCache" Target="slicerCaches/slicerCache21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4.xml"/><Relationship Id="rId28" Type="http://schemas.microsoft.com/office/2007/relationships/slicerCache" Target="slicerCaches/slicerCache9.xml"/><Relationship Id="rId36" Type="http://schemas.microsoft.com/office/2007/relationships/slicerCache" Target="slicerCaches/slicerCache17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12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microsoft.com/office/2007/relationships/slicerCache" Target="slicerCaches/slicerCache8.xml"/><Relationship Id="rId30" Type="http://schemas.microsoft.com/office/2007/relationships/slicerCache" Target="slicerCaches/slicerCache11.xml"/><Relationship Id="rId35" Type="http://schemas.microsoft.com/office/2007/relationships/slicerCache" Target="slicerCaches/slicerCache16.xml"/><Relationship Id="rId43" Type="http://schemas.microsoft.com/office/2007/relationships/slicerCache" Target="slicerCaches/slicerCache24.xml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6.xml"/><Relationship Id="rId33" Type="http://schemas.microsoft.com/office/2007/relationships/slicerCache" Target="slicerCaches/slicerCache14.xml"/><Relationship Id="rId38" Type="http://schemas.microsoft.com/office/2007/relationships/slicerCache" Target="slicerCaches/slicerCache19.xml"/><Relationship Id="rId46" Type="http://schemas.openxmlformats.org/officeDocument/2006/relationships/sharedStrings" Target="sharedStrings.xml"/><Relationship Id="rId20" Type="http://schemas.microsoft.com/office/2007/relationships/slicerCache" Target="slicerCaches/slicerCache1.xml"/><Relationship Id="rId41" Type="http://schemas.microsoft.com/office/2007/relationships/slicerCache" Target="slicerCaches/slicerCache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45475</xdr:colOff>
      <xdr:row>1</xdr:row>
      <xdr:rowOff>79</xdr:rowOff>
    </xdr:from>
    <xdr:to>
      <xdr:col>9</xdr:col>
      <xdr:colOff>17364</xdr:colOff>
      <xdr:row>9</xdr:row>
      <xdr:rowOff>11906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71999" y="328613"/>
              <a:ext cx="2238375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11</xdr:col>
      <xdr:colOff>15972</xdr:colOff>
      <xdr:row>1</xdr:row>
      <xdr:rowOff>79</xdr:rowOff>
    </xdr:from>
    <xdr:to>
      <xdr:col>16</xdr:col>
      <xdr:colOff>79161</xdr:colOff>
      <xdr:row>9</xdr:row>
      <xdr:rowOff>11906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58063" y="328613"/>
              <a:ext cx="1797843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391872</xdr:colOff>
      <xdr:row>1</xdr:row>
      <xdr:rowOff>7144</xdr:rowOff>
    </xdr:from>
    <xdr:to>
      <xdr:col>10</xdr:col>
      <xdr:colOff>233020</xdr:colOff>
      <xdr:row>9</xdr:row>
      <xdr:rowOff>23812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83905" y="340519"/>
              <a:ext cx="2238375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224305</xdr:colOff>
      <xdr:row>1</xdr:row>
      <xdr:rowOff>7144</xdr:rowOff>
    </xdr:from>
    <xdr:to>
      <xdr:col>17</xdr:col>
      <xdr:colOff>285951</xdr:colOff>
      <xdr:row>9</xdr:row>
      <xdr:rowOff>23812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46157" y="340519"/>
              <a:ext cx="1797843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294907</xdr:colOff>
      <xdr:row>0</xdr:row>
      <xdr:rowOff>289754</xdr:rowOff>
    </xdr:from>
    <xdr:to>
      <xdr:col>10</xdr:col>
      <xdr:colOff>131487</xdr:colOff>
      <xdr:row>8</xdr:row>
      <xdr:rowOff>170350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77273" y="289754"/>
              <a:ext cx="2248972" cy="17437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230874</xdr:colOff>
      <xdr:row>1</xdr:row>
      <xdr:rowOff>7144</xdr:rowOff>
    </xdr:from>
    <xdr:to>
      <xdr:col>17</xdr:col>
      <xdr:colOff>289488</xdr:colOff>
      <xdr:row>9</xdr:row>
      <xdr:rowOff>23812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51391" y="342089"/>
              <a:ext cx="1794571" cy="17437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241396</xdr:colOff>
      <xdr:row>0</xdr:row>
      <xdr:rowOff>289754</xdr:rowOff>
    </xdr:from>
    <xdr:to>
      <xdr:col>10</xdr:col>
      <xdr:colOff>24465</xdr:colOff>
      <xdr:row>8</xdr:row>
      <xdr:rowOff>170350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80021" y="289754"/>
              <a:ext cx="2235757" cy="1761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102447</xdr:colOff>
      <xdr:row>1</xdr:row>
      <xdr:rowOff>7144</xdr:rowOff>
    </xdr:from>
    <xdr:to>
      <xdr:col>17</xdr:col>
      <xdr:colOff>107549</xdr:colOff>
      <xdr:row>9</xdr:row>
      <xdr:rowOff>23812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41447" y="340519"/>
              <a:ext cx="1779133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241396</xdr:colOff>
      <xdr:row>0</xdr:row>
      <xdr:rowOff>289754</xdr:rowOff>
    </xdr:from>
    <xdr:to>
      <xdr:col>10</xdr:col>
      <xdr:colOff>24465</xdr:colOff>
      <xdr:row>8</xdr:row>
      <xdr:rowOff>170350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80021" y="289754"/>
              <a:ext cx="2235757" cy="1761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102447</xdr:colOff>
      <xdr:row>1</xdr:row>
      <xdr:rowOff>7144</xdr:rowOff>
    </xdr:from>
    <xdr:to>
      <xdr:col>17</xdr:col>
      <xdr:colOff>107549</xdr:colOff>
      <xdr:row>9</xdr:row>
      <xdr:rowOff>23812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41447" y="340519"/>
              <a:ext cx="1779133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281083</xdr:colOff>
      <xdr:row>0</xdr:row>
      <xdr:rowOff>289754</xdr:rowOff>
    </xdr:from>
    <xdr:to>
      <xdr:col>10</xdr:col>
      <xdr:colOff>187184</xdr:colOff>
      <xdr:row>8</xdr:row>
      <xdr:rowOff>170350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80021" y="289754"/>
              <a:ext cx="2235757" cy="1761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13</xdr:col>
      <xdr:colOff>66728</xdr:colOff>
      <xdr:row>1</xdr:row>
      <xdr:rowOff>7144</xdr:rowOff>
    </xdr:from>
    <xdr:to>
      <xdr:col>19</xdr:col>
      <xdr:colOff>392</xdr:colOff>
      <xdr:row>9</xdr:row>
      <xdr:rowOff>23812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41447" y="340519"/>
              <a:ext cx="1779133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273197</xdr:colOff>
      <xdr:row>1</xdr:row>
      <xdr:rowOff>7144</xdr:rowOff>
    </xdr:from>
    <xdr:to>
      <xdr:col>10</xdr:col>
      <xdr:colOff>236687</xdr:colOff>
      <xdr:row>9</xdr:row>
      <xdr:rowOff>23812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83905" y="340519"/>
              <a:ext cx="2238375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229519</xdr:colOff>
      <xdr:row>1</xdr:row>
      <xdr:rowOff>7144</xdr:rowOff>
    </xdr:from>
    <xdr:to>
      <xdr:col>18</xdr:col>
      <xdr:colOff>138133</xdr:colOff>
      <xdr:row>9</xdr:row>
      <xdr:rowOff>23812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46157" y="340519"/>
              <a:ext cx="1797843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238528</xdr:colOff>
      <xdr:row>1</xdr:row>
      <xdr:rowOff>7144</xdr:rowOff>
    </xdr:from>
    <xdr:to>
      <xdr:col>10</xdr:col>
      <xdr:colOff>230954</xdr:colOff>
      <xdr:row>9</xdr:row>
      <xdr:rowOff>23812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1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1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85200" y="338914"/>
              <a:ext cx="2256046" cy="17718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232424</xdr:colOff>
      <xdr:row>1</xdr:row>
      <xdr:rowOff>7144</xdr:rowOff>
    </xdr:from>
    <xdr:to>
      <xdr:col>18</xdr:col>
      <xdr:colOff>200989</xdr:colOff>
      <xdr:row>9</xdr:row>
      <xdr:rowOff>23812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1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1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93002" y="338914"/>
              <a:ext cx="1793413" cy="17718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339685</xdr:colOff>
      <xdr:row>1</xdr:row>
      <xdr:rowOff>7144</xdr:rowOff>
    </xdr:from>
    <xdr:to>
      <xdr:col>11</xdr:col>
      <xdr:colOff>34427</xdr:colOff>
      <xdr:row>9</xdr:row>
      <xdr:rowOff>23812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9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9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83905" y="340519"/>
              <a:ext cx="2238375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13</xdr:col>
      <xdr:colOff>9755</xdr:colOff>
      <xdr:row>1</xdr:row>
      <xdr:rowOff>7144</xdr:rowOff>
    </xdr:from>
    <xdr:to>
      <xdr:col>18</xdr:col>
      <xdr:colOff>232961</xdr:colOff>
      <xdr:row>9</xdr:row>
      <xdr:rowOff>23812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9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9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46157" y="340519"/>
              <a:ext cx="1797843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359513</xdr:colOff>
      <xdr:row>1</xdr:row>
      <xdr:rowOff>7144</xdr:rowOff>
    </xdr:from>
    <xdr:to>
      <xdr:col>11</xdr:col>
      <xdr:colOff>93515</xdr:colOff>
      <xdr:row>9</xdr:row>
      <xdr:rowOff>23812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10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10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83905" y="340519"/>
              <a:ext cx="2238375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13</xdr:col>
      <xdr:colOff>89685</xdr:colOff>
      <xdr:row>1</xdr:row>
      <xdr:rowOff>7144</xdr:rowOff>
    </xdr:from>
    <xdr:to>
      <xdr:col>19</xdr:col>
      <xdr:colOff>72579</xdr:colOff>
      <xdr:row>9</xdr:row>
      <xdr:rowOff>23812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10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10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46157" y="340519"/>
              <a:ext cx="1797843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301487</xdr:colOff>
      <xdr:row>0</xdr:row>
      <xdr:rowOff>0</xdr:rowOff>
    </xdr:from>
    <xdr:to>
      <xdr:col>11</xdr:col>
      <xdr:colOff>15737</xdr:colOff>
      <xdr:row>7</xdr:row>
      <xdr:rowOff>82358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1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1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47256" y="0"/>
              <a:ext cx="2245518" cy="17492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13</xdr:col>
      <xdr:colOff>35719</xdr:colOff>
      <xdr:row>1</xdr:row>
      <xdr:rowOff>7144</xdr:rowOff>
    </xdr:from>
    <xdr:to>
      <xdr:col>18</xdr:col>
      <xdr:colOff>261937</xdr:colOff>
      <xdr:row>9</xdr:row>
      <xdr:rowOff>23812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1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1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46157" y="340519"/>
              <a:ext cx="1797843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353784</xdr:colOff>
      <xdr:row>1</xdr:row>
      <xdr:rowOff>7144</xdr:rowOff>
    </xdr:from>
    <xdr:to>
      <xdr:col>11</xdr:col>
      <xdr:colOff>60614</xdr:colOff>
      <xdr:row>9</xdr:row>
      <xdr:rowOff>23812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1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1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83905" y="340519"/>
              <a:ext cx="2238375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13</xdr:col>
      <xdr:colOff>33402</xdr:colOff>
      <xdr:row>1</xdr:row>
      <xdr:rowOff>7144</xdr:rowOff>
    </xdr:from>
    <xdr:to>
      <xdr:col>18</xdr:col>
      <xdr:colOff>47008</xdr:colOff>
      <xdr:row>9</xdr:row>
      <xdr:rowOff>23812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1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1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46157" y="340519"/>
              <a:ext cx="1797843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" sourceName="Соц. Работник">
  <extLst>
    <x:ext xmlns:x15="http://schemas.microsoft.com/office/spreadsheetml/2010/11/main" uri="{2F2917AC-EB37-4324-AD4E-5DD8C200BD13}">
      <x15:tableSlicerCache tableId="2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" sourceName="Признак учета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" sourceName="Соц. Работник">
  <extLst>
    <x:ext xmlns:x15="http://schemas.microsoft.com/office/spreadsheetml/2010/11/main" uri="{2F2917AC-EB37-4324-AD4E-5DD8C200BD13}">
      <x15:tableSlicerCache tableId="4" column="1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" sourceName="Признак учета">
  <extLst>
    <x:ext xmlns:x15="http://schemas.microsoft.com/office/spreadsheetml/2010/11/main" uri="{2F2917AC-EB37-4324-AD4E-5DD8C200BD13}">
      <x15:tableSlicerCache tableId="4" column="3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4" sourceName="Соц. Работник">
  <extLst>
    <x:ext xmlns:x15="http://schemas.microsoft.com/office/spreadsheetml/2010/11/main" uri="{2F2917AC-EB37-4324-AD4E-5DD8C200BD13}">
      <x15:tableSlicerCache tableId="16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4" sourceName="Признак учета">
  <extLst>
    <x:ext xmlns:x15="http://schemas.microsoft.com/office/spreadsheetml/2010/11/main" uri="{2F2917AC-EB37-4324-AD4E-5DD8C200BD13}">
      <x15:tableSlicerCache tableId="16" column="3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6" sourceName="Соц. Работник">
  <extLst>
    <x:ext xmlns:x15="http://schemas.microsoft.com/office/spreadsheetml/2010/11/main" uri="{2F2917AC-EB37-4324-AD4E-5DD8C200BD13}">
      <x15:tableSlicerCache tableId="20" column="1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6" sourceName="Признак учета">
  <extLst>
    <x:ext xmlns:x15="http://schemas.microsoft.com/office/spreadsheetml/2010/11/main" uri="{2F2917AC-EB37-4324-AD4E-5DD8C200BD13}">
      <x15:tableSlicerCache tableId="20" column="3"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7" sourceName="Соц. Работник">
  <extLst>
    <x:ext xmlns:x15="http://schemas.microsoft.com/office/spreadsheetml/2010/11/main" uri="{2F2917AC-EB37-4324-AD4E-5DD8C200BD13}">
      <x15:tableSlicerCache tableId="22" column="1"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7" sourceName="Признак учета">
  <extLst>
    <x:ext xmlns:x15="http://schemas.microsoft.com/office/spreadsheetml/2010/11/main" uri="{2F2917AC-EB37-4324-AD4E-5DD8C200BD13}">
      <x15:tableSlicerCache tableId="22" column="3"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8" sourceName="Соц. Работник">
  <extLst>
    <x:ext xmlns:x15="http://schemas.microsoft.com/office/spreadsheetml/2010/11/main" uri="{2F2917AC-EB37-4324-AD4E-5DD8C200BD13}">
      <x15:tableSlicerCache tableId="24" column="1"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8" sourceName="Признак учета">
  <extLst>
    <x:ext xmlns:x15="http://schemas.microsoft.com/office/spreadsheetml/2010/11/main" uri="{2F2917AC-EB37-4324-AD4E-5DD8C200BD13}">
      <x15:tableSlicerCache tableId="24" column="3"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9" sourceName="Соц. Работник">
  <extLst>
    <x:ext xmlns:x15="http://schemas.microsoft.com/office/spreadsheetml/2010/11/main" uri="{2F2917AC-EB37-4324-AD4E-5DD8C200BD13}">
      <x15:tableSlicerCache tableId="26" column="1"/>
    </x:ext>
  </extLst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9" sourceName="Признак учета">
  <extLst>
    <x:ext xmlns:x15="http://schemas.microsoft.com/office/spreadsheetml/2010/11/main" uri="{2F2917AC-EB37-4324-AD4E-5DD8C200BD13}">
      <x15:tableSlicerCache tableId="26" column="3"/>
    </x:ext>
  </extLst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" sourceName="Соц. Работник">
  <extLst>
    <x:ext xmlns:x15="http://schemas.microsoft.com/office/spreadsheetml/2010/11/main" uri="{2F2917AC-EB37-4324-AD4E-5DD8C200BD13}">
      <x15:tableSlicerCache tableId="6" column="1"/>
    </x:ext>
  </extLst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" sourceName="Признак учета">
  <extLst>
    <x:ext xmlns:x15="http://schemas.microsoft.com/office/spreadsheetml/2010/11/main" uri="{2F2917AC-EB37-4324-AD4E-5DD8C200BD13}">
      <x15:tableSlicerCache tableId="6" column="3"/>
    </x:ext>
  </extLst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" sourceName="Соц. Работник">
  <extLst>
    <x:ext xmlns:x15="http://schemas.microsoft.com/office/spreadsheetml/2010/11/main" uri="{2F2917AC-EB37-4324-AD4E-5DD8C200BD13}">
      <x15:tableSlicerCache tableId="40" column="1"/>
    </x:ext>
  </extLst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" sourceName="Признак учета">
  <extLst>
    <x:ext xmlns:x15="http://schemas.microsoft.com/office/spreadsheetml/2010/11/main" uri="{2F2917AC-EB37-4324-AD4E-5DD8C200BD13}">
      <x15:tableSlicerCache tableId="40" column="3"/>
    </x:ext>
  </extLst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1" sourceName="Соц. Работник">
  <extLst>
    <x:ext xmlns:x15="http://schemas.microsoft.com/office/spreadsheetml/2010/11/main" uri="{2F2917AC-EB37-4324-AD4E-5DD8C200BD13}">
      <x15:tableSlicerCache tableId="43" column="1"/>
    </x:ext>
  </extLst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1" sourceName="Признак учета">
  <extLst>
    <x:ext xmlns:x15="http://schemas.microsoft.com/office/spreadsheetml/2010/11/main" uri="{2F2917AC-EB37-4324-AD4E-5DD8C200BD13}">
      <x15:tableSlicerCache tableId="43" column="3"/>
    </x:ext>
  </extLst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11" sourceName="Соц. Работник">
  <extLst>
    <x:ext xmlns:x15="http://schemas.microsoft.com/office/spreadsheetml/2010/11/main" uri="{2F2917AC-EB37-4324-AD4E-5DD8C200BD13}">
      <x15:tableSlicerCache tableId="46" column="1"/>
    </x:ext>
  </extLst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11" sourceName="Признак учета">
  <extLst>
    <x:ext xmlns:x15="http://schemas.microsoft.com/office/spreadsheetml/2010/11/main" uri="{2F2917AC-EB37-4324-AD4E-5DD8C200BD13}">
      <x15:tableSlicerCache tableId="46" column="3"/>
    </x:ext>
  </extLst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41" sourceName="Соц. Работник">
  <extLst>
    <x:ext xmlns:x15="http://schemas.microsoft.com/office/spreadsheetml/2010/11/main" uri="{2F2917AC-EB37-4324-AD4E-5DD8C200BD13}">
      <x15:tableSlicerCache tableId="10" column="1"/>
    </x:ext>
  </extLst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41" sourceName="Признак учета">
  <extLst>
    <x:ext xmlns:x15="http://schemas.microsoft.com/office/spreadsheetml/2010/11/main" uri="{2F2917AC-EB37-4324-AD4E-5DD8C200BD13}">
      <x15:tableSlicerCache tableId="10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" cache="Срез_Соц._Работник" caption="Соц. Работник" rowHeight="241300"/>
  <slicer name="Признак учета" cache="Срез_Признак_учета" caption="Признак учета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1" cache="Срез_Соц._Работник1" caption="Соц. Работник" rowHeight="241300"/>
  <slicer name="Признак учета 1" cache="Срез_Признак_учета1" caption="Признак учета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2" cache="Срез_Соц._Работник11" caption="Соц. Работник" rowHeight="241300"/>
  <slicer name="Признак учета 2" cache="Срез_Признак_учета11" caption="Признак учета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3" cache="Срез_Соц._Работник111" caption="Соц. Работник" rowHeight="241300"/>
  <slicer name="Признак учета 3" cache="Срез_Признак_учета111" caption="Признак учета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4" cache="Срез_Соц._Работник1111" caption="Соц. Работник" rowHeight="241300"/>
  <slicer name="Признак учета 4" cache="Срез_Признак_учета1111" caption="Признак учета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5" cache="Срез_Соц._Работник11111" caption="Соц. Работник" rowHeight="241300"/>
  <slicer name="Признак учета 5" cache="Срез_Признак_учета11111" caption="Признак учета" rowHeight="241300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7" cache="Срез_Соц._Работник1114" caption="Соц. Работник" rowHeight="241300"/>
  <slicer name="Признак учета 7" cache="Срез_Признак_учета1114" caption="Признак учета" rowHeight="241300"/>
</slicers>
</file>

<file path=xl/slicers/slicer8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13" cache="Срез_Соц._Работник11141" caption="Соц. Работник" rowHeight="241300"/>
  <slicer name="Признак учета 13" cache="Срез_Признак_учета11141" caption="Признак учета" rowHeight="241300"/>
</slicers>
</file>

<file path=xl/slicers/slicer9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9" cache="Срез_Соц._Работник1116" caption="Соц. Работник" rowHeight="241300"/>
  <slicer name="Признак учета 9" cache="Срез_Признак_учета1116" caption="Признак учета" rowHeight="241300"/>
</slicers>
</file>

<file path=xl/slicers/slicer10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10" cache="Срез_Соц._Работник1117" caption="Соц. Работник" rowHeight="241300"/>
  <slicer name="Признак учета 10" cache="Срез_Признак_учета1117" caption="Признак учета" rowHeight="241300"/>
</slicers>
</file>

<file path=xl/slicers/slicer1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11" cache="Срез_Соц._Работник1118" caption="Соц. Работник" rowHeight="241300"/>
  <slicer name="Признак учета 11" cache="Срез_Признак_учета1118" caption="Признак учета" rowHeight="241300"/>
</slicers>
</file>

<file path=xl/slicers/slicer1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12" cache="Срез_Соц._Работник1119" caption="Соц. Работник" rowHeight="241300"/>
  <slicer name="Признак учета 12" cache="Срез_Признак_учета1119" caption="Признак учета" rowHeight="241300"/>
</slicers>
</file>

<file path=xl/tables/table1.xml><?xml version="1.0" encoding="utf-8"?>
<table xmlns="http://schemas.openxmlformats.org/spreadsheetml/2006/main" id="8" name="ВыборЦвета" displayName="ВыборЦвета" ref="B3:B4" totalsRowShown="0" headerRowDxfId="935" dataDxfId="934">
  <autoFilter ref="B3:B4">
    <filterColumn colId="0" hiddenButton="1"/>
  </autoFilter>
  <tableColumns count="1">
    <tableColumn id="1" name="Выбор цвета" dataDxfId="933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7" name="ГлавнаяТаблица" displayName="ГлавнаяТаблица" ref="B4:E6" headerRowCount="0" totalsRowShown="0" headerRowDxfId="932" dataDxfId="930" headerRowBorderDxfId="931" tableBorderDxfId="929">
  <tableColumns count="4">
    <tableColumn id="1" name="Группа месяцев-1" headerRowDxfId="928" dataDxfId="927"/>
    <tableColumn id="2" name="Группа месяцев-2" headerRowDxfId="926" dataDxfId="925"/>
    <tableColumn id="3" name="Группа месяцев-3" headerRowDxfId="924" dataDxfId="923"/>
    <tableColumn id="4" name="Группа месяцев-4" headerRowDxfId="922" dataDxfId="921"/>
  </tableColumns>
  <tableStyleInfo name="TableStyleLight15" showFirstColumn="0" showLastColumn="0" showRowStripes="0" showColumnStripes="0"/>
</table>
</file>

<file path=xl/tables/table3.xml><?xml version="1.0" encoding="utf-8"?>
<table xmlns="http://schemas.openxmlformats.org/spreadsheetml/2006/main" id="1" name="ЯнварьУслуги" displayName="ЯнварьУслуги" ref="A4:C9" totalsRowShown="0" headerRowDxfId="920" dataDxfId="919">
  <autoFilter ref="A4:C9">
    <filterColumn colId="0" hiddenButton="1"/>
    <filterColumn colId="1" hiddenButton="1"/>
    <filterColumn colId="2" hiddenButton="1"/>
  </autoFilter>
  <tableColumns count="3">
    <tableColumn id="1" name="Услуги" dataDxfId="918"/>
    <tableColumn id="2" name="б/пл." dataDxfId="917"/>
    <tableColumn id="3" name="пл." dataDxfId="916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id="2" name="ЯнварьДанные" displayName="ЯнварьДанные" ref="A11:AN12" headerRowDxfId="915" dataDxfId="914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totalsRowLabel="Итог" dataDxfId="913" totalsRowDxfId="912"/>
    <tableColumn id="2" name="Получатели ФИО" dataDxfId="911" totalsRowDxfId="910"/>
    <tableColumn id="3" name="Признак учета" dataDxfId="909" totalsRowDxfId="908"/>
    <tableColumn id="5" name="Итого" totalsRowFunction="sum" dataDxfId="907" totalsRowDxfId="906">
      <calculatedColumnFormula>SUM(INDIRECT(ADDRESS(ROW(ЯнварьДанные[[#This Row],[Итого]]),COLUMN(ЯнварьДанные[[#This Row],[Итого]])+2)):INDIRECT(ADDRESS(ROW(ЯнварьДанные[[#This Row],[Итого]]),COUNTA(ЯнварьДанные[#Headers]))))</calculatedColumnFormula>
    </tableColumn>
    <tableColumn id="6" name="Среднее кол-во услуг на 1 получ. Усл." totalsRowFunction="sum" dataDxfId="905" totalsRowDxfId="904">
      <calculatedColumnFormula>ЯнварьДанные[[#This Row],[Итого]]/COUNTIFS(ЯнварьДанные[Соц. Работник],ЯнварьДанные[[#This Row],[Соц. Работник]])</calculatedColumnFormula>
    </tableColumn>
    <tableColumn id="7" name="покупка продуктов" totalsRowFunction="sum" dataDxfId="903" totalsRowDxfId="902"/>
    <tableColumn id="9" name="помощь в приготовлении пищи" totalsRowFunction="sum" dataDxfId="901" totalsRowDxfId="900"/>
    <tableColumn id="10" name="кормление" totalsRowFunction="sum" dataDxfId="899" totalsRowDxfId="898"/>
    <tableColumn id="11" name="оплата коммунальныхи услуг и связи" totalsRowFunction="sum" dataDxfId="897" totalsRowDxfId="896"/>
    <tableColumn id="12" name="вынос мусора" totalsRowFunction="sum" dataDxfId="895" totalsRowDxfId="894"/>
    <tableColumn id="13" name="смена штор" totalsRowFunction="sum" dataDxfId="893" totalsRowDxfId="892"/>
    <tableColumn id="14" name="уборка б/у" totalsRowFunction="sum" dataDxfId="891" totalsRowDxfId="890"/>
    <tableColumn id="15" name="уборка с/у" totalsRowFunction="sum" dataDxfId="889" totalsRowDxfId="888"/>
    <tableColumn id="16" name="помывка в ванной" totalsRowFunction="sum" dataDxfId="887" totalsRowDxfId="886"/>
    <tableColumn id="17" name="смена постельного белья" totalsRowFunction="sum" dataDxfId="885" totalsRowDxfId="884"/>
    <tableColumn id="18" name="смена нательного белья" totalsRowFunction="sum" dataDxfId="883" totalsRowDxfId="882"/>
    <tableColumn id="19" name="обработка ногтей" totalsRowFunction="sum" dataDxfId="881" totalsRowDxfId="880"/>
    <tableColumn id="20" name="оказание помощи при стирке вещей" totalsRowFunction="sum" dataDxfId="879" totalsRowDxfId="878"/>
    <tableColumn id="21" name="стирка вещей" totalsRowFunction="sum" dataDxfId="877" totalsRowDxfId="876"/>
    <tableColumn id="22" name="доставка воды" totalsRowFunction="sum" dataDxfId="875" totalsRowDxfId="874"/>
    <tableColumn id="23" name="покупка топлива, топка печей" totalsRowFunction="sum" dataDxfId="873" totalsRowDxfId="872"/>
    <tableColumn id="24" name="сод-е в получении услуг в пр.торговли, КБО" totalsRowFunction="sum" dataDxfId="871" totalsRowDxfId="870"/>
    <tableColumn id="25" name="сод-е в организации ритуальных услуг" totalsRowFunction="sum" dataDxfId="869" totalsRowDxfId="868"/>
    <tableColumn id="26" name="присмотр за детьми" totalsRowFunction="sum" dataDxfId="867" totalsRowDxfId="866"/>
    <tableColumn id="27" name="письма" totalsRowFunction="sum" dataDxfId="865" totalsRowDxfId="864"/>
    <tableColumn id="28" name="снег" totalsRowFunction="sum" dataDxfId="863" totalsRowDxfId="862"/>
    <tableColumn id="29" name="вып. процедур, связанных с сохранением здоровья" totalsRowFunction="sum" dataDxfId="861" totalsRowDxfId="860"/>
    <tableColumn id="30" name="покупка лекарств, выписка рецептов" totalsRowFunction="sum" dataDxfId="859" totalsRowDxfId="858"/>
    <tableColumn id="31" name="сиделка" totalsRowFunction="sum" dataDxfId="857" totalsRowDxfId="856"/>
    <tableColumn id="32" name="сод-е в госпитализации" totalsRowFunction="sum" dataDxfId="855" totalsRowDxfId="854"/>
    <tableColumn id="33" name="сод-е сан-кур. лечение" totalsRowFunction="sum" dataDxfId="853" totalsRowDxfId="852"/>
    <tableColumn id="34" name="содействие в получ. тех. средств" totalsRowFunction="sum" dataDxfId="851" totalsRowDxfId="850"/>
    <tableColumn id="35" name="сод-е в провед. мед. обслед. (запись)" totalsRowFunction="sum" dataDxfId="849" totalsRowDxfId="848"/>
    <tableColumn id="36" name="консультирование по соц-мед.вопросам" totalsRowFunction="sum" dataDxfId="847" totalsRowDxfId="846"/>
    <tableColumn id="37" name="сод-е в прохождении МСЭ" totalsRowFunction="sum" dataDxfId="845" totalsRowDxfId="844"/>
    <tableColumn id="38" name="вызов врача на дом по телефону" totalsRowFunction="sum" dataDxfId="843" totalsRowDxfId="842"/>
    <tableColumn id="39" name="беседа" totalsRowFunction="sum" dataDxfId="841" totalsRowDxfId="840"/>
    <tableColumn id="40" name="соц-пед.услуги" totalsRowFunction="sum" dataDxfId="839" totalsRowDxfId="838"/>
    <tableColumn id="41" name="оказание помощи в оформлении документов" totalsRowFunction="sum" dataDxfId="837" totalsRowDxfId="836"/>
    <tableColumn id="42" name="помощь в получении юр.услуг" totalsRowFunction="sum" dataDxfId="835" totalsRowDxfId="834"/>
  </tableColumns>
  <tableStyleInfo name="Social" showFirstColumn="0" showLastColumn="0" showRowStripes="1" showColumnStripes="1"/>
</table>
</file>

<file path=xl/tables/table5.xml><?xml version="1.0" encoding="utf-8"?>
<table xmlns="http://schemas.openxmlformats.org/spreadsheetml/2006/main" id="28" name="ЯнварьТипСчета" displayName="ЯнварьТипСчета" ref="C1:C2" totalsRowShown="0" headerRowDxfId="833" dataDxfId="832">
  <autoFilter ref="C1:C2">
    <filterColumn colId="0" hiddenButton="1"/>
  </autoFilter>
  <tableColumns count="1">
    <tableColumn id="1" name="Тип счета" dataDxfId="831"/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id="3" name="ФевральУслуги" displayName="ФевральУслуги" ref="A4:C9" totalsRowShown="0" headerRowDxfId="830" dataDxfId="829">
  <autoFilter ref="A4:C9">
    <filterColumn colId="0" hiddenButton="1"/>
    <filterColumn colId="1" hiddenButton="1"/>
    <filterColumn colId="2" hiddenButton="1"/>
  </autoFilter>
  <tableColumns count="3">
    <tableColumn id="1" name="Услуги" dataDxfId="828"/>
    <tableColumn id="2" name="б/пл." dataDxfId="827"/>
    <tableColumn id="3" name="пл." dataDxfId="826"/>
  </tableColumns>
  <tableStyleInfo name="TableStyleLight15" showFirstColumn="0" showLastColumn="0" showRowStripes="1" showColumnStripes="0"/>
</table>
</file>

<file path=xl/tables/table7.xml><?xml version="1.0" encoding="utf-8"?>
<table xmlns="http://schemas.openxmlformats.org/spreadsheetml/2006/main" id="4" name="ФевральДанные" displayName="ФевральДанные" ref="A11:AN12" headerRowDxfId="825" dataDxfId="824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totalsRowLabel="Итог" dataDxfId="38" totalsRowDxfId="823"/>
    <tableColumn id="2" name="Получатели ФИО" dataDxfId="37" totalsRowDxfId="822"/>
    <tableColumn id="3" name="Признак учета" dataDxfId="36" totalsRowDxfId="821"/>
    <tableColumn id="5" name="Итого" totalsRowFunction="sum" dataDxfId="820" totalsRowDxfId="819">
      <calculatedColumnFormula>SUM(INDIRECT(ADDRESS(ROW(ФевральДанные[[#This Row],[Итого]]),COLUMN(ФевральДанные[[#This Row],[Итого]])+2)):INDIRECT(ADDRESS(ROW(ФевральДанные[[#This Row],[Итого]]),COUNTA(ФевральДанные[#Headers]))))</calculatedColumnFormula>
    </tableColumn>
    <tableColumn id="6" name="Среднее кол-во услуг на 1 получ. Усл." dataDxfId="35" totalsRowDxfId="818">
      <calculatedColumnFormula>ФевральДанные[[#This Row],[Итого]]/COUNTIFS(ФевральДанные[Соц. Работник],ФевральДанные[[#This Row],[Соц. Работник]])</calculatedColumnFormula>
    </tableColumn>
    <tableColumn id="7" name="покупка продуктов" dataDxfId="34" totalsRowDxfId="817"/>
    <tableColumn id="9" name="помощь в приготовлении пищи" dataDxfId="33" totalsRowDxfId="816"/>
    <tableColumn id="10" name="кормление" dataDxfId="32" totalsRowDxfId="815"/>
    <tableColumn id="11" name="оплата коммунальныхи услуг и связи" dataDxfId="31" totalsRowDxfId="814"/>
    <tableColumn id="12" name="вынос мусора" dataDxfId="30" totalsRowDxfId="813"/>
    <tableColumn id="13" name="смена штор" dataDxfId="29" totalsRowDxfId="812"/>
    <tableColumn id="14" name="уборка б/у" dataDxfId="28" totalsRowDxfId="811"/>
    <tableColumn id="15" name="уборка с/у" dataDxfId="27" totalsRowDxfId="810"/>
    <tableColumn id="16" name="помывка в ванной" dataDxfId="26" totalsRowDxfId="809"/>
    <tableColumn id="17" name="смена постельного белья" dataDxfId="25" totalsRowDxfId="808"/>
    <tableColumn id="18" name="смена нательного белья" dataDxfId="24" totalsRowDxfId="807"/>
    <tableColumn id="19" name="обработка ногтей" dataDxfId="23" totalsRowDxfId="806"/>
    <tableColumn id="20" name="оказание помощи при стирке вещей" dataDxfId="22" totalsRowDxfId="805"/>
    <tableColumn id="21" name="стирка вещей" dataDxfId="21" totalsRowDxfId="804"/>
    <tableColumn id="22" name="доставка воды" dataDxfId="20" totalsRowDxfId="803"/>
    <tableColumn id="23" name="покупка топлива, топка печей" dataDxfId="19" totalsRowDxfId="802"/>
    <tableColumn id="24" name="сод-е в получении услуг в пр.торговли, КБО" dataDxfId="18" totalsRowDxfId="801"/>
    <tableColumn id="25" name="сод-е в организации ритуальных услуг" dataDxfId="17" totalsRowDxfId="800"/>
    <tableColumn id="26" name="присмотр за детьми" dataDxfId="16" totalsRowDxfId="799"/>
    <tableColumn id="27" name="письма" dataDxfId="15" totalsRowDxfId="798"/>
    <tableColumn id="28" name="снег" dataDxfId="14" totalsRowDxfId="797"/>
    <tableColumn id="29" name="вып. процедур, связанных с сохранением здоровья" dataDxfId="13" totalsRowDxfId="796"/>
    <tableColumn id="30" name="покупка лекарств, выписка рецептов" dataDxfId="12" totalsRowDxfId="795"/>
    <tableColumn id="31" name="сиделка" dataDxfId="11" totalsRowDxfId="794"/>
    <tableColumn id="32" name="сод-е в госпитализации" dataDxfId="10" totalsRowDxfId="793"/>
    <tableColumn id="33" name="сод-е сан-кур. лечение" dataDxfId="9" totalsRowDxfId="792"/>
    <tableColumn id="34" name="содействие в получ. тех. средств" dataDxfId="8" totalsRowDxfId="791"/>
    <tableColumn id="35" name="сод-е в провед. мед. обслед. (запись)" dataDxfId="7" totalsRowDxfId="790"/>
    <tableColumn id="36" name="консультирование по соц-мед.вопросам" dataDxfId="6" totalsRowDxfId="789"/>
    <tableColumn id="37" name="сод-е в прохождении МСЭ" dataDxfId="5" totalsRowDxfId="788"/>
    <tableColumn id="38" name="вызов врача на дом по телефону" dataDxfId="4" totalsRowDxfId="787"/>
    <tableColumn id="39" name="беседа" dataDxfId="3" totalsRowDxfId="786"/>
    <tableColumn id="40" name="соц-пед.услуги" dataDxfId="2" totalsRowDxfId="785"/>
    <tableColumn id="41" name="оказание помощи в оформлении документов" dataDxfId="1" totalsRowDxfId="784"/>
    <tableColumn id="42" name="помощь в получении юр.услуг" totalsRowFunction="sum" dataDxfId="0" totalsRowDxfId="783"/>
  </tableColumns>
  <tableStyleInfo name="Social" showFirstColumn="0" showLastColumn="0" showRowStripes="1" showColumnStripes="1"/>
</table>
</file>

<file path=xl/tables/table8.xml><?xml version="1.0" encoding="utf-8"?>
<table xmlns="http://schemas.openxmlformats.org/spreadsheetml/2006/main" id="29" name="ФевральТипСчета" displayName="ФевральТипСчета" ref="C1:C2" totalsRowShown="0" headerRowDxfId="782" dataDxfId="781">
  <autoFilter ref="C1:C2">
    <filterColumn colId="0" hiddenButton="1"/>
  </autoFilter>
  <tableColumns count="1">
    <tableColumn id="1" name="Тип Счета" dataDxfId="780"/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id="5" name="МартУслуги" displayName="МартУслуги" ref="A4:C9" totalsRowShown="0" headerRowDxfId="779" dataDxfId="778">
  <autoFilter ref="A4:C9">
    <filterColumn colId="0" hiddenButton="1"/>
    <filterColumn colId="1" hiddenButton="1"/>
    <filterColumn colId="2" hiddenButton="1"/>
  </autoFilter>
  <tableColumns count="3">
    <tableColumn id="1" name="Услуги" dataDxfId="777"/>
    <tableColumn id="2" name="б/пл." dataDxfId="776"/>
    <tableColumn id="3" name="пл." dataDxfId="775"/>
  </tableColumns>
  <tableStyleInfo name="TableStyleLight15" showFirstColumn="0" showLastColumn="0" showRowStripes="1" showColumnStripes="0"/>
</table>
</file>

<file path=xl/tables/table10.xml><?xml version="1.0" encoding="utf-8"?>
<table xmlns="http://schemas.openxmlformats.org/spreadsheetml/2006/main" id="6" name="МартДанные" displayName="МартДанные" ref="A11:AN12" headerRowDxfId="774" dataDxfId="773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totalsRowLabel="Итог" dataDxfId="772" totalsRowDxfId="771"/>
    <tableColumn id="2" name="Получатели ФИО" dataDxfId="770" totalsRowDxfId="769"/>
    <tableColumn id="3" name="Признак учета" dataDxfId="768" totalsRowDxfId="767"/>
    <tableColumn id="5" name="Итого" totalsRowFunction="sum" dataDxfId="766" totalsRowDxfId="765">
      <calculatedColumnFormula>SUM(INDIRECT(ADDRESS(ROW(МартДанные[[#This Row],[Итого]]),COLUMN(МартДанные[[#This Row],[Итого]])+2)):INDIRECT(ADDRESS(ROW(МартДанные[[#This Row],[Итого]]),COUNTA(МартДанные[#Headers]))))</calculatedColumnFormula>
    </tableColumn>
    <tableColumn id="6" name="Среднее кол-во услуг на 1 получ. Усл." dataDxfId="764" totalsRowDxfId="763">
      <calculatedColumnFormula>МартДанные[[#This Row],[Итого]]/COUNTIFS(МартДанные[Соц. Работник],МартДанные[[#This Row],[Соц. Работник]])</calculatedColumnFormula>
    </tableColumn>
    <tableColumn id="7" name="покупка продуктов" dataDxfId="762" totalsRowDxfId="761"/>
    <tableColumn id="9" name="помощь в приготовлении пищи" dataDxfId="760" totalsRowDxfId="759"/>
    <tableColumn id="10" name="кормление" dataDxfId="758" totalsRowDxfId="757"/>
    <tableColumn id="11" name="оплата коммунальныхи услуг и связи" dataDxfId="756" totalsRowDxfId="755"/>
    <tableColumn id="12" name="вынос мусора" dataDxfId="754" totalsRowDxfId="753"/>
    <tableColumn id="13" name="смена штор" dataDxfId="752" totalsRowDxfId="751"/>
    <tableColumn id="14" name="уборка б/у" dataDxfId="750" totalsRowDxfId="749"/>
    <tableColumn id="15" name="уборка с/у" dataDxfId="748" totalsRowDxfId="747"/>
    <tableColumn id="16" name="помывка в ванной" dataDxfId="746" totalsRowDxfId="745"/>
    <tableColumn id="17" name="смена постельного белья" dataDxfId="744" totalsRowDxfId="743"/>
    <tableColumn id="18" name="смена нательного белья" dataDxfId="742" totalsRowDxfId="741"/>
    <tableColumn id="19" name="обработка ногтей" dataDxfId="740" totalsRowDxfId="739"/>
    <tableColumn id="20" name="оказание помощи при стирке вещей" dataDxfId="738" totalsRowDxfId="737"/>
    <tableColumn id="21" name="стирка вещей" dataDxfId="736" totalsRowDxfId="735"/>
    <tableColumn id="22" name="доставка воды" dataDxfId="734" totalsRowDxfId="733"/>
    <tableColumn id="23" name="покупка топлива, топка печей" dataDxfId="732" totalsRowDxfId="731"/>
    <tableColumn id="24" name="сод-е в получении услуг в пр.торговли, КБО" dataDxfId="730" totalsRowDxfId="729"/>
    <tableColumn id="25" name="сод-е в организации ритуальных услуг" dataDxfId="728" totalsRowDxfId="727"/>
    <tableColumn id="26" name="присмотр за детьми" dataDxfId="726" totalsRowDxfId="725"/>
    <tableColumn id="27" name="письма" dataDxfId="724" totalsRowDxfId="723"/>
    <tableColumn id="28" name="снег" dataDxfId="722" totalsRowDxfId="721"/>
    <tableColumn id="29" name="вып. процедур, связанных с сохранением здоровья" dataDxfId="720" totalsRowDxfId="719"/>
    <tableColumn id="30" name="покупка лекарств, выписка рецептов" dataDxfId="718" totalsRowDxfId="717"/>
    <tableColumn id="31" name="сиделка" dataDxfId="716" totalsRowDxfId="715"/>
    <tableColumn id="32" name="сод-е в госпитализации" dataDxfId="714" totalsRowDxfId="713"/>
    <tableColumn id="33" name="сод-е сан-кур. лечение" dataDxfId="712" totalsRowDxfId="711"/>
    <tableColumn id="34" name="содействие в получ. тех. средств" dataDxfId="710" totalsRowDxfId="709"/>
    <tableColumn id="35" name="сод-е в провед. мед. обслед. (запись)" dataDxfId="708" totalsRowDxfId="707"/>
    <tableColumn id="36" name="консультирование по соц-мед.вопросам" dataDxfId="706" totalsRowDxfId="705"/>
    <tableColumn id="37" name="сод-е в прохождении МСЭ" dataDxfId="704" totalsRowDxfId="703"/>
    <tableColumn id="38" name="вызов врача на дом по телефону" dataDxfId="702" totalsRowDxfId="701"/>
    <tableColumn id="39" name="беседа" dataDxfId="700" totalsRowDxfId="699"/>
    <tableColumn id="40" name="соц-пед.услуги" dataDxfId="698" totalsRowDxfId="697"/>
    <tableColumn id="41" name="оказание помощи в оформлении документов" dataDxfId="696" totalsRowDxfId="695"/>
    <tableColumn id="42" name="помощь в получении юр.услуг" totalsRowFunction="sum" dataDxfId="694" totalsRowDxfId="693"/>
  </tableColumns>
  <tableStyleInfo name="Social" showFirstColumn="0" showLastColumn="0" showRowStripes="1" showColumnStripes="1"/>
</table>
</file>

<file path=xl/tables/table11.xml><?xml version="1.0" encoding="utf-8"?>
<table xmlns="http://schemas.openxmlformats.org/spreadsheetml/2006/main" id="30" name="МартТипСчета" displayName="МартТипСчета" ref="C1:C2" totalsRowShown="0" headerRowDxfId="692" dataDxfId="691">
  <autoFilter ref="C1:C2">
    <filterColumn colId="0" hiddenButton="1"/>
  </autoFilter>
  <tableColumns count="1">
    <tableColumn id="1" name="Тип Счета" dataDxfId="690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id="27" name="АпрельУслуги" displayName="АпрельУслуги" ref="A4:C9" totalsRowShown="0" headerRowDxfId="689" dataDxfId="688">
  <autoFilter ref="A4:C9">
    <filterColumn colId="0" hiddenButton="1"/>
    <filterColumn colId="1" hiddenButton="1"/>
    <filterColumn colId="2" hiddenButton="1"/>
  </autoFilter>
  <tableColumns count="3">
    <tableColumn id="1" name="Услуги" dataDxfId="687"/>
    <tableColumn id="2" name="б/пл." dataDxfId="686"/>
    <tableColumn id="3" name="пл." dataDxfId="685"/>
  </tableColumns>
  <tableStyleInfo name="TableStyleLight15" showFirstColumn="0" showLastColumn="0" showRowStripes="1" showColumnStripes="0"/>
</table>
</file>

<file path=xl/tables/table13.xml><?xml version="1.0" encoding="utf-8"?>
<table xmlns="http://schemas.openxmlformats.org/spreadsheetml/2006/main" id="40" name="АпрельДанные" displayName="АпрельДанные" ref="A11:AN12" headerRowDxfId="684" dataDxfId="683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totalsRowLabel="Итог" dataDxfId="682" totalsRowDxfId="681"/>
    <tableColumn id="2" name="Получатели ФИО" dataDxfId="680" totalsRowDxfId="679"/>
    <tableColumn id="3" name="Признак учета" dataDxfId="678" totalsRowDxfId="677"/>
    <tableColumn id="5" name="Итого" totalsRowFunction="sum" dataDxfId="676" totalsRowDxfId="675">
      <calculatedColumnFormula>SUM(INDIRECT(ADDRESS(ROW(АпрельДанные[[#This Row],[Итого]]),COLUMN(АпрельДанные[[#This Row],[Итого]])+2)):INDIRECT(ADDRESS(ROW(АпрельДанные[[#This Row],[Итого]]),COUNTA(АпрельДанные[#Headers]))))</calculatedColumnFormula>
    </tableColumn>
    <tableColumn id="6" name="Среднее кол-во услуг на 1 получ. Усл." totalsRowFunction="sum" dataDxfId="674" totalsRowDxfId="673">
      <calculatedColumnFormula>АпрельДанные[[#This Row],[Итого]]/COUNTIFS(АпрельДанные[Соц. Работник],АпрельДанные[[#This Row],[Соц. Работник]])</calculatedColumnFormula>
    </tableColumn>
    <tableColumn id="7" name="покупка продуктов" totalsRowFunction="sum" dataDxfId="672" totalsRowDxfId="671"/>
    <tableColumn id="9" name="помощь в приготовлении пищи" totalsRowFunction="sum" dataDxfId="670" totalsRowDxfId="669"/>
    <tableColumn id="10" name="кормление" totalsRowFunction="sum" dataDxfId="668" totalsRowDxfId="667"/>
    <tableColumn id="11" name="оплата коммунальныхи услуг и связи" totalsRowFunction="sum" dataDxfId="666" totalsRowDxfId="665"/>
    <tableColumn id="12" name="вынос мусора" totalsRowFunction="sum" dataDxfId="664" totalsRowDxfId="663"/>
    <tableColumn id="13" name="смена штор" totalsRowFunction="sum" dataDxfId="662" totalsRowDxfId="661"/>
    <tableColumn id="14" name="уборка б/у" totalsRowFunction="sum" dataDxfId="660" totalsRowDxfId="659"/>
    <tableColumn id="15" name="уборка с/у" totalsRowFunction="sum" dataDxfId="658" totalsRowDxfId="657"/>
    <tableColumn id="16" name="помывка в ванной" totalsRowFunction="sum" dataDxfId="656" totalsRowDxfId="655"/>
    <tableColumn id="17" name="смена постельного белья" totalsRowFunction="sum" dataDxfId="654" totalsRowDxfId="653"/>
    <tableColumn id="18" name="смена нательного белья" totalsRowFunction="sum" dataDxfId="652" totalsRowDxfId="651"/>
    <tableColumn id="19" name="обработка ногтей" totalsRowFunction="sum" dataDxfId="650" totalsRowDxfId="649"/>
    <tableColumn id="20" name="оказание помощи при стирке вещей" totalsRowFunction="sum" dataDxfId="648" totalsRowDxfId="647"/>
    <tableColumn id="21" name="стирка вещей" totalsRowFunction="sum" dataDxfId="646" totalsRowDxfId="645"/>
    <tableColumn id="22" name="доставка воды" totalsRowFunction="sum" dataDxfId="644" totalsRowDxfId="643"/>
    <tableColumn id="23" name="покупка топлива, топка печей" totalsRowFunction="sum" dataDxfId="642" totalsRowDxfId="641"/>
    <tableColumn id="24" name="сод-е в получении услуг в пр.торговли, КБО" totalsRowFunction="sum" dataDxfId="640" totalsRowDxfId="639"/>
    <tableColumn id="25" name="сод-е в организации ритуальных услуг" totalsRowFunction="sum" dataDxfId="638" totalsRowDxfId="637"/>
    <tableColumn id="26" name="присмотр за детьми" totalsRowFunction="sum" dataDxfId="636" totalsRowDxfId="635"/>
    <tableColumn id="27" name="письма" totalsRowFunction="sum" dataDxfId="634" totalsRowDxfId="633"/>
    <tableColumn id="28" name="снег" totalsRowFunction="sum" dataDxfId="632" totalsRowDxfId="631"/>
    <tableColumn id="29" name="вып. процедур, связанных с сохранением здоровья" totalsRowFunction="sum" dataDxfId="630" totalsRowDxfId="629"/>
    <tableColumn id="30" name="покупка лекарств, выписка рецептов" totalsRowFunction="sum" dataDxfId="628" totalsRowDxfId="627"/>
    <tableColumn id="31" name="сиделка" totalsRowFunction="sum" dataDxfId="626" totalsRowDxfId="625"/>
    <tableColumn id="32" name="сод-е в госпитализации" totalsRowFunction="sum" dataDxfId="624" totalsRowDxfId="623"/>
    <tableColumn id="33" name="сод-е сан-кур. лечение" totalsRowFunction="sum" dataDxfId="622" totalsRowDxfId="621"/>
    <tableColumn id="34" name="содействие в получ. тех. средств" totalsRowFunction="sum" dataDxfId="620" totalsRowDxfId="619"/>
    <tableColumn id="35" name="сод-е в провед. мед. обслед. (запись)" totalsRowFunction="sum" dataDxfId="618" totalsRowDxfId="617"/>
    <tableColumn id="36" name="консультирование по соц-мед.вопросам" totalsRowFunction="sum" dataDxfId="616" totalsRowDxfId="615"/>
    <tableColumn id="37" name="сод-е в прохождении МСЭ" totalsRowFunction="sum" dataDxfId="614" totalsRowDxfId="613"/>
    <tableColumn id="38" name="вызов врача на дом по телефону" totalsRowFunction="sum" dataDxfId="612" totalsRowDxfId="611"/>
    <tableColumn id="39" name="беседа" totalsRowFunction="sum" dataDxfId="610" totalsRowDxfId="609"/>
    <tableColumn id="40" name="соц-пед.услуги" totalsRowFunction="sum" dataDxfId="608" totalsRowDxfId="607"/>
    <tableColumn id="41" name="оказание помощи в оформлении документов" totalsRowFunction="sum" dataDxfId="606" totalsRowDxfId="605"/>
    <tableColumn id="42" name="помощь в получении юр.услуг" totalsRowFunction="sum" dataDxfId="604" totalsRowDxfId="603"/>
  </tableColumns>
  <tableStyleInfo name="Social" showFirstColumn="0" showLastColumn="0" showRowStripes="1" showColumnStripes="1"/>
</table>
</file>

<file path=xl/tables/table14.xml><?xml version="1.0" encoding="utf-8"?>
<table xmlns="http://schemas.openxmlformats.org/spreadsheetml/2006/main" id="41" name="АпрельТипСчета" displayName="АпрельТипСчета" ref="C1:C2" totalsRowShown="0" headerRowDxfId="602" dataDxfId="601">
  <autoFilter ref="C1:C2">
    <filterColumn colId="0" hiddenButton="1"/>
  </autoFilter>
  <tableColumns count="1">
    <tableColumn id="1" name="Тип Счета" dataDxfId="600"/>
  </tableColumns>
  <tableStyleInfo name="TableStyleLight16" showFirstColumn="0" showLastColumn="0" showRowStripes="1" showColumnStripes="0"/>
</table>
</file>

<file path=xl/tables/table15.xml><?xml version="1.0" encoding="utf-8"?>
<table xmlns="http://schemas.openxmlformats.org/spreadsheetml/2006/main" id="42" name="МайУслуги" displayName="МайУслуги" ref="A4:C9" totalsRowShown="0" headerRowDxfId="599" dataDxfId="598">
  <autoFilter ref="A4:C9">
    <filterColumn colId="0" hiddenButton="1"/>
    <filterColumn colId="1" hiddenButton="1"/>
    <filterColumn colId="2" hiddenButton="1"/>
  </autoFilter>
  <tableColumns count="3">
    <tableColumn id="1" name="Услуги" dataDxfId="597"/>
    <tableColumn id="2" name="б/пл." dataDxfId="596"/>
    <tableColumn id="3" name="пл." dataDxfId="595"/>
  </tableColumns>
  <tableStyleInfo name="TableStyleLight15" showFirstColumn="0" showLastColumn="0" showRowStripes="1" showColumnStripes="0"/>
</table>
</file>

<file path=xl/tables/table16.xml><?xml version="1.0" encoding="utf-8"?>
<table xmlns="http://schemas.openxmlformats.org/spreadsheetml/2006/main" id="43" name="МайДанные" displayName="МайДанные" ref="A11:AN12" headerRowDxfId="594" dataDxfId="593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totalsRowLabel="Итог" dataDxfId="592" totalsRowDxfId="591"/>
    <tableColumn id="2" name="Получатели ФИО" dataDxfId="590" totalsRowDxfId="589"/>
    <tableColumn id="3" name="Признак учета" dataDxfId="588" totalsRowDxfId="587"/>
    <tableColumn id="5" name="Итого" totalsRowFunction="sum" dataDxfId="586" totalsRowDxfId="585">
      <calculatedColumnFormula>SUM(INDIRECT(ADDRESS(ROW(МайДанные[[#This Row],[Итого]]),COLUMN(МайДанные[[#This Row],[Итого]])+2)):INDIRECT(ADDRESS(ROW(МайДанные[[#This Row],[Итого]]),COUNTA(МайДанные[#Headers]))))</calculatedColumnFormula>
    </tableColumn>
    <tableColumn id="6" name="Среднее кол-во услуг на 1 получ. Усл." totalsRowFunction="sum" dataDxfId="584" totalsRowDxfId="583">
      <calculatedColumnFormula>МайДанные[[#This Row],[Итого]]/COUNTIFS(МайДанные[Соц. Работник],МайДанные[[#This Row],[Соц. Работник]])</calculatedColumnFormula>
    </tableColumn>
    <tableColumn id="7" name="покупка продуктов" totalsRowFunction="sum" dataDxfId="582" totalsRowDxfId="581"/>
    <tableColumn id="9" name="помощь в приготовлении пищи" totalsRowFunction="sum" dataDxfId="580" totalsRowDxfId="579"/>
    <tableColumn id="10" name="кормление" totalsRowFunction="sum" dataDxfId="578" totalsRowDxfId="577"/>
    <tableColumn id="11" name="оплата коммунальныхи услуг и связи" totalsRowFunction="sum" dataDxfId="576" totalsRowDxfId="575"/>
    <tableColumn id="12" name="вынос мусора" totalsRowFunction="sum" dataDxfId="574" totalsRowDxfId="573"/>
    <tableColumn id="13" name="смена штор" totalsRowFunction="sum" dataDxfId="572" totalsRowDxfId="571"/>
    <tableColumn id="14" name="уборка б/у" totalsRowFunction="sum" dataDxfId="570" totalsRowDxfId="569"/>
    <tableColumn id="15" name="уборка с/у" totalsRowFunction="sum" dataDxfId="568" totalsRowDxfId="567"/>
    <tableColumn id="16" name="помывка в ванной" totalsRowFunction="sum" dataDxfId="566" totalsRowDxfId="565"/>
    <tableColumn id="17" name="смена постельного белья" totalsRowFunction="sum" dataDxfId="564" totalsRowDxfId="563"/>
    <tableColumn id="18" name="смена нательного белья" totalsRowFunction="sum" dataDxfId="562" totalsRowDxfId="561"/>
    <tableColumn id="19" name="обработка ногтей" totalsRowFunction="sum" dataDxfId="560" totalsRowDxfId="559"/>
    <tableColumn id="20" name="оказание помощи при стирке вещей" totalsRowFunction="sum" dataDxfId="558" totalsRowDxfId="557"/>
    <tableColumn id="21" name="стирка вещей" totalsRowFunction="sum" dataDxfId="556" totalsRowDxfId="555"/>
    <tableColumn id="22" name="доставка воды" totalsRowFunction="sum" dataDxfId="554" totalsRowDxfId="553"/>
    <tableColumn id="23" name="покупка топлива, топка печей" totalsRowFunction="sum" dataDxfId="552" totalsRowDxfId="551"/>
    <tableColumn id="24" name="сод-е в получении услуг в пр.торговли, КБО" totalsRowFunction="sum" dataDxfId="550" totalsRowDxfId="549"/>
    <tableColumn id="25" name="сод-е в организации ритуальных услуг" totalsRowFunction="sum" dataDxfId="548" totalsRowDxfId="547"/>
    <tableColumn id="26" name="присмотр за детьми" totalsRowFunction="sum" dataDxfId="546" totalsRowDxfId="545"/>
    <tableColumn id="27" name="письма" totalsRowFunction="sum" dataDxfId="544" totalsRowDxfId="543"/>
    <tableColumn id="28" name="снег" totalsRowFunction="sum" dataDxfId="542" totalsRowDxfId="541"/>
    <tableColumn id="29" name="вып. процедур, связанных с сохранением здоровья" totalsRowFunction="sum" dataDxfId="540" totalsRowDxfId="539"/>
    <tableColumn id="30" name="покупка лекарств, выписка рецептов" totalsRowFunction="sum" dataDxfId="538" totalsRowDxfId="537"/>
    <tableColumn id="31" name="сиделка" totalsRowFunction="sum" dataDxfId="536" totalsRowDxfId="535"/>
    <tableColumn id="32" name="сод-е в госпитализации" totalsRowFunction="sum" dataDxfId="534" totalsRowDxfId="533"/>
    <tableColumn id="33" name="сод-е сан-кур. лечение" totalsRowFunction="sum" dataDxfId="532" totalsRowDxfId="531"/>
    <tableColumn id="34" name="содействие в получ. тех. средств" totalsRowFunction="sum" dataDxfId="530" totalsRowDxfId="529"/>
    <tableColumn id="35" name="сод-е в провед. мед. обслед. (запись)" totalsRowFunction="sum" dataDxfId="528" totalsRowDxfId="527"/>
    <tableColumn id="36" name="консультирование по соц-мед.вопросам" totalsRowFunction="sum" dataDxfId="526" totalsRowDxfId="525"/>
    <tableColumn id="37" name="сод-е в прохождении МСЭ" totalsRowFunction="sum" dataDxfId="524" totalsRowDxfId="523"/>
    <tableColumn id="38" name="вызов врача на дом по телефону" totalsRowFunction="sum" dataDxfId="522" totalsRowDxfId="521"/>
    <tableColumn id="39" name="беседа" totalsRowFunction="sum" dataDxfId="520" totalsRowDxfId="519"/>
    <tableColumn id="40" name="соц-пед.услуги" totalsRowFunction="sum" dataDxfId="518" totalsRowDxfId="517"/>
    <tableColumn id="41" name="оказание помощи в оформлении документов" totalsRowFunction="sum" dataDxfId="516" totalsRowDxfId="515"/>
    <tableColumn id="42" name="помощь в получении юр.услуг" totalsRowFunction="sum" dataDxfId="514" totalsRowDxfId="513"/>
  </tableColumns>
  <tableStyleInfo name="Social" showFirstColumn="0" showLastColumn="0" showRowStripes="1" showColumnStripes="1"/>
</table>
</file>

<file path=xl/tables/table17.xml><?xml version="1.0" encoding="utf-8"?>
<table xmlns="http://schemas.openxmlformats.org/spreadsheetml/2006/main" id="44" name="МайТипСчета" displayName="МайТипСчета" ref="C1:C2" totalsRowShown="0" headerRowDxfId="512" dataDxfId="511">
  <autoFilter ref="C1:C2">
    <filterColumn colId="0" hiddenButton="1"/>
  </autoFilter>
  <tableColumns count="1">
    <tableColumn id="1" name="Тип Счета" dataDxfId="510"/>
  </tableColumns>
  <tableStyleInfo name="TableStyleLight16" showFirstColumn="0" showLastColumn="0" showRowStripes="1" showColumnStripes="0"/>
</table>
</file>

<file path=xl/tables/table18.xml><?xml version="1.0" encoding="utf-8"?>
<table xmlns="http://schemas.openxmlformats.org/spreadsheetml/2006/main" id="45" name="ИюньУслуги" displayName="ИюньУслуги" ref="A4:C9" totalsRowShown="0" headerRowDxfId="509" dataDxfId="508">
  <autoFilter ref="A4:C9">
    <filterColumn colId="0" hiddenButton="1"/>
    <filterColumn colId="1" hiddenButton="1"/>
    <filterColumn colId="2" hiddenButton="1"/>
  </autoFilter>
  <tableColumns count="3">
    <tableColumn id="1" name="Услуги" dataDxfId="507"/>
    <tableColumn id="2" name="б/пл." dataDxfId="506"/>
    <tableColumn id="3" name="пл." dataDxfId="505"/>
  </tableColumns>
  <tableStyleInfo name="TableStyleLight15" showFirstColumn="0" showLastColumn="0" showRowStripes="1" showColumnStripes="0"/>
</table>
</file>

<file path=xl/tables/table19.xml><?xml version="1.0" encoding="utf-8"?>
<table xmlns="http://schemas.openxmlformats.org/spreadsheetml/2006/main" id="46" name="ИюньДанные" displayName="ИюньДанные" ref="A11:AN12" headerRowDxfId="504" dataDxfId="503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totalsRowLabel="Итог" dataDxfId="502" totalsRowDxfId="501"/>
    <tableColumn id="2" name="Получатели ФИО" dataDxfId="500" totalsRowDxfId="499"/>
    <tableColumn id="3" name="Признак учета" dataDxfId="498" totalsRowDxfId="497"/>
    <tableColumn id="5" name="Итого" totalsRowFunction="sum" dataDxfId="496" totalsRowDxfId="495">
      <calculatedColumnFormula>SUM(INDIRECT(ADDRESS(ROW(ИюньДанные[[#This Row],[Итого]]),COLUMN(ИюньДанные[[#This Row],[Итого]])+2)):INDIRECT(ADDRESS(ROW(ИюньДанные[[#This Row],[Итого]]),COUNTA(ИюньДанные[#Headers]))))</calculatedColumnFormula>
    </tableColumn>
    <tableColumn id="6" name="Среднее кол-во услуг на 1 получ. Усл." totalsRowFunction="sum" dataDxfId="494" totalsRowDxfId="493">
      <calculatedColumnFormula>ИюньДанные[[#This Row],[Итого]]/COUNTIFS(ИюньДанные[Соц. Работник],ИюньДанные[[#This Row],[Соц. Работник]])</calculatedColumnFormula>
    </tableColumn>
    <tableColumn id="7" name="покупка продуктов" totalsRowFunction="sum" dataDxfId="492" totalsRowDxfId="491"/>
    <tableColumn id="9" name="помощь в приготовлении пищи" totalsRowFunction="sum" dataDxfId="490" totalsRowDxfId="489"/>
    <tableColumn id="10" name="кормление" totalsRowFunction="sum" dataDxfId="488" totalsRowDxfId="487"/>
    <tableColumn id="11" name="оплата коммунальныхи услуг и связи" totalsRowFunction="sum" dataDxfId="486" totalsRowDxfId="485"/>
    <tableColumn id="12" name="вынос мусора" totalsRowFunction="sum" dataDxfId="484" totalsRowDxfId="483"/>
    <tableColumn id="13" name="смена штор" totalsRowFunction="sum" dataDxfId="482" totalsRowDxfId="481"/>
    <tableColumn id="14" name="уборка б/у" totalsRowFunction="sum" dataDxfId="480" totalsRowDxfId="479"/>
    <tableColumn id="15" name="уборка с/у" totalsRowFunction="sum" dataDxfId="478" totalsRowDxfId="477"/>
    <tableColumn id="16" name="помывка в ванной" totalsRowFunction="sum" dataDxfId="476" totalsRowDxfId="475"/>
    <tableColumn id="17" name="смена постельного белья" totalsRowFunction="sum" dataDxfId="474" totalsRowDxfId="473"/>
    <tableColumn id="18" name="смена нательного белья" totalsRowFunction="sum" dataDxfId="472" totalsRowDxfId="471"/>
    <tableColumn id="19" name="обработка ногтей" totalsRowFunction="sum" dataDxfId="470" totalsRowDxfId="469"/>
    <tableColumn id="20" name="оказание помощи при стирке вещей" totalsRowFunction="sum" dataDxfId="468" totalsRowDxfId="467"/>
    <tableColumn id="21" name="стирка вещей" totalsRowFunction="sum" dataDxfId="466" totalsRowDxfId="465"/>
    <tableColumn id="22" name="доставка воды" totalsRowFunction="sum" dataDxfId="464" totalsRowDxfId="463"/>
    <tableColumn id="23" name="покупка топлива, топка печей" totalsRowFunction="sum" dataDxfId="462" totalsRowDxfId="461"/>
    <tableColumn id="24" name="сод-е в получении услуг в пр.торговли, КБО" totalsRowFunction="sum" dataDxfId="460" totalsRowDxfId="459"/>
    <tableColumn id="25" name="сод-е в организации ритуальных услуг" totalsRowFunction="sum" dataDxfId="458" totalsRowDxfId="457"/>
    <tableColumn id="26" name="присмотр за детьми" totalsRowFunction="sum" dataDxfId="456" totalsRowDxfId="455"/>
    <tableColumn id="27" name="письма" totalsRowFunction="sum" dataDxfId="454" totalsRowDxfId="453"/>
    <tableColumn id="28" name="снег" totalsRowFunction="sum" dataDxfId="452" totalsRowDxfId="451"/>
    <tableColumn id="29" name="вып. процедур, связанных с сохранением здоровья" totalsRowFunction="sum" dataDxfId="450" totalsRowDxfId="449"/>
    <tableColumn id="30" name="покупка лекарств, выписка рецептов" totalsRowFunction="sum" dataDxfId="448" totalsRowDxfId="447"/>
    <tableColumn id="31" name="сиделка" totalsRowFunction="sum" dataDxfId="446" totalsRowDxfId="445"/>
    <tableColumn id="32" name="сод-е в госпитализации" totalsRowFunction="sum" dataDxfId="444" totalsRowDxfId="443"/>
    <tableColumn id="33" name="сод-е сан-кур. лечение" totalsRowFunction="sum" dataDxfId="442" totalsRowDxfId="441"/>
    <tableColumn id="34" name="содействие в получ. тех. средств" totalsRowFunction="sum" dataDxfId="440" totalsRowDxfId="439"/>
    <tableColumn id="35" name="сод-е в провед. мед. обслед. (запись)" totalsRowFunction="sum" dataDxfId="438" totalsRowDxfId="437"/>
    <tableColumn id="36" name="консультирование по соц-мед.вопросам" totalsRowFunction="sum" dataDxfId="436" totalsRowDxfId="435"/>
    <tableColumn id="37" name="сод-е в прохождении МСЭ" totalsRowFunction="sum" dataDxfId="434" totalsRowDxfId="433"/>
    <tableColumn id="38" name="вызов врача на дом по телефону" totalsRowFunction="sum" dataDxfId="432" totalsRowDxfId="431"/>
    <tableColumn id="39" name="беседа" totalsRowFunction="sum" dataDxfId="430" totalsRowDxfId="429"/>
    <tableColumn id="40" name="соц-пед.услуги" totalsRowFunction="sum" dataDxfId="428" totalsRowDxfId="427"/>
    <tableColumn id="41" name="оказание помощи в оформлении документов" totalsRowFunction="sum" dataDxfId="426" totalsRowDxfId="425"/>
    <tableColumn id="42" name="помощь в получении юр.услуг" totalsRowFunction="sum" dataDxfId="424" totalsRowDxfId="423"/>
  </tableColumns>
  <tableStyleInfo name="Social" showFirstColumn="0" showLastColumn="0" showRowStripes="1" showColumnStripes="1"/>
</table>
</file>

<file path=xl/tables/table20.xml><?xml version="1.0" encoding="utf-8"?>
<table xmlns="http://schemas.openxmlformats.org/spreadsheetml/2006/main" id="47" name="ИюньТипСчета" displayName="ИюньТипСчета" ref="C1:C2" totalsRowShown="0" headerRowDxfId="422" dataDxfId="421">
  <autoFilter ref="C1:C2">
    <filterColumn colId="0" hiddenButton="1"/>
  </autoFilter>
  <tableColumns count="1">
    <tableColumn id="1" name="Тип Счета" dataDxfId="420"/>
  </tableColumns>
  <tableStyleInfo name="TableStyleLight16" showFirstColumn="0" showLastColumn="0" showRowStripes="1" showColumnStripes="0"/>
</table>
</file>

<file path=xl/tables/table21.xml><?xml version="1.0" encoding="utf-8"?>
<table xmlns="http://schemas.openxmlformats.org/spreadsheetml/2006/main" id="15" name="ИюльУслуги" displayName="ИюльУслуги" ref="A4:C9" totalsRowShown="0" headerRowDxfId="419" dataDxfId="418">
  <autoFilter ref="A4:C9">
    <filterColumn colId="0" hiddenButton="1"/>
    <filterColumn colId="1" hiddenButton="1"/>
    <filterColumn colId="2" hiddenButton="1"/>
  </autoFilter>
  <tableColumns count="3">
    <tableColumn id="1" name="Услуги" dataDxfId="417"/>
    <tableColumn id="2" name="б/пл." dataDxfId="416"/>
    <tableColumn id="3" name="пл." dataDxfId="415"/>
  </tableColumns>
  <tableStyleInfo name="TableStyleLight15" showFirstColumn="0" showLastColumn="0" showRowStripes="1" showColumnStripes="0"/>
</table>
</file>

<file path=xl/tables/table22.xml><?xml version="1.0" encoding="utf-8"?>
<table xmlns="http://schemas.openxmlformats.org/spreadsheetml/2006/main" id="16" name="ИюльДанные" displayName="ИюльДанные" ref="A11:AN12" headerRowDxfId="414" dataDxfId="413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totalsRowLabel="Итог" dataDxfId="412" totalsRowDxfId="411"/>
    <tableColumn id="2" name="Получатели ФИО" dataDxfId="410" totalsRowDxfId="409"/>
    <tableColumn id="3" name="Признак учета" dataDxfId="408" totalsRowDxfId="407"/>
    <tableColumn id="5" name="Итого" totalsRowFunction="sum" dataDxfId="406" totalsRowDxfId="405">
      <calculatedColumnFormula>SUM(INDIRECT(ADDRESS(ROW(ИюльДанные[[#This Row],[Итого]]),COLUMN(ИюльДанные[[#This Row],[Итого]])+2)):INDIRECT(ADDRESS(ROW(ИюльДанные[[#This Row],[Итого]]),COUNTA(ИюльДанные[#Headers]))))</calculatedColumnFormula>
    </tableColumn>
    <tableColumn id="6" name="Среднее кол-во услуг на 1 получ. Усл." totalsRowFunction="sum" dataDxfId="404" totalsRowDxfId="403">
      <calculatedColumnFormula>ИюльДанные[[#This Row],[Итого]]/COUNTIFS(ИюльДанные[Соц. Работник],ИюльДанные[[#This Row],[Соц. Работник]])</calculatedColumnFormula>
    </tableColumn>
    <tableColumn id="7" name="покупка продуктов" totalsRowFunction="sum" dataDxfId="402" totalsRowDxfId="401"/>
    <tableColumn id="9" name="помощь в приготовлении пищи" totalsRowFunction="sum" dataDxfId="400" totalsRowDxfId="399"/>
    <tableColumn id="10" name="кормление" totalsRowFunction="sum" dataDxfId="398" totalsRowDxfId="397"/>
    <tableColumn id="11" name="оплата коммунальныхи услуг и связи" totalsRowFunction="sum" dataDxfId="396" totalsRowDxfId="395"/>
    <tableColumn id="12" name="вынос мусора" totalsRowFunction="sum" dataDxfId="394" totalsRowDxfId="393"/>
    <tableColumn id="13" name="смена штор" totalsRowFunction="sum" dataDxfId="392" totalsRowDxfId="391"/>
    <tableColumn id="14" name="уборка б/у" totalsRowFunction="sum" dataDxfId="390" totalsRowDxfId="389"/>
    <tableColumn id="15" name="уборка с/у" totalsRowFunction="sum" dataDxfId="388" totalsRowDxfId="387"/>
    <tableColumn id="16" name="помывка в ванной" totalsRowFunction="sum" dataDxfId="386" totalsRowDxfId="385"/>
    <tableColumn id="17" name="смена постельного белья" totalsRowFunction="sum" dataDxfId="384" totalsRowDxfId="383"/>
    <tableColumn id="18" name="смена нательного белья" totalsRowFunction="sum" dataDxfId="382" totalsRowDxfId="381"/>
    <tableColumn id="19" name="обработка ногтей" totalsRowFunction="sum" dataDxfId="380" totalsRowDxfId="379"/>
    <tableColumn id="20" name="оказание помощи при стирке вещей" totalsRowFunction="sum" dataDxfId="378" totalsRowDxfId="377"/>
    <tableColumn id="21" name="стирка вещей" totalsRowFunction="sum" dataDxfId="376" totalsRowDxfId="375"/>
    <tableColumn id="22" name="доставка воды" totalsRowFunction="sum" dataDxfId="374" totalsRowDxfId="373"/>
    <tableColumn id="23" name="покупка топлива, топка печей" totalsRowFunction="sum" dataDxfId="372" totalsRowDxfId="371"/>
    <tableColumn id="24" name="сод-е в получении услуг в пр.торговли, КБО" totalsRowFunction="sum" dataDxfId="370" totalsRowDxfId="369"/>
    <tableColumn id="25" name="сод-е в организации ритуальных услуг" totalsRowFunction="sum" dataDxfId="368" totalsRowDxfId="367"/>
    <tableColumn id="26" name="присмотр за детьми" totalsRowFunction="sum" dataDxfId="366" totalsRowDxfId="365"/>
    <tableColumn id="27" name="письма" totalsRowFunction="sum" dataDxfId="364" totalsRowDxfId="363"/>
    <tableColumn id="28" name="снег" totalsRowFunction="sum" dataDxfId="362" totalsRowDxfId="361"/>
    <tableColumn id="29" name="вып. процедур, связанных с сохранением здоровья" totalsRowFunction="sum" dataDxfId="360" totalsRowDxfId="359"/>
    <tableColumn id="30" name="покупка лекарств, выписка рецептов" totalsRowFunction="sum" dataDxfId="358" totalsRowDxfId="357"/>
    <tableColumn id="31" name="сиделка" totalsRowFunction="sum" dataDxfId="356" totalsRowDxfId="355"/>
    <tableColumn id="32" name="сод-е в госпитализации" totalsRowFunction="sum" dataDxfId="354" totalsRowDxfId="353"/>
    <tableColumn id="33" name="сод-е сан-кур. лечение" totalsRowFunction="sum" dataDxfId="352" totalsRowDxfId="351"/>
    <tableColumn id="34" name="содействие в получ. тех. средств" totalsRowFunction="sum" dataDxfId="350" totalsRowDxfId="349"/>
    <tableColumn id="35" name="сод-е в провед. мед. обслед. (запись)" totalsRowFunction="sum" dataDxfId="348" totalsRowDxfId="347"/>
    <tableColumn id="36" name="консультирование по соц-мед.вопросам" totalsRowFunction="sum" dataDxfId="346" totalsRowDxfId="345"/>
    <tableColumn id="37" name="сод-е в прохождении МСЭ" totalsRowFunction="sum" dataDxfId="344" totalsRowDxfId="343"/>
    <tableColumn id="38" name="вызов врача на дом по телефону" totalsRowFunction="sum" dataDxfId="342" totalsRowDxfId="341"/>
    <tableColumn id="39" name="беседа" totalsRowFunction="sum" dataDxfId="340" totalsRowDxfId="339"/>
    <tableColumn id="40" name="соц-пед.услуги" totalsRowFunction="sum" dataDxfId="338" totalsRowDxfId="337"/>
    <tableColumn id="41" name="оказание помощи в оформлении документов" totalsRowFunction="sum" dataDxfId="336" totalsRowDxfId="335"/>
    <tableColumn id="42" name="помощь в получении юр.услуг" totalsRowFunction="sum" dataDxfId="334" totalsRowDxfId="333"/>
  </tableColumns>
  <tableStyleInfo name="Social" showFirstColumn="0" showLastColumn="0" showRowStripes="1" showColumnStripes="1"/>
</table>
</file>

<file path=xl/tables/table23.xml><?xml version="1.0" encoding="utf-8"?>
<table xmlns="http://schemas.openxmlformats.org/spreadsheetml/2006/main" id="34" name="ИюльТипСчета" displayName="ИюльТипСчета" ref="C1:C2" totalsRowShown="0" headerRowDxfId="332" dataDxfId="331">
  <autoFilter ref="C1:C2">
    <filterColumn colId="0" hiddenButton="1"/>
  </autoFilter>
  <tableColumns count="1">
    <tableColumn id="1" name="Тип Счета" dataDxfId="330"/>
  </tableColumns>
  <tableStyleInfo name="TableStyleLight16" showFirstColumn="0" showLastColumn="0" showRowStripes="1" showColumnStripes="0"/>
</table>
</file>

<file path=xl/tables/table24.xml><?xml version="1.0" encoding="utf-8"?>
<table xmlns="http://schemas.openxmlformats.org/spreadsheetml/2006/main" id="9" name="АвгустУслуги" displayName="АвгустУслуги" ref="A4:C9" totalsRowShown="0" headerRowDxfId="329" dataDxfId="328">
  <autoFilter ref="A4:C9">
    <filterColumn colId="0" hiddenButton="1"/>
    <filterColumn colId="1" hiddenButton="1"/>
    <filterColumn colId="2" hiddenButton="1"/>
  </autoFilter>
  <tableColumns count="3">
    <tableColumn id="1" name="Услуги" dataDxfId="327"/>
    <tableColumn id="2" name="б/пл." dataDxfId="326"/>
    <tableColumn id="3" name="пл." dataDxfId="325"/>
  </tableColumns>
  <tableStyleInfo name="TableStyleLight15" showFirstColumn="0" showLastColumn="0" showRowStripes="1" showColumnStripes="0"/>
</table>
</file>

<file path=xl/tables/table25.xml><?xml version="1.0" encoding="utf-8"?>
<table xmlns="http://schemas.openxmlformats.org/spreadsheetml/2006/main" id="10" name="АвгустДанные" displayName="АвгустДанные" ref="A11:AN12" headerRowDxfId="324" dataDxfId="323" totalsRowDxfId="322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totalsRowLabel="Итог" dataDxfId="321" totalsRowDxfId="320"/>
    <tableColumn id="2" name="Получатели ФИО" dataDxfId="319" totalsRowDxfId="318"/>
    <tableColumn id="3" name="Признак учета" dataDxfId="317" totalsRowDxfId="316"/>
    <tableColumn id="5" name="Итого" totalsRowFunction="sum" dataDxfId="315" totalsRowDxfId="314">
      <calculatedColumnFormula>SUM(INDIRECT(ADDRESS(ROW(АвгустДанные[[#This Row],[Итого]]),COLUMN(АвгустДанные[[#This Row],[Итого]])+2)):INDIRECT(ADDRESS(ROW(АвгустДанные[[#This Row],[Итого]]),COUNTA(АвгустДанные[#Headers]))))</calculatedColumnFormula>
    </tableColumn>
    <tableColumn id="6" name="Среднее кол-во услуг на 1 получ. Усл." totalsRowFunction="sum" dataDxfId="313" totalsRowDxfId="312">
      <calculatedColumnFormula>АвгустДанные[[#This Row],[Итого]]/COUNTIFS(АвгустДанные[Соц. Работник],АвгустДанные[[#This Row],[Соц. Работник]])</calculatedColumnFormula>
    </tableColumn>
    <tableColumn id="7" name="покупка продуктов" totalsRowFunction="sum" dataDxfId="311" totalsRowDxfId="310"/>
    <tableColumn id="9" name="помощь в приготовлении пищи" totalsRowFunction="sum" dataDxfId="309" totalsRowDxfId="308"/>
    <tableColumn id="10" name="кормление" totalsRowFunction="sum" dataDxfId="307" totalsRowDxfId="306"/>
    <tableColumn id="11" name="оплата коммунальныхи услуг и связи" totalsRowFunction="sum" dataDxfId="305" totalsRowDxfId="304"/>
    <tableColumn id="12" name="вынос мусора" totalsRowFunction="sum" dataDxfId="303" totalsRowDxfId="302"/>
    <tableColumn id="13" name="смена штор" totalsRowFunction="sum" dataDxfId="301" totalsRowDxfId="300"/>
    <tableColumn id="14" name="уборка б/у" totalsRowFunction="sum" dataDxfId="299" totalsRowDxfId="298"/>
    <tableColumn id="15" name="уборка с/у" totalsRowFunction="sum" dataDxfId="297" totalsRowDxfId="296"/>
    <tableColumn id="16" name="помывка в ванной" totalsRowFunction="sum" dataDxfId="295" totalsRowDxfId="294"/>
    <tableColumn id="17" name="смена постельного белья" totalsRowFunction="sum" dataDxfId="293" totalsRowDxfId="292"/>
    <tableColumn id="18" name="смена нательного белья" totalsRowFunction="sum" dataDxfId="291" totalsRowDxfId="290"/>
    <tableColumn id="19" name="обработка ногтей" totalsRowFunction="sum" dataDxfId="289" totalsRowDxfId="288"/>
    <tableColumn id="20" name="оказание помощи при стирке вещей" totalsRowFunction="sum" dataDxfId="287" totalsRowDxfId="286"/>
    <tableColumn id="21" name="стирка вещей" totalsRowFunction="sum" dataDxfId="285" totalsRowDxfId="284"/>
    <tableColumn id="22" name="доставка воды" totalsRowFunction="sum" dataDxfId="283" totalsRowDxfId="282"/>
    <tableColumn id="23" name="покупка топлива, топка печей" totalsRowFunction="sum" dataDxfId="281" totalsRowDxfId="280"/>
    <tableColumn id="24" name="сод-е в получении услуг в пр.торговли, КБО" totalsRowFunction="sum" dataDxfId="279" totalsRowDxfId="278"/>
    <tableColumn id="25" name="сод-е в организации ритуальных услуг" totalsRowFunction="sum" dataDxfId="277" totalsRowDxfId="276"/>
    <tableColumn id="26" name="присмотр за детьми" totalsRowFunction="sum" dataDxfId="275" totalsRowDxfId="274"/>
    <tableColumn id="27" name="письма" totalsRowFunction="sum" dataDxfId="273" totalsRowDxfId="272"/>
    <tableColumn id="28" name="снег" totalsRowFunction="sum" dataDxfId="271" totalsRowDxfId="270"/>
    <tableColumn id="29" name="вып. процедур, связанных с сохранением здоровья" totalsRowFunction="sum" dataDxfId="269" totalsRowDxfId="268"/>
    <tableColumn id="30" name="покупка лекарств, выписка рецептов" totalsRowFunction="sum" dataDxfId="267" totalsRowDxfId="266"/>
    <tableColumn id="31" name="сиделка" totalsRowFunction="sum" dataDxfId="265" totalsRowDxfId="264"/>
    <tableColumn id="32" name="сод-е в госпитализации" totalsRowFunction="sum" dataDxfId="263" totalsRowDxfId="262"/>
    <tableColumn id="33" name="сод-е сан-кур. лечение" totalsRowFunction="sum" dataDxfId="261" totalsRowDxfId="260"/>
    <tableColumn id="34" name="содействие в получ. тех. средств" totalsRowFunction="sum" dataDxfId="259" totalsRowDxfId="258"/>
    <tableColumn id="35" name="сод-е в провед. мед. обслед. (запись)" totalsRowFunction="sum" dataDxfId="257" totalsRowDxfId="256"/>
    <tableColumn id="36" name="консультирование по соц-мед.вопросам" totalsRowFunction="sum" dataDxfId="255" totalsRowDxfId="254"/>
    <tableColumn id="37" name="сод-е в прохождении МСЭ" totalsRowFunction="sum" dataDxfId="253" totalsRowDxfId="252"/>
    <tableColumn id="38" name="вызов врача на дом по телефону" totalsRowFunction="sum" dataDxfId="251" totalsRowDxfId="250"/>
    <tableColumn id="39" name="беседа" totalsRowFunction="sum" dataDxfId="249" totalsRowDxfId="248"/>
    <tableColumn id="40" name="соц-пед.услуги" totalsRowFunction="sum" dataDxfId="247" totalsRowDxfId="246"/>
    <tableColumn id="41" name="оказание помощи в оформлении документов" totalsRowFunction="sum" dataDxfId="245" totalsRowDxfId="244"/>
    <tableColumn id="42" name="помощь в получении юр.услуг" totalsRowFunction="sum" dataDxfId="243" totalsRowDxfId="242"/>
  </tableColumns>
  <tableStyleInfo name="Social" showFirstColumn="0" showLastColumn="0" showRowStripes="1" showColumnStripes="1"/>
</table>
</file>

<file path=xl/tables/table26.xml><?xml version="1.0" encoding="utf-8"?>
<table xmlns="http://schemas.openxmlformats.org/spreadsheetml/2006/main" id="11" name="АвгустТипСчета" displayName="АвгустТипСчета" ref="C1:C2" totalsRowShown="0" headerRowDxfId="241" dataDxfId="240">
  <autoFilter ref="C1:C2">
    <filterColumn colId="0" hiddenButton="1"/>
  </autoFilter>
  <tableColumns count="1">
    <tableColumn id="1" name="Тип Счета" dataDxfId="239"/>
  </tableColumns>
  <tableStyleInfo name="TableStyleLight16" showFirstColumn="0" showLastColumn="0" showRowStripes="1" showColumnStripes="0"/>
</table>
</file>

<file path=xl/tables/table27.xml><?xml version="1.0" encoding="utf-8"?>
<table xmlns="http://schemas.openxmlformats.org/spreadsheetml/2006/main" id="19" name="СентябрьУслуги" displayName="СентябрьУслуги" ref="A4:C9" totalsRowShown="0" headerRowDxfId="238" dataDxfId="237">
  <autoFilter ref="A4:C9">
    <filterColumn colId="0" hiddenButton="1"/>
    <filterColumn colId="1" hiddenButton="1"/>
    <filterColumn colId="2" hiddenButton="1"/>
  </autoFilter>
  <tableColumns count="3">
    <tableColumn id="1" name="Услуги" dataDxfId="236"/>
    <tableColumn id="2" name="б/пл." dataDxfId="235"/>
    <tableColumn id="3" name="пл." dataDxfId="234"/>
  </tableColumns>
  <tableStyleInfo name="TableStyleLight15" showFirstColumn="0" showLastColumn="0" showRowStripes="1" showColumnStripes="0"/>
</table>
</file>

<file path=xl/tables/table28.xml><?xml version="1.0" encoding="utf-8"?>
<table xmlns="http://schemas.openxmlformats.org/spreadsheetml/2006/main" id="20" name="СентябрьДанные" displayName="СентябрьДанные" ref="A11:AN12" totalsRowShown="0" headerRowDxfId="233" dataDxfId="232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dataDxfId="231"/>
    <tableColumn id="2" name="Получатели ФИО" dataDxfId="230"/>
    <tableColumn id="3" name="Признак учета" dataDxfId="229"/>
    <tableColumn id="5" name="Итого" dataDxfId="228">
      <calculatedColumnFormula>SUM(INDIRECT(ADDRESS(ROW(СентябрьДанные[[#This Row],[Итого]]),COLUMN(СентябрьДанные[[#This Row],[Итого]])+2)):INDIRECT(ADDRESS(ROW(СентябрьДанные[[#This Row],[Итого]]),COUNTA(СентябрьДанные[#Headers]))))</calculatedColumnFormula>
    </tableColumn>
    <tableColumn id="6" name="Среднее кол-во услуг на 1 получ. Усл." dataDxfId="227">
      <calculatedColumnFormula>СентябрьДанные[[#This Row],[Итого]]/COUNTIFS(СентябрьДанные[Соц. Работник],СентябрьДанные[[#This Row],[Соц. Работник]])</calculatedColumnFormula>
    </tableColumn>
    <tableColumn id="7" name="покупка продуктов" dataDxfId="226"/>
    <tableColumn id="9" name="помощь в приготовлении пищи" dataDxfId="225"/>
    <tableColumn id="10" name="кормление" dataDxfId="224"/>
    <tableColumn id="11" name="оплата коммунальныхи услуг и связи" dataDxfId="223"/>
    <tableColumn id="12" name="вынос мусора" dataDxfId="222"/>
    <tableColumn id="13" name="смена штор" dataDxfId="221"/>
    <tableColumn id="14" name="уборка б/у" dataDxfId="220"/>
    <tableColumn id="15" name="уборка с/у" dataDxfId="219"/>
    <tableColumn id="16" name="помывка в ванной" dataDxfId="218"/>
    <tableColumn id="17" name="смена постельного белья" dataDxfId="217"/>
    <tableColumn id="18" name="смена нательного белья" dataDxfId="216"/>
    <tableColumn id="19" name="обработка ногтей" dataDxfId="215"/>
    <tableColumn id="20" name="оказание помощи при стирке вещей" dataDxfId="214"/>
    <tableColumn id="21" name="стирка вещей" dataDxfId="213"/>
    <tableColumn id="22" name="доставка воды" dataDxfId="212"/>
    <tableColumn id="23" name="покупка топлива, топка печей" dataDxfId="211"/>
    <tableColumn id="24" name="сод-е в получении услуг в пр.торговли, КБО" dataDxfId="210"/>
    <tableColumn id="25" name="сод-е в организации ритуальных услуг" dataDxfId="209"/>
    <tableColumn id="26" name="присмотр за детьми" dataDxfId="208"/>
    <tableColumn id="27" name="письма" dataDxfId="207"/>
    <tableColumn id="28" name="снег" dataDxfId="206"/>
    <tableColumn id="29" name="вып. процедур, связанных с сохранением здоровья" dataDxfId="205"/>
    <tableColumn id="30" name="покупка лекарств, выписка рецептов" dataDxfId="204"/>
    <tableColumn id="31" name="сиделка" dataDxfId="203"/>
    <tableColumn id="32" name="сод-е в госпитализации" dataDxfId="202"/>
    <tableColumn id="33" name="сод-е сан-кур. лечение" dataDxfId="201"/>
    <tableColumn id="34" name="содействие в получ. тех. средств" dataDxfId="200"/>
    <tableColumn id="35" name="сод-е в провед. мед. обслед. (запись)" dataDxfId="199"/>
    <tableColumn id="36" name="консультирование по соц-мед.вопросам" dataDxfId="198"/>
    <tableColumn id="37" name="сод-е в прохождении МСЭ" dataDxfId="197"/>
    <tableColumn id="38" name="вызов врача на дом по телефону" dataDxfId="196"/>
    <tableColumn id="39" name="беседа" dataDxfId="195"/>
    <tableColumn id="40" name="соц-пед.услуги" dataDxfId="194"/>
    <tableColumn id="41" name="оказание помощи в оформлении документов" dataDxfId="193"/>
    <tableColumn id="42" name="помощь в получении юр.услуг" dataDxfId="192"/>
  </tableColumns>
  <tableStyleInfo name="Social" showFirstColumn="0" showLastColumn="0" showRowStripes="1" showColumnStripes="1"/>
</table>
</file>

<file path=xl/tables/table29.xml><?xml version="1.0" encoding="utf-8"?>
<table xmlns="http://schemas.openxmlformats.org/spreadsheetml/2006/main" id="36" name="СентябрьТипСчета" displayName="СентябрьТипСчета" ref="C1:C2" totalsRowShown="0" headerRowDxfId="191" dataDxfId="190">
  <autoFilter ref="C1:C2">
    <filterColumn colId="0" hiddenButton="1"/>
  </autoFilter>
  <tableColumns count="1">
    <tableColumn id="1" name="Тип Счета" dataDxfId="189"/>
  </tableColumns>
  <tableStyleInfo name="TableStyleLight16" showFirstColumn="0" showLastColumn="0" showRowStripes="1" showColumnStripes="0"/>
</table>
</file>

<file path=xl/tables/table30.xml><?xml version="1.0" encoding="utf-8"?>
<table xmlns="http://schemas.openxmlformats.org/spreadsheetml/2006/main" id="21" name="ОктябрьУслуги" displayName="ОктябрьУслуги" ref="A4:C9" totalsRowShown="0" headerRowDxfId="188" dataDxfId="187">
  <autoFilter ref="A4:C9">
    <filterColumn colId="0" hiddenButton="1"/>
    <filterColumn colId="1" hiddenButton="1"/>
    <filterColumn colId="2" hiddenButton="1"/>
  </autoFilter>
  <tableColumns count="3">
    <tableColumn id="1" name="Услуги" dataDxfId="186"/>
    <tableColumn id="2" name="б/пл." dataDxfId="185"/>
    <tableColumn id="3" name="пл." dataDxfId="184"/>
  </tableColumns>
  <tableStyleInfo name="TableStyleLight15" showFirstColumn="0" showLastColumn="0" showRowStripes="1" showColumnStripes="0"/>
</table>
</file>

<file path=xl/tables/table31.xml><?xml version="1.0" encoding="utf-8"?>
<table xmlns="http://schemas.openxmlformats.org/spreadsheetml/2006/main" id="22" name="ОктябрьДанные" displayName="ОктябрьДанные" ref="A11:AN12" totalsRowShown="0" headerRowDxfId="183" dataDxfId="182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dataDxfId="181"/>
    <tableColumn id="2" name="Получатели ФИО" dataDxfId="180"/>
    <tableColumn id="3" name="Признак учета" dataDxfId="179"/>
    <tableColumn id="5" name="Итого" dataDxfId="178">
      <calculatedColumnFormula>SUM(INDIRECT(ADDRESS(ROW(ОктябрьДанные[[#This Row],[Итого]]),COLUMN(ОктябрьДанные[[#This Row],[Итого]])+2)):INDIRECT(ADDRESS(ROW(ОктябрьДанные[[#This Row],[Итого]]),COUNTA(ОктябрьДанные[#Headers]))))</calculatedColumnFormula>
    </tableColumn>
    <tableColumn id="6" name="Среднее кол-во услуг на 1 получ. Усл." dataDxfId="177">
      <calculatedColumnFormula>ОктябрьДанные[[#This Row],[Итого]]/COUNTIFS(ОктябрьДанные[Соц. Работник],ОктябрьДанные[[#This Row],[Соц. Работник]])</calculatedColumnFormula>
    </tableColumn>
    <tableColumn id="7" name="покупка продуктов" dataDxfId="176"/>
    <tableColumn id="9" name="помощь в приготовлении пищи" dataDxfId="175"/>
    <tableColumn id="10" name="кормление" dataDxfId="174"/>
    <tableColumn id="11" name="оплата коммунальныхи услуг и связи" dataDxfId="173"/>
    <tableColumn id="12" name="вынос мусора" dataDxfId="172"/>
    <tableColumn id="13" name="смена штор" dataDxfId="171"/>
    <tableColumn id="14" name="уборка б/у" dataDxfId="170"/>
    <tableColumn id="15" name="уборка с/у" dataDxfId="169"/>
    <tableColumn id="16" name="помывка в ванной" dataDxfId="168"/>
    <tableColumn id="17" name="смена постельного белья" dataDxfId="167"/>
    <tableColumn id="18" name="смена нательного белья" dataDxfId="166"/>
    <tableColumn id="19" name="обработка ногтей" dataDxfId="165"/>
    <tableColumn id="20" name="оказание помощи при стирке вещей" dataDxfId="164"/>
    <tableColumn id="21" name="стирка вещей" dataDxfId="163"/>
    <tableColumn id="22" name="доставка воды" dataDxfId="162"/>
    <tableColumn id="23" name="покупка топлива, топка печей" dataDxfId="161"/>
    <tableColumn id="24" name="сод-е в получении услуг в пр.торговли, КБО" dataDxfId="160"/>
    <tableColumn id="25" name="сод-е в организации ритуальных услуг" dataDxfId="159"/>
    <tableColumn id="26" name="присмотр за детьми" dataDxfId="158"/>
    <tableColumn id="27" name="письма" dataDxfId="157"/>
    <tableColumn id="28" name="снег" dataDxfId="156"/>
    <tableColumn id="29" name="вып. процедур, связанных с сохранением здоровья" dataDxfId="155"/>
    <tableColumn id="30" name="покупка лекарств, выписка рецептов" dataDxfId="154"/>
    <tableColumn id="31" name="сиделка" dataDxfId="153"/>
    <tableColumn id="32" name="сод-е в госпитализации" dataDxfId="152"/>
    <tableColumn id="33" name="сод-е сан-кур. лечение" dataDxfId="151"/>
    <tableColumn id="34" name="содействие в получ. тех. средств" dataDxfId="150"/>
    <tableColumn id="35" name="сод-е в провед. мед. обслед. (запись)" dataDxfId="149"/>
    <tableColumn id="36" name="консультирование по соц-мед.вопросам" dataDxfId="148"/>
    <tableColumn id="37" name="сод-е в прохождении МСЭ" dataDxfId="147"/>
    <tableColumn id="38" name="вызов врача на дом по телефону" dataDxfId="146"/>
    <tableColumn id="39" name="беседа" dataDxfId="145"/>
    <tableColumn id="40" name="соц-пед.услуги" dataDxfId="144"/>
    <tableColumn id="41" name="оказание помощи в оформлении документов" dataDxfId="143"/>
    <tableColumn id="42" name="помощь в получении юр.услуг" dataDxfId="142"/>
  </tableColumns>
  <tableStyleInfo name="Social" showFirstColumn="0" showLastColumn="0" showRowStripes="1" showColumnStripes="1"/>
</table>
</file>

<file path=xl/tables/table32.xml><?xml version="1.0" encoding="utf-8"?>
<table xmlns="http://schemas.openxmlformats.org/spreadsheetml/2006/main" id="37" name="ОктябрьТипСчета" displayName="ОктябрьТипСчета" ref="C1:C2" totalsRowShown="0" headerRowDxfId="141" dataDxfId="140">
  <autoFilter ref="C1:C2">
    <filterColumn colId="0" hiddenButton="1"/>
  </autoFilter>
  <tableColumns count="1">
    <tableColumn id="1" name="Тип Счета" dataDxfId="139"/>
  </tableColumns>
  <tableStyleInfo name="TableStyleLight16" showFirstColumn="0" showLastColumn="0" showRowStripes="1" showColumnStripes="0"/>
</table>
</file>

<file path=xl/tables/table33.xml><?xml version="1.0" encoding="utf-8"?>
<table xmlns="http://schemas.openxmlformats.org/spreadsheetml/2006/main" id="23" name="НоябрьУслуги" displayName="НоябрьУслуги" ref="A4:C9" totalsRowShown="0" headerRowDxfId="138" dataDxfId="137">
  <autoFilter ref="A4:C9">
    <filterColumn colId="0" hiddenButton="1"/>
    <filterColumn colId="1" hiddenButton="1"/>
    <filterColumn colId="2" hiddenButton="1"/>
  </autoFilter>
  <tableColumns count="3">
    <tableColumn id="1" name="Услуги" dataDxfId="136"/>
    <tableColumn id="2" name="б/пл." dataDxfId="135"/>
    <tableColumn id="3" name="пл." dataDxfId="134"/>
  </tableColumns>
  <tableStyleInfo name="TableStyleLight15" showFirstColumn="0" showLastColumn="0" showRowStripes="1" showColumnStripes="0"/>
</table>
</file>

<file path=xl/tables/table34.xml><?xml version="1.0" encoding="utf-8"?>
<table xmlns="http://schemas.openxmlformats.org/spreadsheetml/2006/main" id="24" name="НоябрьДанные" displayName="НоябрьДанные" ref="A11:AN12" totalsRowShown="0" headerRowDxfId="133" dataDxfId="132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dataDxfId="131"/>
    <tableColumn id="2" name="Получатели ФИО" dataDxfId="130"/>
    <tableColumn id="3" name="Признак учета" dataDxfId="129"/>
    <tableColumn id="5" name="Итого" dataDxfId="128">
      <calculatedColumnFormula>SUM(INDIRECT(ADDRESS(ROW(НоябрьДанные[[#This Row],[Итого]]),COLUMN(НоябрьДанные[[#This Row],[Итого]])+2)):INDIRECT(ADDRESS(ROW(НоябрьДанные[[#This Row],[Итого]]),COUNTA(НоябрьДанные[#Headers]))))</calculatedColumnFormula>
    </tableColumn>
    <tableColumn id="6" name="Среднее кол-во услуг на 1 получ. Усл." dataDxfId="127">
      <calculatedColumnFormula>НоябрьДанные[[#This Row],[Итого]]/COUNTIFS(НоябрьДанные[Соц. Работник],НоябрьДанные[[#This Row],[Соц. Работник]])</calculatedColumnFormula>
    </tableColumn>
    <tableColumn id="7" name="покупка продуктов" dataDxfId="126"/>
    <tableColumn id="9" name="помощь в приготовлении пищи" dataDxfId="125"/>
    <tableColumn id="10" name="кормление" dataDxfId="124"/>
    <tableColumn id="11" name="оплата коммунальныхи услуг и связи" dataDxfId="123"/>
    <tableColumn id="12" name="вынос мусора" dataDxfId="122"/>
    <tableColumn id="13" name="смена штор" dataDxfId="121"/>
    <tableColumn id="14" name="уборка б/у" dataDxfId="120"/>
    <tableColumn id="15" name="уборка с/у" dataDxfId="119"/>
    <tableColumn id="16" name="помывка в ванной" dataDxfId="118"/>
    <tableColumn id="17" name="смена постельного белья" dataDxfId="117"/>
    <tableColumn id="18" name="смена нательного белья" dataDxfId="116"/>
    <tableColumn id="19" name="обработка ногтей" dataDxfId="115"/>
    <tableColumn id="20" name="оказание помощи при стирке вещей" dataDxfId="114"/>
    <tableColumn id="21" name="стирка вещей" dataDxfId="113"/>
    <tableColumn id="22" name="доставка воды" dataDxfId="112"/>
    <tableColumn id="23" name="покупка топлива, топка печей" dataDxfId="111"/>
    <tableColumn id="24" name="сод-е в получении услуг в пр.торговли, КБО" dataDxfId="110"/>
    <tableColumn id="25" name="сод-е в организации ритуальных услуг" dataDxfId="109"/>
    <tableColumn id="26" name="присмотр за детьми" dataDxfId="108"/>
    <tableColumn id="27" name="письма" dataDxfId="107"/>
    <tableColumn id="28" name="снег" dataDxfId="106"/>
    <tableColumn id="29" name="вып. процедур, связанных с сохранением здоровья" dataDxfId="105"/>
    <tableColumn id="30" name="покупка лекарств, выписка рецептов" dataDxfId="104"/>
    <tableColumn id="31" name="сиделка" dataDxfId="103"/>
    <tableColumn id="32" name="сод-е в госпитализации" dataDxfId="102"/>
    <tableColumn id="33" name="сод-е сан-кур. лечение" dataDxfId="101"/>
    <tableColumn id="34" name="содействие в получ. тех. средств" dataDxfId="100"/>
    <tableColumn id="35" name="сод-е в провед. мед. обслед. (запись)" dataDxfId="99"/>
    <tableColumn id="36" name="консультирование по соц-мед.вопросам" dataDxfId="98"/>
    <tableColumn id="37" name="сод-е в прохождении МСЭ" dataDxfId="97"/>
    <tableColumn id="38" name="вызов врача на дом по телефону" dataDxfId="96"/>
    <tableColumn id="39" name="беседа" dataDxfId="95"/>
    <tableColumn id="40" name="соц-пед.услуги" dataDxfId="94"/>
    <tableColumn id="41" name="оказание помощи в оформлении документов" dataDxfId="93"/>
    <tableColumn id="42" name="помощь в получении юр.услуг" dataDxfId="92"/>
  </tableColumns>
  <tableStyleInfo name="Social" showFirstColumn="0" showLastColumn="0" showRowStripes="1" showColumnStripes="1"/>
</table>
</file>

<file path=xl/tables/table35.xml><?xml version="1.0" encoding="utf-8"?>
<table xmlns="http://schemas.openxmlformats.org/spreadsheetml/2006/main" id="38" name="НоябрьТипСчета" displayName="НоябрьТипСчета" ref="C1:C2" totalsRowShown="0" headerRowDxfId="91" dataDxfId="90">
  <autoFilter ref="C1:C2">
    <filterColumn colId="0" hiddenButton="1"/>
  </autoFilter>
  <tableColumns count="1">
    <tableColumn id="1" name="Тип Счета" dataDxfId="89"/>
  </tableColumns>
  <tableStyleInfo name="TableStyleLight16" showFirstColumn="0" showLastColumn="0" showRowStripes="1" showColumnStripes="0"/>
</table>
</file>

<file path=xl/tables/table36.xml><?xml version="1.0" encoding="utf-8"?>
<table xmlns="http://schemas.openxmlformats.org/spreadsheetml/2006/main" id="25" name="ДекабрьУслуги" displayName="ДекабрьУслуги" ref="A4:C9" totalsRowShown="0" headerRowDxfId="88" dataDxfId="87">
  <autoFilter ref="A4:C9">
    <filterColumn colId="0" hiddenButton="1"/>
    <filterColumn colId="1" hiddenButton="1"/>
    <filterColumn colId="2" hiddenButton="1"/>
  </autoFilter>
  <tableColumns count="3">
    <tableColumn id="1" name="Услуги" dataDxfId="86"/>
    <tableColumn id="2" name="б/пл." dataDxfId="85"/>
    <tableColumn id="3" name="пл." dataDxfId="84"/>
  </tableColumns>
  <tableStyleInfo name="TableStyleLight15" showFirstColumn="0" showLastColumn="0" showRowStripes="1" showColumnStripes="0"/>
</table>
</file>

<file path=xl/tables/table37.xml><?xml version="1.0" encoding="utf-8"?>
<table xmlns="http://schemas.openxmlformats.org/spreadsheetml/2006/main" id="26" name="ДекабрьДанные" displayName="ДекабрьДанные" ref="A11:AN12" totalsRowShown="0" headerRowDxfId="83" dataDxfId="82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dataDxfId="81"/>
    <tableColumn id="2" name="Получатели ФИО" dataDxfId="80"/>
    <tableColumn id="3" name="Признак учета" dataDxfId="79"/>
    <tableColumn id="5" name="Итого" dataDxfId="78">
      <calculatedColumnFormula>SUM(INDIRECT(ADDRESS(ROW(ДекабрьДанные[[#This Row],[Итого]]),COLUMN(ДекабрьДанные[[#This Row],[Итого]])+2)):INDIRECT(ADDRESS(ROW(ДекабрьДанные[[#This Row],[Итого]]),COUNTA(ДекабрьДанные[#Headers]))))</calculatedColumnFormula>
    </tableColumn>
    <tableColumn id="6" name="Среднее кол-во услуг на 1 получ. Усл." dataDxfId="77">
      <calculatedColumnFormula>ДекабрьДанные[[#This Row],[Итого]]/COUNTIFS(ДекабрьДанные[Соц. Работник],ДекабрьДанные[[#This Row],[Соц. Работник]])</calculatedColumnFormula>
    </tableColumn>
    <tableColumn id="7" name="покупка продуктов" dataDxfId="76"/>
    <tableColumn id="9" name="помощь в приготовлении пищи" dataDxfId="75"/>
    <tableColumn id="10" name="кормление" dataDxfId="74"/>
    <tableColumn id="11" name="оплата коммунальныхи услуг и связи" dataDxfId="73"/>
    <tableColumn id="12" name="вынос мусора" dataDxfId="72"/>
    <tableColumn id="13" name="смена штор" dataDxfId="71"/>
    <tableColumn id="14" name="уборка б/у" dataDxfId="70"/>
    <tableColumn id="15" name="уборка с/у" dataDxfId="69"/>
    <tableColumn id="16" name="помывка в ванной" dataDxfId="68"/>
    <tableColumn id="17" name="смена постельного белья" dataDxfId="67"/>
    <tableColumn id="18" name="смена нательного белья" dataDxfId="66"/>
    <tableColumn id="19" name="обработка ногтей" dataDxfId="65"/>
    <tableColumn id="20" name="оказание помощи при стирке вещей" dataDxfId="64"/>
    <tableColumn id="21" name="стирка вещей" dataDxfId="63"/>
    <tableColumn id="22" name="доставка воды" dataDxfId="62"/>
    <tableColumn id="23" name="покупка топлива, топка печей" dataDxfId="61"/>
    <tableColumn id="24" name="сод-е в получении услуг в пр.торговли, КБО" dataDxfId="60"/>
    <tableColumn id="25" name="сод-е в организации ритуальных услуг" dataDxfId="59"/>
    <tableColumn id="26" name="присмотр за детьми" dataDxfId="58"/>
    <tableColumn id="27" name="письма" dataDxfId="57"/>
    <tableColumn id="28" name="снег" dataDxfId="56"/>
    <tableColumn id="29" name="вып. процедур, связанных с сохранением здоровья" dataDxfId="55"/>
    <tableColumn id="30" name="покупка лекарств, выписка рецептов" dataDxfId="54"/>
    <tableColumn id="31" name="сиделка" dataDxfId="53"/>
    <tableColumn id="32" name="сод-е в госпитализации" dataDxfId="52"/>
    <tableColumn id="33" name="сод-е сан-кур. лечение" dataDxfId="51"/>
    <tableColumn id="34" name="содействие в получ. тех. средств" dataDxfId="50"/>
    <tableColumn id="35" name="сод-е в провед. мед. обслед. (запись)" dataDxfId="49"/>
    <tableColumn id="36" name="консультирование по соц-мед.вопросам" dataDxfId="48"/>
    <tableColumn id="37" name="сод-е в прохождении МСЭ" dataDxfId="47"/>
    <tableColumn id="38" name="вызов врача на дом по телефону" dataDxfId="46"/>
    <tableColumn id="39" name="беседа" dataDxfId="45"/>
    <tableColumn id="40" name="соц-пед.услуги" dataDxfId="44"/>
    <tableColumn id="41" name="оказание помощи в оформлении документов" dataDxfId="43"/>
    <tableColumn id="42" name="помощь в получении юр.услуг" dataDxfId="42"/>
  </tableColumns>
  <tableStyleInfo name="Social" showFirstColumn="0" showLastColumn="0" showRowStripes="1" showColumnStripes="1"/>
</table>
</file>

<file path=xl/tables/table38.xml><?xml version="1.0" encoding="utf-8"?>
<table xmlns="http://schemas.openxmlformats.org/spreadsheetml/2006/main" id="39" name="ДекабрьТипСчета" displayName="ДекабрьТипСчета" ref="C1:C2" totalsRowShown="0" headerRowDxfId="41" dataDxfId="40">
  <autoFilter ref="C1:C2">
    <filterColumn colId="0" hiddenButton="1"/>
  </autoFilter>
  <tableColumns count="1">
    <tableColumn id="1" name="Тип Счета" dataDxfId="39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microsoft.com/office/2007/relationships/slicer" Target="../slicers/slicer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microsoft.com/office/2007/relationships/slicer" Target="../slicers/slicer2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microsoft.com/office/2007/relationships/slicer" Target="../slicers/slicer3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6" Type="http://schemas.microsoft.com/office/2007/relationships/slicer" Target="../slicers/slicer4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microsoft.com/office/2007/relationships/slicer" Target="../slicers/slicer5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Relationship Id="rId6" Type="http://schemas.microsoft.com/office/2007/relationships/slicer" Target="../slicers/slicer6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Relationship Id="rId6" Type="http://schemas.microsoft.com/office/2007/relationships/slicer" Target="../slicers/slicer7.xml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6" Type="http://schemas.microsoft.com/office/2007/relationships/slicer" Target="../slicers/slicer8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Relationship Id="rId6" Type="http://schemas.microsoft.com/office/2007/relationships/slicer" Target="../slicers/slicer9.xml"/><Relationship Id="rId5" Type="http://schemas.openxmlformats.org/officeDocument/2006/relationships/table" Target="../tables/table29.xml"/><Relationship Id="rId4" Type="http://schemas.openxmlformats.org/officeDocument/2006/relationships/table" Target="../tables/table2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Relationship Id="rId6" Type="http://schemas.microsoft.com/office/2007/relationships/slicer" Target="../slicers/slicer10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Relationship Id="rId6" Type="http://schemas.microsoft.com/office/2007/relationships/slicer" Target="../slicers/slicer11.xml"/><Relationship Id="rId5" Type="http://schemas.openxmlformats.org/officeDocument/2006/relationships/table" Target="../tables/table35.xml"/><Relationship Id="rId4" Type="http://schemas.openxmlformats.org/officeDocument/2006/relationships/table" Target="../tables/table3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Relationship Id="rId6" Type="http://schemas.microsoft.com/office/2007/relationships/slicer" Target="../slicers/slicer12.xml"/><Relationship Id="rId5" Type="http://schemas.openxmlformats.org/officeDocument/2006/relationships/table" Target="../tables/table38.xml"/><Relationship Id="rId4" Type="http://schemas.openxmlformats.org/officeDocument/2006/relationships/table" Target="../tables/table3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36"/>
  <sheetViews>
    <sheetView topLeftCell="A26" workbookViewId="0">
      <selection activeCell="A37" sqref="A37"/>
    </sheetView>
  </sheetViews>
  <sheetFormatPr defaultColWidth="9.140625" defaultRowHeight="15.75" x14ac:dyDescent="0.25"/>
  <cols>
    <col min="1" max="1" width="54.5703125" style="1" customWidth="1"/>
    <col min="2" max="2" width="27.42578125" style="1" customWidth="1"/>
    <col min="3" max="5" width="9.140625" style="1"/>
    <col min="6" max="6" width="38.85546875" style="1" customWidth="1"/>
    <col min="7" max="16384" width="9.140625" style="1"/>
  </cols>
  <sheetData>
    <row r="1" spans="1:6" x14ac:dyDescent="0.25">
      <c r="A1" s="2" t="s">
        <v>0</v>
      </c>
      <c r="B1" s="17" t="s">
        <v>67</v>
      </c>
      <c r="F1" s="2" t="s">
        <v>68</v>
      </c>
    </row>
    <row r="2" spans="1:6" x14ac:dyDescent="0.25">
      <c r="A2" s="1" t="s">
        <v>1</v>
      </c>
      <c r="B2" s="1" t="s">
        <v>58</v>
      </c>
      <c r="F2" s="1" t="s">
        <v>58</v>
      </c>
    </row>
    <row r="3" spans="1:6" x14ac:dyDescent="0.25">
      <c r="A3" s="1" t="s">
        <v>2</v>
      </c>
      <c r="B3" s="1" t="s">
        <v>58</v>
      </c>
      <c r="F3" s="1" t="s">
        <v>59</v>
      </c>
    </row>
    <row r="4" spans="1:6" x14ac:dyDescent="0.25">
      <c r="A4" s="1" t="s">
        <v>3</v>
      </c>
      <c r="B4" s="1" t="s">
        <v>58</v>
      </c>
      <c r="F4" s="1" t="s">
        <v>60</v>
      </c>
    </row>
    <row r="5" spans="1:6" x14ac:dyDescent="0.25">
      <c r="A5" s="1" t="s">
        <v>4</v>
      </c>
      <c r="B5" s="1" t="s">
        <v>58</v>
      </c>
      <c r="F5" s="1" t="s">
        <v>61</v>
      </c>
    </row>
    <row r="6" spans="1:6" x14ac:dyDescent="0.25">
      <c r="A6" s="1" t="s">
        <v>5</v>
      </c>
      <c r="B6" s="1" t="s">
        <v>58</v>
      </c>
      <c r="F6" s="1" t="s">
        <v>62</v>
      </c>
    </row>
    <row r="7" spans="1:6" x14ac:dyDescent="0.25">
      <c r="A7" s="1" t="s">
        <v>6</v>
      </c>
      <c r="B7" s="1" t="s">
        <v>58</v>
      </c>
    </row>
    <row r="8" spans="1:6" x14ac:dyDescent="0.25">
      <c r="A8" s="1" t="s">
        <v>7</v>
      </c>
      <c r="B8" s="1" t="s">
        <v>58</v>
      </c>
    </row>
    <row r="9" spans="1:6" x14ac:dyDescent="0.25">
      <c r="A9" s="1" t="s">
        <v>8</v>
      </c>
      <c r="B9" s="1" t="s">
        <v>58</v>
      </c>
    </row>
    <row r="10" spans="1:6" x14ac:dyDescent="0.25">
      <c r="A10" s="1" t="s">
        <v>9</v>
      </c>
      <c r="B10" s="1" t="s">
        <v>58</v>
      </c>
    </row>
    <row r="11" spans="1:6" x14ac:dyDescent="0.25">
      <c r="A11" s="1" t="s">
        <v>10</v>
      </c>
      <c r="B11" s="1" t="s">
        <v>58</v>
      </c>
    </row>
    <row r="12" spans="1:6" x14ac:dyDescent="0.25">
      <c r="A12" s="1" t="s">
        <v>11</v>
      </c>
      <c r="B12" s="1" t="s">
        <v>58</v>
      </c>
    </row>
    <row r="13" spans="1:6" x14ac:dyDescent="0.25">
      <c r="A13" s="1" t="s">
        <v>12</v>
      </c>
      <c r="B13" s="1" t="s">
        <v>58</v>
      </c>
    </row>
    <row r="14" spans="1:6" x14ac:dyDescent="0.25">
      <c r="A14" s="1" t="s">
        <v>13</v>
      </c>
      <c r="B14" s="1" t="s">
        <v>58</v>
      </c>
    </row>
    <row r="15" spans="1:6" x14ac:dyDescent="0.25">
      <c r="A15" s="1" t="s">
        <v>14</v>
      </c>
      <c r="B15" s="1" t="s">
        <v>58</v>
      </c>
    </row>
    <row r="16" spans="1:6" x14ac:dyDescent="0.25">
      <c r="A16" s="1" t="s">
        <v>15</v>
      </c>
      <c r="B16" s="1" t="s">
        <v>58</v>
      </c>
    </row>
    <row r="17" spans="1:2" x14ac:dyDescent="0.25">
      <c r="A17" s="1" t="s">
        <v>16</v>
      </c>
      <c r="B17" s="1" t="s">
        <v>58</v>
      </c>
    </row>
    <row r="18" spans="1:2" x14ac:dyDescent="0.25">
      <c r="A18" s="1" t="s">
        <v>17</v>
      </c>
      <c r="B18" s="1" t="s">
        <v>58</v>
      </c>
    </row>
    <row r="19" spans="1:2" x14ac:dyDescent="0.25">
      <c r="A19" s="1" t="s">
        <v>18</v>
      </c>
      <c r="B19" s="1" t="s">
        <v>58</v>
      </c>
    </row>
    <row r="20" spans="1:2" x14ac:dyDescent="0.25">
      <c r="A20" s="1" t="s">
        <v>19</v>
      </c>
      <c r="B20" s="1" t="s">
        <v>58</v>
      </c>
    </row>
    <row r="21" spans="1:2" x14ac:dyDescent="0.25">
      <c r="A21" s="1" t="s">
        <v>20</v>
      </c>
      <c r="B21" s="1" t="s">
        <v>58</v>
      </c>
    </row>
    <row r="22" spans="1:2" x14ac:dyDescent="0.25">
      <c r="A22" s="1" t="s">
        <v>21</v>
      </c>
      <c r="B22" s="1" t="s">
        <v>58</v>
      </c>
    </row>
    <row r="23" spans="1:2" x14ac:dyDescent="0.25">
      <c r="A23" s="1" t="s">
        <v>22</v>
      </c>
      <c r="B23" s="1" t="s">
        <v>59</v>
      </c>
    </row>
    <row r="24" spans="1:2" x14ac:dyDescent="0.25">
      <c r="A24" s="1" t="s">
        <v>23</v>
      </c>
      <c r="B24" s="1" t="s">
        <v>59</v>
      </c>
    </row>
    <row r="25" spans="1:2" x14ac:dyDescent="0.25">
      <c r="A25" s="1" t="s">
        <v>24</v>
      </c>
      <c r="B25" s="1" t="s">
        <v>59</v>
      </c>
    </row>
    <row r="26" spans="1:2" x14ac:dyDescent="0.25">
      <c r="A26" s="1" t="s">
        <v>25</v>
      </c>
      <c r="B26" s="1" t="s">
        <v>59</v>
      </c>
    </row>
    <row r="27" spans="1:2" x14ac:dyDescent="0.25">
      <c r="A27" s="1" t="s">
        <v>26</v>
      </c>
      <c r="B27" s="1" t="s">
        <v>59</v>
      </c>
    </row>
    <row r="28" spans="1:2" x14ac:dyDescent="0.25">
      <c r="A28" s="1" t="s">
        <v>27</v>
      </c>
      <c r="B28" s="1" t="s">
        <v>59</v>
      </c>
    </row>
    <row r="29" spans="1:2" x14ac:dyDescent="0.25">
      <c r="A29" s="1" t="s">
        <v>28</v>
      </c>
      <c r="B29" s="1" t="s">
        <v>59</v>
      </c>
    </row>
    <row r="30" spans="1:2" x14ac:dyDescent="0.25">
      <c r="A30" s="1" t="s">
        <v>29</v>
      </c>
      <c r="B30" s="1" t="s">
        <v>59</v>
      </c>
    </row>
    <row r="31" spans="1:2" x14ac:dyDescent="0.25">
      <c r="A31" s="1" t="s">
        <v>30</v>
      </c>
      <c r="B31" s="1" t="s">
        <v>59</v>
      </c>
    </row>
    <row r="32" spans="1:2" x14ac:dyDescent="0.25">
      <c r="A32" s="1" t="s">
        <v>31</v>
      </c>
      <c r="B32" s="1" t="s">
        <v>59</v>
      </c>
    </row>
    <row r="33" spans="1:2" x14ac:dyDescent="0.25">
      <c r="A33" s="1" t="s">
        <v>32</v>
      </c>
      <c r="B33" s="1" t="s">
        <v>60</v>
      </c>
    </row>
    <row r="34" spans="1:2" x14ac:dyDescent="0.25">
      <c r="A34" s="1" t="s">
        <v>33</v>
      </c>
      <c r="B34" s="1" t="s">
        <v>61</v>
      </c>
    </row>
    <row r="35" spans="1:2" x14ac:dyDescent="0.25">
      <c r="A35" s="1" t="s">
        <v>34</v>
      </c>
      <c r="B35" s="1" t="s">
        <v>62</v>
      </c>
    </row>
    <row r="36" spans="1:2" x14ac:dyDescent="0.25">
      <c r="A36" s="1" t="s">
        <v>35</v>
      </c>
      <c r="B36" s="1" t="s">
        <v>62</v>
      </c>
    </row>
  </sheetData>
  <dataValidations count="1">
    <dataValidation type="list" allowBlank="1" showInputMessage="1" showErrorMessage="1" sqref="B2:B100">
      <formula1>ТипУслуги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2"/>
  <sheetViews>
    <sheetView workbookViewId="0">
      <selection activeCell="A3" sqref="A3"/>
    </sheetView>
  </sheetViews>
  <sheetFormatPr defaultColWidth="9.140625" defaultRowHeight="15.75" x14ac:dyDescent="0.25"/>
  <cols>
    <col min="1" max="1" width="30" style="1" customWidth="1"/>
    <col min="2" max="16384" width="9.140625" style="1"/>
  </cols>
  <sheetData>
    <row r="1" spans="1:1" x14ac:dyDescent="0.25">
      <c r="A1" s="2" t="s">
        <v>36</v>
      </c>
    </row>
    <row r="2" spans="1:1" x14ac:dyDescent="0.25">
      <c r="A2" s="1" t="s"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3"/>
  <sheetViews>
    <sheetView workbookViewId="0">
      <selection activeCell="A4" sqref="A4"/>
    </sheetView>
  </sheetViews>
  <sheetFormatPr defaultColWidth="9.140625" defaultRowHeight="15.75" x14ac:dyDescent="0.25"/>
  <cols>
    <col min="1" max="1" width="18.7109375" style="1" customWidth="1"/>
    <col min="2" max="16384" width="9.140625" style="1"/>
  </cols>
  <sheetData>
    <row r="1" spans="1:1" x14ac:dyDescent="0.25">
      <c r="A1" s="2" t="s">
        <v>37</v>
      </c>
    </row>
    <row r="2" spans="1:1" x14ac:dyDescent="0.25">
      <c r="A2" s="1" t="s">
        <v>38</v>
      </c>
    </row>
    <row r="3" spans="1:1" x14ac:dyDescent="0.25">
      <c r="A3" s="1" t="s">
        <v>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13"/>
  <sheetViews>
    <sheetView workbookViewId="0">
      <selection activeCell="A14" sqref="A14"/>
    </sheetView>
  </sheetViews>
  <sheetFormatPr defaultColWidth="9.140625" defaultRowHeight="15.75" x14ac:dyDescent="0.25"/>
  <cols>
    <col min="1" max="1" width="17.7109375" style="1" customWidth="1"/>
    <col min="2" max="16384" width="9.140625" style="1"/>
  </cols>
  <sheetData>
    <row r="1" spans="1:1" x14ac:dyDescent="0.25">
      <c r="A1" s="2" t="s">
        <v>40</v>
      </c>
    </row>
    <row r="2" spans="1:1" x14ac:dyDescent="0.25">
      <c r="A2" s="1" t="s">
        <v>41</v>
      </c>
    </row>
    <row r="3" spans="1:1" x14ac:dyDescent="0.25">
      <c r="A3" s="1" t="s">
        <v>42</v>
      </c>
    </row>
    <row r="4" spans="1:1" x14ac:dyDescent="0.25">
      <c r="A4" s="1" t="s">
        <v>43</v>
      </c>
    </row>
    <row r="5" spans="1:1" x14ac:dyDescent="0.25">
      <c r="A5" s="1" t="s">
        <v>44</v>
      </c>
    </row>
    <row r="6" spans="1:1" x14ac:dyDescent="0.25">
      <c r="A6" s="1" t="s">
        <v>45</v>
      </c>
    </row>
    <row r="7" spans="1:1" x14ac:dyDescent="0.25">
      <c r="A7" s="1" t="s">
        <v>46</v>
      </c>
    </row>
    <row r="8" spans="1:1" x14ac:dyDescent="0.25">
      <c r="A8" s="1" t="s">
        <v>47</v>
      </c>
    </row>
    <row r="9" spans="1:1" x14ac:dyDescent="0.25">
      <c r="A9" s="1" t="s">
        <v>48</v>
      </c>
    </row>
    <row r="10" spans="1:1" x14ac:dyDescent="0.25">
      <c r="A10" s="1" t="s">
        <v>49</v>
      </c>
    </row>
    <row r="11" spans="1:1" x14ac:dyDescent="0.25">
      <c r="A11" s="1" t="s">
        <v>50</v>
      </c>
    </row>
    <row r="12" spans="1:1" x14ac:dyDescent="0.25">
      <c r="A12" s="1" t="s">
        <v>51</v>
      </c>
    </row>
    <row r="13" spans="1:1" x14ac:dyDescent="0.25">
      <c r="A13" s="1" t="s">
        <v>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4"/>
  <sheetViews>
    <sheetView workbookViewId="0">
      <selection activeCell="D6" sqref="D6"/>
    </sheetView>
  </sheetViews>
  <sheetFormatPr defaultColWidth="9.140625" defaultRowHeight="15.75" x14ac:dyDescent="0.25"/>
  <cols>
    <col min="1" max="1" width="9.140625" style="1" customWidth="1"/>
    <col min="2" max="2" width="15.5703125" style="1" customWidth="1"/>
    <col min="3" max="16384" width="9.140625" style="1"/>
  </cols>
  <sheetData>
    <row r="1" spans="1:6" ht="18.75" x14ac:dyDescent="0.3">
      <c r="A1" s="29" t="s">
        <v>69</v>
      </c>
      <c r="B1" s="29"/>
      <c r="C1" s="29"/>
      <c r="D1" s="29"/>
      <c r="E1" s="29"/>
      <c r="F1" s="29"/>
    </row>
    <row r="3" spans="1:6" x14ac:dyDescent="0.25">
      <c r="B3" s="1" t="s">
        <v>70</v>
      </c>
    </row>
    <row r="4" spans="1:6" x14ac:dyDescent="0.25">
      <c r="A4" s="28"/>
      <c r="B4" s="27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3"/>
  <sheetViews>
    <sheetView workbookViewId="0">
      <selection activeCell="C2" sqref="C2"/>
    </sheetView>
  </sheetViews>
  <sheetFormatPr defaultColWidth="9.140625" defaultRowHeight="15.75" x14ac:dyDescent="0.25"/>
  <cols>
    <col min="1" max="1" width="11.28515625" style="1" bestFit="1" customWidth="1"/>
    <col min="2" max="16384" width="9.140625" style="1"/>
  </cols>
  <sheetData>
    <row r="1" spans="1:1" x14ac:dyDescent="0.25">
      <c r="A1" s="2" t="s">
        <v>73</v>
      </c>
    </row>
    <row r="2" spans="1:1" x14ac:dyDescent="0.25">
      <c r="A2" s="1" t="s">
        <v>71</v>
      </c>
    </row>
    <row r="3" spans="1:1" x14ac:dyDescent="0.25">
      <c r="A3" s="1" t="s">
        <v>72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1:E11"/>
  <sheetViews>
    <sheetView tabSelected="1" workbookViewId="0">
      <selection activeCell="B8" sqref="B8"/>
    </sheetView>
  </sheetViews>
  <sheetFormatPr defaultColWidth="9.140625" defaultRowHeight="18.75" x14ac:dyDescent="0.3"/>
  <cols>
    <col min="1" max="1" width="9.140625" style="3"/>
    <col min="2" max="4" width="28.5703125" style="3" customWidth="1"/>
    <col min="5" max="5" width="28.7109375" style="3" customWidth="1"/>
    <col min="6" max="16384" width="9.140625" style="3"/>
  </cols>
  <sheetData>
    <row r="1" spans="2:5" ht="25.5" x14ac:dyDescent="0.3">
      <c r="B1" s="37" t="s">
        <v>53</v>
      </c>
      <c r="C1" s="37"/>
      <c r="D1" s="37"/>
      <c r="E1" s="37"/>
    </row>
    <row r="2" spans="2:5" x14ac:dyDescent="0.3">
      <c r="B2" s="38" t="s">
        <v>54</v>
      </c>
      <c r="C2" s="38"/>
      <c r="D2" s="38"/>
      <c r="E2" s="38"/>
    </row>
    <row r="3" spans="2:5" ht="19.5" thickBot="1" x14ac:dyDescent="0.35">
      <c r="B3"/>
      <c r="C3"/>
      <c r="D3"/>
      <c r="E3"/>
    </row>
    <row r="4" spans="2:5" x14ac:dyDescent="0.3">
      <c r="B4" s="6" t="s">
        <v>41</v>
      </c>
      <c r="C4" s="7" t="s">
        <v>42</v>
      </c>
      <c r="D4" s="9" t="s">
        <v>43</v>
      </c>
      <c r="E4" s="10" t="s">
        <v>44</v>
      </c>
    </row>
    <row r="5" spans="2:5" x14ac:dyDescent="0.3">
      <c r="B5" s="11" t="s">
        <v>45</v>
      </c>
      <c r="C5" s="12" t="s">
        <v>46</v>
      </c>
      <c r="D5" s="12" t="s">
        <v>47</v>
      </c>
      <c r="E5" s="13" t="s">
        <v>48</v>
      </c>
    </row>
    <row r="6" spans="2:5" x14ac:dyDescent="0.3">
      <c r="B6" s="14" t="s">
        <v>49</v>
      </c>
      <c r="C6" s="15" t="s">
        <v>50</v>
      </c>
      <c r="D6" s="15" t="s">
        <v>51</v>
      </c>
      <c r="E6" s="8" t="s">
        <v>52</v>
      </c>
    </row>
    <row r="7" spans="2:5" x14ac:dyDescent="0.3">
      <c r="B7" s="4"/>
      <c r="C7" s="4"/>
      <c r="D7" s="4"/>
      <c r="E7" s="4"/>
    </row>
    <row r="8" spans="2:5" x14ac:dyDescent="0.3">
      <c r="B8" s="4"/>
      <c r="C8" s="4"/>
      <c r="D8" s="4"/>
      <c r="E8" s="4"/>
    </row>
    <row r="9" spans="2:5" x14ac:dyDescent="0.3">
      <c r="B9" s="4"/>
      <c r="C9" s="4"/>
      <c r="D9" s="4"/>
      <c r="E9" s="4"/>
    </row>
    <row r="10" spans="2:5" x14ac:dyDescent="0.3">
      <c r="B10" s="4"/>
      <c r="C10" s="4"/>
      <c r="D10" s="4"/>
      <c r="E10" s="4"/>
    </row>
    <row r="11" spans="2:5" x14ac:dyDescent="0.3">
      <c r="B11" s="4"/>
      <c r="C11" s="4"/>
      <c r="D11" s="4"/>
      <c r="E11" s="4"/>
    </row>
  </sheetData>
  <mergeCells count="2">
    <mergeCell ref="B1:E1"/>
    <mergeCell ref="B2:E2"/>
  </mergeCells>
  <hyperlinks>
    <hyperlink ref="B4" location="Январь!A1" display="Январь"/>
    <hyperlink ref="C4" location="Февраль!A1" display="Февраль"/>
    <hyperlink ref="D4" location="Март!A1" display="Март"/>
    <hyperlink ref="E4" location="Апрель!A1" display="Апрель"/>
    <hyperlink ref="B5" location="Май!A1" display="Май"/>
    <hyperlink ref="C5" location="Июнь!A1" display="Июнь"/>
    <hyperlink ref="D5" location="Июль!A1" display="Июль"/>
    <hyperlink ref="E5" location="Август!A1" display="Август"/>
    <hyperlink ref="B6" location="Сентябрь!A1" display="Сентябрь"/>
    <hyperlink ref="C6" location="Октябрь!A1" display="Октябрь"/>
    <hyperlink ref="D6" location="Ноябрь!A1" display="Ноябрь"/>
    <hyperlink ref="E6" location="Декабрь!A1" display="Декабрь"/>
  </hyperlink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AN12"/>
  <sheetViews>
    <sheetView zoomScale="90" zoomScaleNormal="90" workbookViewId="0">
      <selection activeCell="B2" sqref="B2"/>
    </sheetView>
  </sheetViews>
  <sheetFormatPr defaultColWidth="9.140625" defaultRowHeight="15.75" x14ac:dyDescent="0.25"/>
  <cols>
    <col min="1" max="1" width="26" style="1" bestFit="1" customWidth="1"/>
    <col min="2" max="2" width="21.28515625" style="1" bestFit="1" customWidth="1"/>
    <col min="3" max="3" width="16.28515625" style="1" bestFit="1" customWidth="1"/>
    <col min="4" max="4" width="4.42578125" style="1" bestFit="1" customWidth="1"/>
    <col min="5" max="5" width="8.42578125" style="1" bestFit="1" customWidth="1"/>
    <col min="6" max="6" width="4.140625" style="1" bestFit="1" customWidth="1"/>
    <col min="7" max="7" width="7.140625" style="1" bestFit="1" customWidth="1"/>
    <col min="8" max="8" width="4.140625" style="1" bestFit="1" customWidth="1"/>
    <col min="9" max="9" width="10.140625" style="1" bestFit="1" customWidth="1"/>
    <col min="10" max="14" width="4.140625" style="1" bestFit="1" customWidth="1"/>
    <col min="15" max="16" width="7.140625" style="1" bestFit="1" customWidth="1"/>
    <col min="17" max="17" width="4.140625" style="1" bestFit="1" customWidth="1"/>
    <col min="18" max="18" width="7.140625" style="1" bestFit="1" customWidth="1"/>
    <col min="19" max="20" width="4.140625" style="1" bestFit="1" customWidth="1"/>
    <col min="21" max="21" width="7.140625" style="1" bestFit="1" customWidth="1"/>
    <col min="22" max="22" width="10.140625" style="1" bestFit="1" customWidth="1"/>
    <col min="23" max="23" width="7.140625" style="1" bestFit="1" customWidth="1"/>
    <col min="24" max="26" width="4.140625" style="1" bestFit="1" customWidth="1"/>
    <col min="27" max="27" width="10.140625" style="1" bestFit="1" customWidth="1"/>
    <col min="28" max="28" width="7.140625" style="1" bestFit="1" customWidth="1"/>
    <col min="29" max="29" width="4.42578125" style="1" bestFit="1" customWidth="1"/>
    <col min="30" max="31" width="4.140625" style="1" bestFit="1" customWidth="1"/>
    <col min="32" max="36" width="7.140625" style="1" bestFit="1" customWidth="1"/>
    <col min="37" max="38" width="4.140625" style="1" bestFit="1" customWidth="1"/>
    <col min="39" max="39" width="10.140625" style="1" bestFit="1" customWidth="1"/>
    <col min="40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41</v>
      </c>
      <c r="C1" s="33" t="s">
        <v>73</v>
      </c>
      <c r="G1"/>
    </row>
    <row r="2" spans="1:40" ht="26.25" x14ac:dyDescent="0.4">
      <c r="A2" s="5" t="s">
        <v>55</v>
      </c>
      <c r="B2" s="31"/>
      <c r="C2" s="32" t="s">
        <v>72</v>
      </c>
      <c r="G2"/>
    </row>
    <row r="3" spans="1:40" x14ac:dyDescent="0.25">
      <c r="G3"/>
    </row>
    <row r="4" spans="1:40" x14ac:dyDescent="0.25">
      <c r="A4" s="1" t="s">
        <v>0</v>
      </c>
      <c r="B4" s="1" t="s">
        <v>56</v>
      </c>
      <c r="C4" s="1" t="s">
        <v>57</v>
      </c>
      <c r="F4"/>
    </row>
    <row r="5" spans="1:40" x14ac:dyDescent="0.25">
      <c r="A5" s="1" t="s">
        <v>58</v>
      </c>
      <c r="B5" s="1">
        <v>0</v>
      </c>
      <c r="C5" s="1">
        <v>0</v>
      </c>
      <c r="F5"/>
    </row>
    <row r="6" spans="1:40" x14ac:dyDescent="0.25">
      <c r="A6" s="1" t="s">
        <v>59</v>
      </c>
      <c r="B6" s="1">
        <v>0</v>
      </c>
      <c r="C6" s="1">
        <v>0</v>
      </c>
      <c r="F6"/>
    </row>
    <row r="7" spans="1:40" x14ac:dyDescent="0.25">
      <c r="A7" s="1" t="s">
        <v>60</v>
      </c>
      <c r="B7" s="1">
        <v>0</v>
      </c>
      <c r="C7" s="1">
        <v>0</v>
      </c>
      <c r="F7"/>
    </row>
    <row r="8" spans="1:40" x14ac:dyDescent="0.25">
      <c r="A8" s="1" t="s">
        <v>61</v>
      </c>
      <c r="B8" s="1">
        <v>0</v>
      </c>
      <c r="C8" s="1">
        <v>0</v>
      </c>
      <c r="F8"/>
    </row>
    <row r="9" spans="1:40" x14ac:dyDescent="0.25">
      <c r="A9" s="1" t="s">
        <v>62</v>
      </c>
      <c r="B9" s="1">
        <v>0</v>
      </c>
      <c r="C9" s="1">
        <v>0</v>
      </c>
      <c r="F9"/>
    </row>
    <row r="10" spans="1:40" x14ac:dyDescent="0.25">
      <c r="G10"/>
    </row>
    <row r="11" spans="1:40" s="18" customFormat="1" ht="134.25" x14ac:dyDescent="0.25">
      <c r="A11" s="20" t="s">
        <v>63</v>
      </c>
      <c r="B11" s="20" t="s">
        <v>64</v>
      </c>
      <c r="C11" s="20" t="s">
        <v>37</v>
      </c>
      <c r="D11" s="19" t="s">
        <v>65</v>
      </c>
      <c r="E11" s="19" t="s">
        <v>66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x14ac:dyDescent="0.25">
      <c r="A12" s="24" t="s">
        <v>75</v>
      </c>
      <c r="B12" s="24" t="s">
        <v>76</v>
      </c>
      <c r="C12" s="24" t="s">
        <v>38</v>
      </c>
      <c r="D12" s="23">
        <f ca="1">SUM(INDIRECT(ADDRESS(ROW(ЯнварьДанные[[#This Row],[Итого]]),COLUMN(ЯнварьДанные[[#This Row],[Итого]])+2)):INDIRECT(ADDRESS(ROW(ЯнварьДанные[[#This Row],[Итого]]),COUNTA(ЯнварьДанные[#Headers]))))</f>
        <v>0</v>
      </c>
      <c r="E12" s="25">
        <f ca="1">ЯнварьДанные[[#This Row],[Итого]]/COUNTIFS(ЯнварьДанные[Соц. Работник],ЯнварьДанные[[#This Row],[Соц. Работник]])</f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  <c r="V12" s="26">
        <v>0</v>
      </c>
      <c r="W12" s="26">
        <v>0</v>
      </c>
      <c r="X12" s="26">
        <v>0</v>
      </c>
      <c r="Y12" s="26">
        <v>0</v>
      </c>
      <c r="Z12" s="26">
        <v>0</v>
      </c>
      <c r="AA12" s="26">
        <v>0</v>
      </c>
      <c r="AB12" s="26">
        <v>0</v>
      </c>
      <c r="AC12" s="26">
        <v>0</v>
      </c>
      <c r="AD12" s="26">
        <v>0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6">
        <v>0</v>
      </c>
      <c r="AK12" s="26">
        <v>0</v>
      </c>
      <c r="AL12" s="26">
        <v>0</v>
      </c>
      <c r="AM12" s="26">
        <v>0</v>
      </c>
      <c r="AN12" s="26">
        <v>0</v>
      </c>
    </row>
  </sheetData>
  <dataValidations count="6">
    <dataValidation type="list" allowBlank="1" showInputMessage="1" showErrorMessage="1" sqref="B1">
      <formula1>Месяц</formula1>
    </dataValidation>
    <dataValidation type="list" allowBlank="1" showInputMessage="1" showErrorMessage="1" sqref="F11:AN11">
      <formula1>Услуга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A12">
      <formula1>СоцРаботник</formula1>
    </dataValidation>
    <dataValidation type="list" allowBlank="1" showInputMessage="1" showErrorMessage="1" sqref="C12">
      <formula1>Учет</formula1>
    </dataValidation>
  </dataValidations>
  <pageMargins left="0.7" right="0.7" top="0.75" bottom="0.75" header="0.3" footer="0.3"/>
  <pageSetup paperSize="9" orientation="portrait" horizontalDpi="300" verticalDpi="300" r:id="rId1"/>
  <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N12"/>
  <sheetViews>
    <sheetView zoomScale="80" zoomScaleNormal="80" workbookViewId="0">
      <selection activeCell="B2" sqref="B2"/>
    </sheetView>
  </sheetViews>
  <sheetFormatPr defaultColWidth="9.140625" defaultRowHeight="15.75" x14ac:dyDescent="0.25"/>
  <cols>
    <col min="1" max="1" width="22.85546875" style="1" bestFit="1" customWidth="1"/>
    <col min="2" max="2" width="19.85546875" style="1" bestFit="1" customWidth="1"/>
    <col min="3" max="3" width="16.28515625" style="1" bestFit="1" customWidth="1"/>
    <col min="4" max="4" width="4" style="1" bestFit="1" customWidth="1"/>
    <col min="5" max="5" width="7" style="1" bestFit="1" customWidth="1"/>
    <col min="6" max="6" width="4" style="1" bestFit="1" customWidth="1"/>
    <col min="7" max="7" width="7" style="1" bestFit="1" customWidth="1"/>
    <col min="8" max="8" width="4" style="1" bestFit="1" customWidth="1"/>
    <col min="9" max="9" width="9.85546875" style="1" bestFit="1" customWidth="1"/>
    <col min="10" max="14" width="4" style="1" bestFit="1" customWidth="1"/>
    <col min="15" max="15" width="7" style="1" bestFit="1" customWidth="1"/>
    <col min="16" max="16" width="6.85546875" style="1" bestFit="1" customWidth="1"/>
    <col min="17" max="17" width="4" style="1" bestFit="1" customWidth="1"/>
    <col min="18" max="18" width="7" style="1" bestFit="1" customWidth="1"/>
    <col min="19" max="20" width="4" style="1" bestFit="1" customWidth="1"/>
    <col min="21" max="21" width="7" style="1" bestFit="1" customWidth="1"/>
    <col min="22" max="22" width="9.85546875" style="1" bestFit="1" customWidth="1"/>
    <col min="23" max="23" width="7" style="1" bestFit="1" customWidth="1"/>
    <col min="24" max="26" width="4" style="1" bestFit="1" customWidth="1"/>
    <col min="27" max="27" width="9.85546875" style="1" bestFit="1" customWidth="1"/>
    <col min="28" max="28" width="7" style="1" bestFit="1" customWidth="1"/>
    <col min="29" max="31" width="4" style="1" bestFit="1" customWidth="1"/>
    <col min="32" max="36" width="7" style="1" bestFit="1" customWidth="1"/>
    <col min="37" max="38" width="4" style="1" bestFit="1" customWidth="1"/>
    <col min="39" max="39" width="9.85546875" style="1" bestFit="1" customWidth="1"/>
    <col min="40" max="40" width="7" style="1" bestFit="1" customWidth="1"/>
    <col min="41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42</v>
      </c>
      <c r="C1" s="1" t="s">
        <v>74</v>
      </c>
    </row>
    <row r="2" spans="1:40" ht="26.25" x14ac:dyDescent="0.4">
      <c r="A2" s="5" t="s">
        <v>55</v>
      </c>
      <c r="B2" s="16"/>
      <c r="C2" s="1" t="s">
        <v>72</v>
      </c>
    </row>
    <row r="4" spans="1:40" x14ac:dyDescent="0.25">
      <c r="A4" s="1" t="s">
        <v>0</v>
      </c>
      <c r="B4" s="1" t="s">
        <v>56</v>
      </c>
      <c r="C4" s="1" t="s">
        <v>57</v>
      </c>
    </row>
    <row r="5" spans="1:40" x14ac:dyDescent="0.25">
      <c r="A5" s="1" t="s">
        <v>58</v>
      </c>
      <c r="B5" s="1">
        <v>0</v>
      </c>
      <c r="C5" s="1">
        <v>0</v>
      </c>
    </row>
    <row r="6" spans="1:40" x14ac:dyDescent="0.25">
      <c r="A6" s="1" t="s">
        <v>59</v>
      </c>
      <c r="B6" s="1">
        <v>0</v>
      </c>
      <c r="C6" s="1">
        <v>0</v>
      </c>
    </row>
    <row r="7" spans="1:40" x14ac:dyDescent="0.25">
      <c r="A7" s="1" t="s">
        <v>60</v>
      </c>
      <c r="B7" s="1">
        <v>0</v>
      </c>
      <c r="C7" s="1">
        <v>0</v>
      </c>
    </row>
    <row r="8" spans="1:40" x14ac:dyDescent="0.25">
      <c r="A8" s="1" t="s">
        <v>61</v>
      </c>
      <c r="B8" s="1">
        <v>0</v>
      </c>
      <c r="C8" s="1">
        <v>0</v>
      </c>
    </row>
    <row r="9" spans="1:40" x14ac:dyDescent="0.25">
      <c r="A9" s="1" t="s">
        <v>62</v>
      </c>
      <c r="B9" s="1">
        <v>0</v>
      </c>
      <c r="C9" s="1">
        <v>0</v>
      </c>
    </row>
    <row r="11" spans="1:40" s="18" customFormat="1" ht="135" x14ac:dyDescent="0.25">
      <c r="A11" s="20" t="s">
        <v>63</v>
      </c>
      <c r="B11" s="20" t="s">
        <v>64</v>
      </c>
      <c r="C11" s="20" t="s">
        <v>37</v>
      </c>
      <c r="D11" s="19" t="s">
        <v>65</v>
      </c>
      <c r="E11" s="19" t="s">
        <v>66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x14ac:dyDescent="0.25">
      <c r="A12" s="24" t="s">
        <v>75</v>
      </c>
      <c r="B12" s="24" t="s">
        <v>76</v>
      </c>
      <c r="C12" s="24" t="s">
        <v>38</v>
      </c>
      <c r="D12" s="21">
        <f ca="1">SUM(INDIRECT(ADDRESS(ROW(ФевральДанные[[#This Row],[Итого]]),COLUMN(ФевральДанные[[#This Row],[Итого]])+2)):INDIRECT(ADDRESS(ROW(ФевральДанные[[#This Row],[Итого]]),COUNTA(ФевральДанные[#Headers]))))</f>
        <v>0</v>
      </c>
      <c r="E12" s="30">
        <f ca="1">ФевральДанные[[#This Row],[Итого]]/COUNTIFS(ФевральДанные[Соц. Работник],ФевральДанные[[#This Row],[Соц. Работник]])</f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  <c r="V12" s="26">
        <v>0</v>
      </c>
      <c r="W12" s="26">
        <v>0</v>
      </c>
      <c r="X12" s="26">
        <v>0</v>
      </c>
      <c r="Y12" s="26">
        <v>0</v>
      </c>
      <c r="Z12" s="26">
        <v>0</v>
      </c>
      <c r="AA12" s="26">
        <v>0</v>
      </c>
      <c r="AB12" s="26">
        <v>0</v>
      </c>
      <c r="AC12" s="26">
        <v>0</v>
      </c>
      <c r="AD12" s="26">
        <v>0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6">
        <v>0</v>
      </c>
      <c r="AK12" s="26">
        <v>0</v>
      </c>
      <c r="AL12" s="26">
        <v>0</v>
      </c>
      <c r="AM12" s="26">
        <v>0</v>
      </c>
      <c r="AN12" s="26">
        <v>0</v>
      </c>
    </row>
  </sheetData>
  <dataValidations count="6">
    <dataValidation type="list" allowBlank="1" showInputMessage="1" showErrorMessage="1" sqref="B1">
      <formula1>Месяц</formula1>
    </dataValidation>
    <dataValidation type="list" allowBlank="1" showInputMessage="1" showErrorMessage="1" sqref="F11:AN11">
      <formula1>Услуга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C12">
      <formula1>Учет</formula1>
    </dataValidation>
    <dataValidation type="list" allowBlank="1" showInputMessage="1" showErrorMessage="1" sqref="A12">
      <formula1>СоцРаботник</formula1>
    </dataValidation>
    <dataValidation type="list" allowBlank="1" showInputMessage="1" showErrorMessage="1" sqref="C2">
      <formula1>СчетУслуги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AN12"/>
  <sheetViews>
    <sheetView zoomScale="80" zoomScaleNormal="80" workbookViewId="0">
      <selection activeCell="B2" sqref="B2"/>
    </sheetView>
  </sheetViews>
  <sheetFormatPr defaultColWidth="9.140625" defaultRowHeight="15.75" x14ac:dyDescent="0.25"/>
  <cols>
    <col min="1" max="1" width="22.85546875" style="1" bestFit="1" customWidth="1"/>
    <col min="2" max="2" width="19.85546875" style="1" bestFit="1" customWidth="1"/>
    <col min="3" max="3" width="16.28515625" style="1" bestFit="1" customWidth="1"/>
    <col min="4" max="4" width="4" style="1" bestFit="1" customWidth="1"/>
    <col min="5" max="5" width="7" style="1" bestFit="1" customWidth="1"/>
    <col min="6" max="6" width="4" style="1" bestFit="1" customWidth="1"/>
    <col min="7" max="7" width="7" style="1" bestFit="1" customWidth="1"/>
    <col min="8" max="8" width="4" style="1" bestFit="1" customWidth="1"/>
    <col min="9" max="9" width="10.140625" style="1" bestFit="1" customWidth="1"/>
    <col min="10" max="14" width="4" style="1" bestFit="1" customWidth="1"/>
    <col min="15" max="16" width="7" style="1" bestFit="1" customWidth="1"/>
    <col min="17" max="17" width="4" style="1" bestFit="1" customWidth="1"/>
    <col min="18" max="18" width="7" style="1" bestFit="1" customWidth="1"/>
    <col min="19" max="20" width="4" style="1" bestFit="1" customWidth="1"/>
    <col min="21" max="21" width="7" style="1" bestFit="1" customWidth="1"/>
    <col min="22" max="22" width="10.140625" style="1" bestFit="1" customWidth="1"/>
    <col min="23" max="23" width="7" style="1" bestFit="1" customWidth="1"/>
    <col min="24" max="26" width="4" style="1" bestFit="1" customWidth="1"/>
    <col min="27" max="27" width="10.140625" style="1" bestFit="1" customWidth="1"/>
    <col min="28" max="28" width="7" style="1" bestFit="1" customWidth="1"/>
    <col min="29" max="29" width="4" style="1" bestFit="1" customWidth="1"/>
    <col min="30" max="30" width="7" style="1" bestFit="1" customWidth="1"/>
    <col min="31" max="31" width="4" style="1" bestFit="1" customWidth="1"/>
    <col min="32" max="36" width="7" style="1" bestFit="1" customWidth="1"/>
    <col min="37" max="38" width="4" style="1" bestFit="1" customWidth="1"/>
    <col min="39" max="39" width="10.140625" style="1" bestFit="1" customWidth="1"/>
    <col min="40" max="40" width="7" style="1" bestFit="1" customWidth="1"/>
    <col min="41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43</v>
      </c>
      <c r="C1" s="1" t="s">
        <v>74</v>
      </c>
    </row>
    <row r="2" spans="1:40" ht="26.25" x14ac:dyDescent="0.4">
      <c r="A2" s="5" t="s">
        <v>55</v>
      </c>
      <c r="B2" s="16"/>
      <c r="C2" s="1" t="s">
        <v>72</v>
      </c>
    </row>
    <row r="4" spans="1:40" x14ac:dyDescent="0.25">
      <c r="A4" s="1" t="s">
        <v>0</v>
      </c>
      <c r="B4" s="1" t="s">
        <v>56</v>
      </c>
      <c r="C4" s="1" t="s">
        <v>57</v>
      </c>
    </row>
    <row r="5" spans="1:40" x14ac:dyDescent="0.25">
      <c r="A5" s="1" t="s">
        <v>58</v>
      </c>
      <c r="B5" s="1">
        <v>0</v>
      </c>
      <c r="C5" s="1">
        <v>0</v>
      </c>
    </row>
    <row r="6" spans="1:40" x14ac:dyDescent="0.25">
      <c r="A6" s="1" t="s">
        <v>59</v>
      </c>
      <c r="B6" s="1">
        <v>0</v>
      </c>
      <c r="C6" s="1">
        <v>0</v>
      </c>
    </row>
    <row r="7" spans="1:40" x14ac:dyDescent="0.25">
      <c r="A7" s="1" t="s">
        <v>60</v>
      </c>
      <c r="B7" s="1">
        <v>0</v>
      </c>
      <c r="C7" s="1">
        <v>0</v>
      </c>
    </row>
    <row r="8" spans="1:40" x14ac:dyDescent="0.25">
      <c r="A8" s="1" t="s">
        <v>61</v>
      </c>
      <c r="B8" s="1">
        <v>0</v>
      </c>
      <c r="C8" s="1">
        <v>0</v>
      </c>
    </row>
    <row r="9" spans="1:40" x14ac:dyDescent="0.25">
      <c r="A9" s="1" t="s">
        <v>62</v>
      </c>
      <c r="B9" s="1">
        <v>0</v>
      </c>
      <c r="C9" s="1">
        <v>0</v>
      </c>
    </row>
    <row r="11" spans="1:40" s="18" customFormat="1" ht="134.25" x14ac:dyDescent="0.25">
      <c r="A11" s="20" t="s">
        <v>63</v>
      </c>
      <c r="B11" s="20" t="s">
        <v>64</v>
      </c>
      <c r="C11" s="20" t="s">
        <v>37</v>
      </c>
      <c r="D11" s="19" t="s">
        <v>65</v>
      </c>
      <c r="E11" s="19" t="s">
        <v>66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x14ac:dyDescent="0.25">
      <c r="A12" s="24" t="s">
        <v>75</v>
      </c>
      <c r="B12" s="24" t="s">
        <v>76</v>
      </c>
      <c r="C12" s="24" t="s">
        <v>38</v>
      </c>
      <c r="D12" s="21">
        <f ca="1">SUM(INDIRECT(ADDRESS(ROW(МартДанные[[#This Row],[Итого]]),COLUMN(МартДанные[[#This Row],[Итого]])+2)):INDIRECT(ADDRESS(ROW(МартДанные[[#This Row],[Итого]]),COUNTA(МартДанные[#Headers]))))</f>
        <v>0</v>
      </c>
      <c r="E12" s="30">
        <f ca="1">МартДанные[[#This Row],[Итого]]/COUNTIFS(МартДанные[Соц. Работник],МартДанные[[#This Row],[Соц. Работник]])</f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  <c r="V12" s="26">
        <v>0</v>
      </c>
      <c r="W12" s="26">
        <v>0</v>
      </c>
      <c r="X12" s="26">
        <v>0</v>
      </c>
      <c r="Y12" s="26">
        <v>0</v>
      </c>
      <c r="Z12" s="26">
        <v>0</v>
      </c>
      <c r="AA12" s="26">
        <v>0</v>
      </c>
      <c r="AB12" s="26">
        <v>0</v>
      </c>
      <c r="AC12" s="26">
        <v>0</v>
      </c>
      <c r="AD12" s="26">
        <v>0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6">
        <v>0</v>
      </c>
      <c r="AK12" s="26">
        <v>0</v>
      </c>
      <c r="AL12" s="26">
        <v>0</v>
      </c>
      <c r="AM12" s="26">
        <v>0</v>
      </c>
      <c r="AN12" s="26">
        <v>0</v>
      </c>
    </row>
  </sheetData>
  <dataValidations count="6">
    <dataValidation type="list" allowBlank="1" showInputMessage="1" showErrorMessage="1" sqref="A12">
      <formula1>СоцРаботник</formula1>
    </dataValidation>
    <dataValidation type="list" allowBlank="1" showInputMessage="1" showErrorMessage="1" sqref="C12">
      <formula1>Учет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F11:AN11">
      <formula1>Услуга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C2">
      <formula1>СчетУслуги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AN12"/>
  <sheetViews>
    <sheetView zoomScale="80" zoomScaleNormal="80" workbookViewId="0">
      <selection activeCell="I14" sqref="I14"/>
    </sheetView>
  </sheetViews>
  <sheetFormatPr defaultColWidth="9.140625" defaultRowHeight="15.75" x14ac:dyDescent="0.25"/>
  <cols>
    <col min="1" max="1" width="23.42578125" style="1" bestFit="1" customWidth="1"/>
    <col min="2" max="2" width="19.85546875" style="1" bestFit="1" customWidth="1"/>
    <col min="3" max="3" width="16.28515625" style="1" bestFit="1" customWidth="1"/>
    <col min="4" max="4" width="4.140625" style="1" bestFit="1" customWidth="1"/>
    <col min="5" max="5" width="7.140625" style="1" bestFit="1" customWidth="1"/>
    <col min="6" max="6" width="4.140625" style="1" bestFit="1" customWidth="1"/>
    <col min="7" max="7" width="7.140625" style="1" bestFit="1" customWidth="1"/>
    <col min="8" max="8" width="4.140625" style="1" bestFit="1" customWidth="1"/>
    <col min="9" max="9" width="10.140625" style="1" bestFit="1" customWidth="1"/>
    <col min="10" max="14" width="4.140625" style="1" bestFit="1" customWidth="1"/>
    <col min="15" max="16" width="7.140625" style="1" bestFit="1" customWidth="1"/>
    <col min="17" max="17" width="4.140625" style="1" bestFit="1" customWidth="1"/>
    <col min="18" max="18" width="7.140625" style="1" bestFit="1" customWidth="1"/>
    <col min="19" max="20" width="4.140625" style="1" bestFit="1" customWidth="1"/>
    <col min="21" max="21" width="7.140625" style="1" bestFit="1" customWidth="1"/>
    <col min="22" max="22" width="10.140625" style="1" bestFit="1" customWidth="1"/>
    <col min="23" max="23" width="7.140625" style="1" bestFit="1" customWidth="1"/>
    <col min="24" max="26" width="4.140625" style="1" bestFit="1" customWidth="1"/>
    <col min="27" max="27" width="10.140625" style="1" bestFit="1" customWidth="1"/>
    <col min="28" max="28" width="7.140625" style="1" bestFit="1" customWidth="1"/>
    <col min="29" max="31" width="4.140625" style="1" bestFit="1" customWidth="1"/>
    <col min="32" max="36" width="7.140625" style="1" bestFit="1" customWidth="1"/>
    <col min="37" max="38" width="4.140625" style="1" bestFit="1" customWidth="1"/>
    <col min="39" max="39" width="10.140625" style="1" bestFit="1" customWidth="1"/>
    <col min="40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44</v>
      </c>
      <c r="C1" s="1" t="s">
        <v>74</v>
      </c>
    </row>
    <row r="2" spans="1:40" ht="26.25" x14ac:dyDescent="0.4">
      <c r="A2" s="5" t="s">
        <v>55</v>
      </c>
      <c r="B2" s="16"/>
      <c r="C2" s="1" t="s">
        <v>72</v>
      </c>
    </row>
    <row r="4" spans="1:40" x14ac:dyDescent="0.25">
      <c r="A4" s="1" t="s">
        <v>0</v>
      </c>
      <c r="B4" s="1" t="s">
        <v>56</v>
      </c>
      <c r="C4" s="1" t="s">
        <v>57</v>
      </c>
    </row>
    <row r="5" spans="1:40" x14ac:dyDescent="0.25">
      <c r="A5" s="1" t="s">
        <v>58</v>
      </c>
      <c r="B5" s="1">
        <v>0</v>
      </c>
      <c r="C5" s="1">
        <v>0</v>
      </c>
    </row>
    <row r="6" spans="1:40" x14ac:dyDescent="0.25">
      <c r="A6" s="1" t="s">
        <v>59</v>
      </c>
      <c r="B6" s="1">
        <v>0</v>
      </c>
      <c r="C6" s="1">
        <v>0</v>
      </c>
    </row>
    <row r="7" spans="1:40" x14ac:dyDescent="0.25">
      <c r="A7" s="1" t="s">
        <v>60</v>
      </c>
      <c r="B7" s="1">
        <v>0</v>
      </c>
      <c r="C7" s="1">
        <v>0</v>
      </c>
    </row>
    <row r="8" spans="1:40" x14ac:dyDescent="0.25">
      <c r="A8" s="1" t="s">
        <v>61</v>
      </c>
      <c r="B8" s="1">
        <v>0</v>
      </c>
      <c r="C8" s="1">
        <v>0</v>
      </c>
    </row>
    <row r="9" spans="1:40" x14ac:dyDescent="0.25">
      <c r="A9" s="1" t="s">
        <v>62</v>
      </c>
      <c r="B9" s="1">
        <v>0</v>
      </c>
      <c r="C9" s="1">
        <v>0</v>
      </c>
    </row>
    <row r="11" spans="1:40" s="18" customFormat="1" ht="134.25" x14ac:dyDescent="0.25">
      <c r="A11" s="20" t="s">
        <v>63</v>
      </c>
      <c r="B11" s="20" t="s">
        <v>64</v>
      </c>
      <c r="C11" s="20" t="s">
        <v>37</v>
      </c>
      <c r="D11" s="19" t="s">
        <v>65</v>
      </c>
      <c r="E11" s="19" t="s">
        <v>66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x14ac:dyDescent="0.25">
      <c r="A12" s="24" t="s">
        <v>75</v>
      </c>
      <c r="B12" s="24" t="s">
        <v>76</v>
      </c>
      <c r="C12" s="24" t="s">
        <v>38</v>
      </c>
      <c r="D12" s="21">
        <f ca="1">SUM(INDIRECT(ADDRESS(ROW(АпрельДанные[[#This Row],[Итого]]),COLUMN(АпрельДанные[[#This Row],[Итого]])+2)):INDIRECT(ADDRESS(ROW(АпрельДанные[[#This Row],[Итого]]),COUNTA(АпрельДанные[#Headers]))))</f>
        <v>0</v>
      </c>
      <c r="E12" s="30">
        <f ca="1">АпрельДанные[[#This Row],[Итого]]/COUNTIFS(АпрельДанные[Соц. Работник],АпрельДанные[[#This Row],[Соц. Работник]])</f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  <c r="V12" s="26">
        <v>0</v>
      </c>
      <c r="W12" s="26">
        <v>0</v>
      </c>
      <c r="X12" s="26">
        <v>0</v>
      </c>
      <c r="Y12" s="26">
        <v>0</v>
      </c>
      <c r="Z12" s="26">
        <v>0</v>
      </c>
      <c r="AA12" s="26">
        <v>0</v>
      </c>
      <c r="AB12" s="26">
        <v>0</v>
      </c>
      <c r="AC12" s="26">
        <v>0</v>
      </c>
      <c r="AD12" s="26">
        <v>0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6">
        <v>0</v>
      </c>
      <c r="AK12" s="26">
        <v>0</v>
      </c>
      <c r="AL12" s="26">
        <v>0</v>
      </c>
      <c r="AM12" s="26">
        <v>0</v>
      </c>
      <c r="AN12" s="26">
        <v>0</v>
      </c>
    </row>
  </sheetData>
  <dataValidations count="6">
    <dataValidation type="list" allowBlank="1" showInputMessage="1" showErrorMessage="1" sqref="C2">
      <formula1>СчетУслуги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F11:AN11">
      <formula1>Услуга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C12">
      <formula1>Учет</formula1>
    </dataValidation>
    <dataValidation type="list" allowBlank="1" showInputMessage="1" showErrorMessage="1" sqref="A12">
      <formula1>СоцРаботник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AN12"/>
  <sheetViews>
    <sheetView zoomScale="80" zoomScaleNormal="80" workbookViewId="0">
      <selection activeCell="B2" sqref="B2"/>
    </sheetView>
  </sheetViews>
  <sheetFormatPr defaultColWidth="9.140625" defaultRowHeight="15.75" x14ac:dyDescent="0.25"/>
  <cols>
    <col min="1" max="1" width="23.42578125" style="1" bestFit="1" customWidth="1"/>
    <col min="2" max="2" width="19.85546875" style="1" bestFit="1" customWidth="1"/>
    <col min="3" max="3" width="16.28515625" style="1" bestFit="1" customWidth="1"/>
    <col min="4" max="4" width="4.140625" style="1" bestFit="1" customWidth="1"/>
    <col min="5" max="5" width="7.140625" style="1" bestFit="1" customWidth="1"/>
    <col min="6" max="6" width="4.140625" style="1" bestFit="1" customWidth="1"/>
    <col min="7" max="7" width="7.140625" style="1" bestFit="1" customWidth="1"/>
    <col min="8" max="8" width="4.140625" style="1" bestFit="1" customWidth="1"/>
    <col min="9" max="9" width="10.140625" style="1" bestFit="1" customWidth="1"/>
    <col min="10" max="14" width="4.140625" style="1" bestFit="1" customWidth="1"/>
    <col min="15" max="16" width="7.140625" style="1" bestFit="1" customWidth="1"/>
    <col min="17" max="17" width="4.140625" style="1" bestFit="1" customWidth="1"/>
    <col min="18" max="18" width="7.140625" style="1" bestFit="1" customWidth="1"/>
    <col min="19" max="20" width="4.140625" style="1" bestFit="1" customWidth="1"/>
    <col min="21" max="21" width="7.140625" style="1" bestFit="1" customWidth="1"/>
    <col min="22" max="22" width="10.140625" style="1" bestFit="1" customWidth="1"/>
    <col min="23" max="23" width="7.140625" style="1" bestFit="1" customWidth="1"/>
    <col min="24" max="26" width="4.140625" style="1" bestFit="1" customWidth="1"/>
    <col min="27" max="27" width="10.140625" style="1" bestFit="1" customWidth="1"/>
    <col min="28" max="28" width="7.140625" style="1" bestFit="1" customWidth="1"/>
    <col min="29" max="31" width="4.140625" style="1" bestFit="1" customWidth="1"/>
    <col min="32" max="36" width="7.140625" style="1" bestFit="1" customWidth="1"/>
    <col min="37" max="38" width="4.140625" style="1" bestFit="1" customWidth="1"/>
    <col min="39" max="39" width="10.140625" style="1" bestFit="1" customWidth="1"/>
    <col min="40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45</v>
      </c>
      <c r="C1" s="1" t="s">
        <v>74</v>
      </c>
    </row>
    <row r="2" spans="1:40" ht="26.25" x14ac:dyDescent="0.4">
      <c r="A2" s="5" t="s">
        <v>55</v>
      </c>
      <c r="B2" s="16"/>
      <c r="C2" s="1" t="s">
        <v>72</v>
      </c>
    </row>
    <row r="4" spans="1:40" x14ac:dyDescent="0.25">
      <c r="A4" s="1" t="s">
        <v>0</v>
      </c>
      <c r="B4" s="1" t="s">
        <v>56</v>
      </c>
      <c r="C4" s="1" t="s">
        <v>57</v>
      </c>
    </row>
    <row r="5" spans="1:40" x14ac:dyDescent="0.25">
      <c r="A5" s="1" t="s">
        <v>58</v>
      </c>
      <c r="B5" s="1">
        <v>0</v>
      </c>
      <c r="C5" s="1">
        <v>0</v>
      </c>
    </row>
    <row r="6" spans="1:40" x14ac:dyDescent="0.25">
      <c r="A6" s="1" t="s">
        <v>59</v>
      </c>
      <c r="B6" s="1">
        <v>0</v>
      </c>
      <c r="C6" s="1">
        <v>0</v>
      </c>
    </row>
    <row r="7" spans="1:40" x14ac:dyDescent="0.25">
      <c r="A7" s="1" t="s">
        <v>60</v>
      </c>
      <c r="B7" s="1">
        <v>0</v>
      </c>
      <c r="C7" s="1">
        <v>0</v>
      </c>
    </row>
    <row r="8" spans="1:40" x14ac:dyDescent="0.25">
      <c r="A8" s="1" t="s">
        <v>61</v>
      </c>
      <c r="B8" s="1">
        <v>0</v>
      </c>
      <c r="C8" s="1">
        <v>0</v>
      </c>
    </row>
    <row r="9" spans="1:40" x14ac:dyDescent="0.25">
      <c r="A9" s="1" t="s">
        <v>62</v>
      </c>
      <c r="B9" s="1">
        <v>0</v>
      </c>
      <c r="C9" s="1">
        <v>0</v>
      </c>
    </row>
    <row r="11" spans="1:40" s="18" customFormat="1" ht="134.25" x14ac:dyDescent="0.25">
      <c r="A11" s="20" t="s">
        <v>63</v>
      </c>
      <c r="B11" s="20" t="s">
        <v>64</v>
      </c>
      <c r="C11" s="20" t="s">
        <v>37</v>
      </c>
      <c r="D11" s="19" t="s">
        <v>65</v>
      </c>
      <c r="E11" s="19" t="s">
        <v>66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x14ac:dyDescent="0.25">
      <c r="A12" s="24" t="s">
        <v>75</v>
      </c>
      <c r="B12" s="24" t="s">
        <v>76</v>
      </c>
      <c r="C12" s="24" t="s">
        <v>38</v>
      </c>
      <c r="D12" s="21">
        <f ca="1">SUM(INDIRECT(ADDRESS(ROW(МайДанные[[#This Row],[Итого]]),COLUMN(МайДанные[[#This Row],[Итого]])+2)):INDIRECT(ADDRESS(ROW(МайДанные[[#This Row],[Итого]]),COUNTA(МайДанные[#Headers]))))</f>
        <v>0</v>
      </c>
      <c r="E12" s="30">
        <f ca="1">МайДанные[[#This Row],[Итого]]/COUNTIFS(МайДанные[Соц. Работник],МайДанные[[#This Row],[Соц. Работник]])</f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  <c r="V12" s="26">
        <v>0</v>
      </c>
      <c r="W12" s="26">
        <v>0</v>
      </c>
      <c r="X12" s="26">
        <v>0</v>
      </c>
      <c r="Y12" s="26">
        <v>0</v>
      </c>
      <c r="Z12" s="26">
        <v>0</v>
      </c>
      <c r="AA12" s="26">
        <v>0</v>
      </c>
      <c r="AB12" s="26">
        <v>0</v>
      </c>
      <c r="AC12" s="26">
        <v>0</v>
      </c>
      <c r="AD12" s="26">
        <v>0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6">
        <v>0</v>
      </c>
      <c r="AK12" s="26">
        <v>0</v>
      </c>
      <c r="AL12" s="26">
        <v>0</v>
      </c>
      <c r="AM12" s="26">
        <v>0</v>
      </c>
      <c r="AN12" s="26">
        <v>0</v>
      </c>
    </row>
  </sheetData>
  <dataValidations count="6">
    <dataValidation type="list" allowBlank="1" showInputMessage="1" showErrorMessage="1" sqref="A12">
      <formula1>СоцРаботник</formula1>
    </dataValidation>
    <dataValidation type="list" allowBlank="1" showInputMessage="1" showErrorMessage="1" sqref="C12">
      <formula1>Учет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F11:AN11">
      <formula1>Услуга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C2">
      <formula1>СчетУслуги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AN12"/>
  <sheetViews>
    <sheetView zoomScale="80" zoomScaleNormal="80" workbookViewId="0">
      <selection activeCell="B2" sqref="B2"/>
    </sheetView>
  </sheetViews>
  <sheetFormatPr defaultColWidth="9.140625" defaultRowHeight="15.75" x14ac:dyDescent="0.25"/>
  <cols>
    <col min="1" max="1" width="23.42578125" style="1" bestFit="1" customWidth="1"/>
    <col min="2" max="2" width="19.85546875" style="1" bestFit="1" customWidth="1"/>
    <col min="3" max="3" width="15.85546875" style="1" bestFit="1" customWidth="1"/>
    <col min="4" max="4" width="4.140625" style="1" bestFit="1" customWidth="1"/>
    <col min="5" max="5" width="7.140625" style="1" bestFit="1" customWidth="1"/>
    <col min="6" max="6" width="4.140625" style="1" bestFit="1" customWidth="1"/>
    <col min="7" max="7" width="7.140625" style="1" bestFit="1" customWidth="1"/>
    <col min="8" max="8" width="4.140625" style="1" bestFit="1" customWidth="1"/>
    <col min="9" max="9" width="7.140625" style="1" bestFit="1" customWidth="1"/>
    <col min="10" max="17" width="4.140625" style="1" bestFit="1" customWidth="1"/>
    <col min="18" max="18" width="7.140625" style="1" bestFit="1" customWidth="1"/>
    <col min="19" max="21" width="4.140625" style="1" bestFit="1" customWidth="1"/>
    <col min="22" max="23" width="7.140625" style="1" bestFit="1" customWidth="1"/>
    <col min="24" max="26" width="4.140625" style="1" bestFit="1" customWidth="1"/>
    <col min="27" max="28" width="7.140625" style="1" bestFit="1" customWidth="1"/>
    <col min="29" max="31" width="4.140625" style="1" bestFit="1" customWidth="1"/>
    <col min="32" max="34" width="7.140625" style="1" bestFit="1" customWidth="1"/>
    <col min="35" max="35" width="4.140625" style="1" bestFit="1" customWidth="1"/>
    <col min="36" max="36" width="7.140625" style="1" bestFit="1" customWidth="1"/>
    <col min="37" max="38" width="4.140625" style="1" bestFit="1" customWidth="1"/>
    <col min="39" max="39" width="7.140625" style="1" bestFit="1" customWidth="1"/>
    <col min="40" max="40" width="4.140625" style="1" bestFit="1" customWidth="1"/>
    <col min="41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46</v>
      </c>
      <c r="C1" s="1" t="s">
        <v>74</v>
      </c>
    </row>
    <row r="2" spans="1:40" ht="26.25" x14ac:dyDescent="0.4">
      <c r="A2" s="5" t="s">
        <v>55</v>
      </c>
      <c r="B2" s="16"/>
      <c r="C2" s="1" t="s">
        <v>72</v>
      </c>
    </row>
    <row r="4" spans="1:40" x14ac:dyDescent="0.25">
      <c r="A4" s="1" t="s">
        <v>0</v>
      </c>
      <c r="B4" s="1" t="s">
        <v>56</v>
      </c>
      <c r="C4" s="1" t="s">
        <v>57</v>
      </c>
    </row>
    <row r="5" spans="1:40" x14ac:dyDescent="0.25">
      <c r="A5" s="1" t="s">
        <v>58</v>
      </c>
      <c r="B5" s="1">
        <v>0</v>
      </c>
      <c r="C5" s="1">
        <v>0</v>
      </c>
    </row>
    <row r="6" spans="1:40" x14ac:dyDescent="0.25">
      <c r="A6" s="1" t="s">
        <v>59</v>
      </c>
      <c r="B6" s="1">
        <v>0</v>
      </c>
      <c r="C6" s="1">
        <v>0</v>
      </c>
    </row>
    <row r="7" spans="1:40" x14ac:dyDescent="0.25">
      <c r="A7" s="1" t="s">
        <v>60</v>
      </c>
      <c r="B7" s="1">
        <v>0</v>
      </c>
      <c r="C7" s="1">
        <v>0</v>
      </c>
    </row>
    <row r="8" spans="1:40" x14ac:dyDescent="0.25">
      <c r="A8" s="1" t="s">
        <v>61</v>
      </c>
      <c r="B8" s="1">
        <v>0</v>
      </c>
      <c r="C8" s="1">
        <v>0</v>
      </c>
    </row>
    <row r="9" spans="1:40" x14ac:dyDescent="0.25">
      <c r="A9" s="1" t="s">
        <v>62</v>
      </c>
      <c r="B9" s="1">
        <v>0</v>
      </c>
      <c r="C9" s="1">
        <v>0</v>
      </c>
    </row>
    <row r="11" spans="1:40" s="18" customFormat="1" ht="174" x14ac:dyDescent="0.25">
      <c r="A11" s="20" t="s">
        <v>63</v>
      </c>
      <c r="B11" s="20" t="s">
        <v>64</v>
      </c>
      <c r="C11" s="20" t="s">
        <v>37</v>
      </c>
      <c r="D11" s="19" t="s">
        <v>65</v>
      </c>
      <c r="E11" s="19" t="s">
        <v>66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x14ac:dyDescent="0.25">
      <c r="A12" s="24" t="s">
        <v>75</v>
      </c>
      <c r="B12" s="24" t="s">
        <v>76</v>
      </c>
      <c r="C12" s="24" t="s">
        <v>38</v>
      </c>
      <c r="D12" s="21">
        <f ca="1">SUM(INDIRECT(ADDRESS(ROW(ИюньДанные[[#This Row],[Итого]]),COLUMN(ИюньДанные[[#This Row],[Итого]])+2)):INDIRECT(ADDRESS(ROW(ИюньДанные[[#This Row],[Итого]]),COUNTA(ИюньДанные[#Headers]))))</f>
        <v>0</v>
      </c>
      <c r="E12" s="30">
        <f ca="1">ИюньДанные[[#This Row],[Итого]]/COUNTIFS(ИюньДанные[Соц. Работник],ИюньДанные[[#This Row],[Соц. Работник]])</f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  <c r="V12" s="26">
        <v>0</v>
      </c>
      <c r="W12" s="26">
        <v>0</v>
      </c>
      <c r="X12" s="26">
        <v>0</v>
      </c>
      <c r="Y12" s="26">
        <v>0</v>
      </c>
      <c r="Z12" s="26">
        <v>0</v>
      </c>
      <c r="AA12" s="26">
        <v>0</v>
      </c>
      <c r="AB12" s="26">
        <v>0</v>
      </c>
      <c r="AC12" s="26">
        <v>0</v>
      </c>
      <c r="AD12" s="26">
        <v>0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6">
        <v>0</v>
      </c>
      <c r="AK12" s="26">
        <v>0</v>
      </c>
      <c r="AL12" s="26">
        <v>0</v>
      </c>
      <c r="AM12" s="26">
        <v>0</v>
      </c>
      <c r="AN12" s="26">
        <v>0</v>
      </c>
    </row>
  </sheetData>
  <dataValidations count="6">
    <dataValidation type="list" allowBlank="1" showInputMessage="1" showErrorMessage="1" sqref="C2">
      <formula1>СчетУслуги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F11:AN11">
      <formula1>Услуга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C12">
      <formula1>Учет</formula1>
    </dataValidation>
    <dataValidation type="list" allowBlank="1" showInputMessage="1" showErrorMessage="1" sqref="A12">
      <formula1>СоцРаботник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AN15"/>
  <sheetViews>
    <sheetView zoomScale="80" zoomScaleNormal="80" workbookViewId="0">
      <selection activeCell="B2" sqref="B2"/>
    </sheetView>
  </sheetViews>
  <sheetFormatPr defaultColWidth="9.140625" defaultRowHeight="15.75" x14ac:dyDescent="0.25"/>
  <cols>
    <col min="1" max="1" width="23.42578125" style="1" bestFit="1" customWidth="1"/>
    <col min="2" max="2" width="19.5703125" style="1" bestFit="1" customWidth="1"/>
    <col min="3" max="3" width="15.85546875" style="1" bestFit="1" customWidth="1"/>
    <col min="4" max="4" width="4.140625" style="1" bestFit="1" customWidth="1"/>
    <col min="5" max="5" width="7.140625" style="1" bestFit="1" customWidth="1"/>
    <col min="6" max="6" width="4.140625" style="1" bestFit="1" customWidth="1"/>
    <col min="7" max="7" width="7.140625" style="1" bestFit="1" customWidth="1"/>
    <col min="8" max="8" width="4.140625" style="1" bestFit="1" customWidth="1"/>
    <col min="9" max="9" width="7.140625" style="1" bestFit="1" customWidth="1"/>
    <col min="10" max="17" width="4.140625" style="1" bestFit="1" customWidth="1"/>
    <col min="18" max="18" width="7.140625" style="1" bestFit="1" customWidth="1"/>
    <col min="19" max="21" width="4.140625" style="1" bestFit="1" customWidth="1"/>
    <col min="22" max="23" width="7.140625" style="1" bestFit="1" customWidth="1"/>
    <col min="24" max="26" width="4.140625" style="1" bestFit="1" customWidth="1"/>
    <col min="27" max="28" width="7.140625" style="1" bestFit="1" customWidth="1"/>
    <col min="29" max="29" width="12.85546875" style="1" bestFit="1" customWidth="1"/>
    <col min="30" max="31" width="4.140625" style="1" bestFit="1" customWidth="1"/>
    <col min="32" max="34" width="7.140625" style="1" bestFit="1" customWidth="1"/>
    <col min="35" max="35" width="4.140625" style="1" bestFit="1" customWidth="1"/>
    <col min="36" max="36" width="7.140625" style="1" bestFit="1" customWidth="1"/>
    <col min="37" max="38" width="4.140625" style="1" bestFit="1" customWidth="1"/>
    <col min="39" max="39" width="7.140625" style="1" bestFit="1" customWidth="1"/>
    <col min="40" max="40" width="4.140625" style="1" bestFit="1" customWidth="1"/>
    <col min="41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47</v>
      </c>
      <c r="C1" s="1" t="s">
        <v>74</v>
      </c>
    </row>
    <row r="2" spans="1:40" ht="26.25" x14ac:dyDescent="0.4">
      <c r="A2" s="5" t="s">
        <v>55</v>
      </c>
      <c r="B2" s="16"/>
      <c r="C2" s="1" t="s">
        <v>72</v>
      </c>
    </row>
    <row r="4" spans="1:40" x14ac:dyDescent="0.25">
      <c r="A4" s="1" t="s">
        <v>0</v>
      </c>
      <c r="B4" s="1" t="s">
        <v>56</v>
      </c>
      <c r="C4" s="1" t="s">
        <v>57</v>
      </c>
    </row>
    <row r="5" spans="1:40" x14ac:dyDescent="0.25">
      <c r="A5" s="1" t="s">
        <v>58</v>
      </c>
      <c r="B5" s="1">
        <v>0</v>
      </c>
      <c r="C5" s="1">
        <v>0</v>
      </c>
    </row>
    <row r="6" spans="1:40" x14ac:dyDescent="0.25">
      <c r="A6" s="1" t="s">
        <v>59</v>
      </c>
      <c r="B6" s="1">
        <v>0</v>
      </c>
      <c r="C6" s="1">
        <v>0</v>
      </c>
    </row>
    <row r="7" spans="1:40" x14ac:dyDescent="0.25">
      <c r="A7" s="1" t="s">
        <v>60</v>
      </c>
      <c r="B7" s="1">
        <v>0</v>
      </c>
      <c r="C7" s="1">
        <v>0</v>
      </c>
    </row>
    <row r="8" spans="1:40" x14ac:dyDescent="0.25">
      <c r="A8" s="1" t="s">
        <v>61</v>
      </c>
      <c r="B8" s="1">
        <v>0</v>
      </c>
      <c r="C8" s="1">
        <v>0</v>
      </c>
    </row>
    <row r="9" spans="1:40" x14ac:dyDescent="0.25">
      <c r="A9" s="1" t="s">
        <v>62</v>
      </c>
      <c r="B9" s="1">
        <v>0</v>
      </c>
      <c r="C9" s="1">
        <v>0</v>
      </c>
    </row>
    <row r="11" spans="1:40" s="18" customFormat="1" ht="174" x14ac:dyDescent="0.25">
      <c r="A11" s="20" t="s">
        <v>63</v>
      </c>
      <c r="B11" s="20" t="s">
        <v>64</v>
      </c>
      <c r="C11" s="20" t="s">
        <v>37</v>
      </c>
      <c r="D11" s="19" t="s">
        <v>65</v>
      </c>
      <c r="E11" s="19" t="s">
        <v>66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x14ac:dyDescent="0.25">
      <c r="A12" s="24" t="s">
        <v>75</v>
      </c>
      <c r="B12" s="24" t="s">
        <v>76</v>
      </c>
      <c r="C12" s="24" t="s">
        <v>38</v>
      </c>
      <c r="D12" s="21">
        <f ca="1">SUM(INDIRECT(ADDRESS(ROW(ИюльДанные[[#This Row],[Итого]]),COLUMN(ИюльДанные[[#This Row],[Итого]])+2)):INDIRECT(ADDRESS(ROW(ИюльДанные[[#This Row],[Итого]]),COUNTA(ИюльДанные[#Headers]))))</f>
        <v>0</v>
      </c>
      <c r="E12" s="30">
        <f ca="1">ИюльДанные[[#This Row],[Итого]]/COUNTIFS(ИюльДанные[Соц. Работник],ИюльДанные[[#This Row],[Соц. Работник]])</f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  <c r="V12" s="26">
        <v>0</v>
      </c>
      <c r="W12" s="26">
        <v>0</v>
      </c>
      <c r="X12" s="26">
        <v>0</v>
      </c>
      <c r="Y12" s="26">
        <v>0</v>
      </c>
      <c r="Z12" s="26">
        <v>0</v>
      </c>
      <c r="AA12" s="26">
        <v>0</v>
      </c>
      <c r="AB12" s="26">
        <v>0</v>
      </c>
      <c r="AC12" s="26">
        <v>0</v>
      </c>
      <c r="AD12" s="26">
        <v>0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6">
        <v>0</v>
      </c>
      <c r="AK12" s="26">
        <v>0</v>
      </c>
      <c r="AL12" s="26">
        <v>0</v>
      </c>
      <c r="AM12" s="26">
        <v>0</v>
      </c>
      <c r="AN12" s="26">
        <v>0</v>
      </c>
    </row>
    <row r="15" spans="1:40" x14ac:dyDescent="0.25">
      <c r="AC15" s="1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)</f>
        <v>#REF!</v>
      </c>
    </row>
  </sheetData>
  <dataValidations count="6">
    <dataValidation type="list" allowBlank="1" showInputMessage="1" showErrorMessage="1" sqref="F11:AN11">
      <formula1>Услуга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A12">
      <formula1>СоцРаботник</formula1>
    </dataValidation>
    <dataValidation type="list" allowBlank="1" showInputMessage="1" showErrorMessage="1" sqref="C12">
      <formula1>Учет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AN16"/>
  <sheetViews>
    <sheetView zoomScale="80" zoomScaleNormal="80" workbookViewId="0">
      <selection activeCell="B2" sqref="B2"/>
    </sheetView>
  </sheetViews>
  <sheetFormatPr defaultColWidth="9.140625" defaultRowHeight="15.75" x14ac:dyDescent="0.25"/>
  <cols>
    <col min="1" max="1" width="23.42578125" style="1" bestFit="1" customWidth="1"/>
    <col min="2" max="2" width="19.85546875" style="1" bestFit="1" customWidth="1"/>
    <col min="3" max="3" width="16.28515625" style="1" bestFit="1" customWidth="1"/>
    <col min="4" max="4" width="4.140625" style="1" bestFit="1" customWidth="1"/>
    <col min="5" max="5" width="7.140625" style="1" bestFit="1" customWidth="1"/>
    <col min="6" max="6" width="4.140625" style="1" bestFit="1" customWidth="1"/>
    <col min="7" max="7" width="7.140625" style="1" bestFit="1" customWidth="1"/>
    <col min="8" max="8" width="4.140625" style="1" bestFit="1" customWidth="1"/>
    <col min="9" max="9" width="7.140625" style="1" bestFit="1" customWidth="1"/>
    <col min="10" max="17" width="4.140625" style="1" bestFit="1" customWidth="1"/>
    <col min="18" max="18" width="7.140625" style="1" bestFit="1" customWidth="1"/>
    <col min="19" max="21" width="4.140625" style="1" bestFit="1" customWidth="1"/>
    <col min="22" max="23" width="7.140625" style="1" bestFit="1" customWidth="1"/>
    <col min="24" max="26" width="4.140625" style="1" bestFit="1" customWidth="1"/>
    <col min="27" max="28" width="7.140625" style="1" bestFit="1" customWidth="1"/>
    <col min="29" max="31" width="4.140625" style="1" bestFit="1" customWidth="1"/>
    <col min="32" max="34" width="7.140625" style="1" bestFit="1" customWidth="1"/>
    <col min="35" max="35" width="4.140625" style="1" bestFit="1" customWidth="1"/>
    <col min="36" max="36" width="7.140625" style="1" bestFit="1" customWidth="1"/>
    <col min="37" max="38" width="4.140625" style="1" bestFit="1" customWidth="1"/>
    <col min="39" max="39" width="7.140625" style="1" bestFit="1" customWidth="1"/>
    <col min="40" max="40" width="4.140625" style="1" bestFit="1" customWidth="1"/>
    <col min="41" max="41" width="7.140625" style="1" bestFit="1" customWidth="1"/>
    <col min="42" max="42" width="10.28515625" style="1" customWidth="1"/>
    <col min="43" max="43" width="9.140625" style="1"/>
    <col min="44" max="45" width="10.140625" style="1" bestFit="1" customWidth="1"/>
    <col min="46" max="66" width="9.140625" style="1"/>
    <col min="67" max="68" width="10.140625" style="1" bestFit="1" customWidth="1"/>
    <col min="69" max="16384" width="9.140625" style="1"/>
  </cols>
  <sheetData>
    <row r="1" spans="1:40" ht="26.25" x14ac:dyDescent="0.4">
      <c r="A1" s="5" t="s">
        <v>0</v>
      </c>
      <c r="B1" s="5" t="s">
        <v>48</v>
      </c>
      <c r="C1" s="1" t="s">
        <v>74</v>
      </c>
    </row>
    <row r="2" spans="1:40" ht="26.25" x14ac:dyDescent="0.4">
      <c r="A2" s="5" t="s">
        <v>55</v>
      </c>
      <c r="B2" s="16"/>
      <c r="C2" s="1" t="s">
        <v>72</v>
      </c>
    </row>
    <row r="4" spans="1:40" x14ac:dyDescent="0.25">
      <c r="A4" s="1" t="s">
        <v>0</v>
      </c>
      <c r="B4" s="1" t="s">
        <v>56</v>
      </c>
      <c r="C4" s="1" t="s">
        <v>57</v>
      </c>
    </row>
    <row r="5" spans="1:40" x14ac:dyDescent="0.25">
      <c r="A5" s="1" t="s">
        <v>58</v>
      </c>
      <c r="B5" s="1">
        <v>0</v>
      </c>
      <c r="C5" s="1">
        <v>0</v>
      </c>
    </row>
    <row r="6" spans="1:40" x14ac:dyDescent="0.25">
      <c r="A6" s="1" t="s">
        <v>59</v>
      </c>
      <c r="B6" s="1">
        <v>0</v>
      </c>
      <c r="C6" s="1">
        <v>0</v>
      </c>
    </row>
    <row r="7" spans="1:40" x14ac:dyDescent="0.25">
      <c r="A7" s="1" t="s">
        <v>60</v>
      </c>
      <c r="B7" s="1">
        <v>0</v>
      </c>
      <c r="C7" s="1">
        <v>0</v>
      </c>
    </row>
    <row r="8" spans="1:40" x14ac:dyDescent="0.25">
      <c r="A8" s="1" t="s">
        <v>61</v>
      </c>
      <c r="B8" s="1">
        <v>0</v>
      </c>
      <c r="C8" s="1">
        <v>0</v>
      </c>
    </row>
    <row r="9" spans="1:40" x14ac:dyDescent="0.25">
      <c r="A9" s="1" t="s">
        <v>62</v>
      </c>
      <c r="B9" s="1">
        <v>0</v>
      </c>
      <c r="C9" s="1">
        <v>0</v>
      </c>
    </row>
    <row r="11" spans="1:40" s="18" customFormat="1" ht="174" x14ac:dyDescent="0.25">
      <c r="A11" s="20" t="s">
        <v>63</v>
      </c>
      <c r="B11" s="20" t="s">
        <v>64</v>
      </c>
      <c r="C11" s="20" t="s">
        <v>37</v>
      </c>
      <c r="D11" s="19" t="s">
        <v>65</v>
      </c>
      <c r="E11" s="19" t="s">
        <v>66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x14ac:dyDescent="0.25">
      <c r="A12" s="24" t="s">
        <v>75</v>
      </c>
      <c r="B12" s="24" t="s">
        <v>76</v>
      </c>
      <c r="C12" s="24" t="s">
        <v>38</v>
      </c>
      <c r="D12" s="34">
        <f ca="1">SUM(INDIRECT(ADDRESS(ROW(АвгустДанные[[#This Row],[Итого]]),COLUMN(АвгустДанные[[#This Row],[Итого]])+2)):INDIRECT(ADDRESS(ROW(АвгустДанные[[#This Row],[Итого]]),COUNTA(АвгустДанные[#Headers]))))</f>
        <v>0</v>
      </c>
      <c r="E12" s="35">
        <f ca="1">АвгустДанные[[#This Row],[Итого]]/COUNTIFS(АвгустДанные[Соц. Работник],АвгустДанные[[#This Row],[Соц. Работник]])</f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  <c r="V12" s="26">
        <v>0</v>
      </c>
      <c r="W12" s="26">
        <v>0</v>
      </c>
      <c r="X12" s="26">
        <v>0</v>
      </c>
      <c r="Y12" s="26">
        <v>0</v>
      </c>
      <c r="Z12" s="26">
        <v>0</v>
      </c>
      <c r="AA12" s="26">
        <v>0</v>
      </c>
      <c r="AB12" s="26">
        <v>0</v>
      </c>
      <c r="AC12" s="26">
        <v>0</v>
      </c>
      <c r="AD12" s="26">
        <v>0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6">
        <v>0</v>
      </c>
      <c r="AK12" s="26">
        <v>0</v>
      </c>
      <c r="AL12" s="26">
        <v>0</v>
      </c>
      <c r="AM12" s="26">
        <v>0</v>
      </c>
      <c r="AN12" s="26">
        <v>0</v>
      </c>
    </row>
    <row r="13" spans="1:40" x14ac:dyDescent="0.25"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</row>
    <row r="14" spans="1:40" x14ac:dyDescent="0.25"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</row>
    <row r="15" spans="1:40" x14ac:dyDescent="0.25"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36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</row>
    <row r="16" spans="1:40" x14ac:dyDescent="0.25"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</row>
  </sheetData>
  <dataValidations count="6">
    <dataValidation type="list" allowBlank="1" showInputMessage="1" showErrorMessage="1" sqref="C12">
      <formula1>Учет</formula1>
    </dataValidation>
    <dataValidation type="list" allowBlank="1" showInputMessage="1" showErrorMessage="1" sqref="A12">
      <formula1>СоцРаботник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F11:AN11">
      <formula1>Услуга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AN16"/>
  <sheetViews>
    <sheetView zoomScale="80" zoomScaleNormal="80" workbookViewId="0">
      <selection activeCell="B2" sqref="B2"/>
    </sheetView>
  </sheetViews>
  <sheetFormatPr defaultColWidth="9.140625" defaultRowHeight="15.75" x14ac:dyDescent="0.25"/>
  <cols>
    <col min="1" max="1" width="23.42578125" style="1" bestFit="1" customWidth="1"/>
    <col min="2" max="2" width="19.85546875" style="1" bestFit="1" customWidth="1"/>
    <col min="3" max="3" width="16.28515625" style="1" bestFit="1" customWidth="1"/>
    <col min="4" max="4" width="4.140625" style="1" bestFit="1" customWidth="1"/>
    <col min="5" max="5" width="7.140625" style="1" bestFit="1" customWidth="1"/>
    <col min="6" max="6" width="4.140625" style="1" bestFit="1" customWidth="1"/>
    <col min="7" max="7" width="7.140625" style="1" bestFit="1" customWidth="1"/>
    <col min="8" max="8" width="4.140625" style="1" bestFit="1" customWidth="1"/>
    <col min="9" max="9" width="7.140625" style="1" bestFit="1" customWidth="1"/>
    <col min="10" max="17" width="4.140625" style="1" bestFit="1" customWidth="1"/>
    <col min="18" max="18" width="7.140625" style="1" bestFit="1" customWidth="1"/>
    <col min="19" max="20" width="4.140625" style="1" bestFit="1" customWidth="1"/>
    <col min="21" max="23" width="7.140625" style="1" bestFit="1" customWidth="1"/>
    <col min="24" max="26" width="4.140625" style="1" bestFit="1" customWidth="1"/>
    <col min="27" max="27" width="10.140625" style="1" bestFit="1" customWidth="1"/>
    <col min="28" max="28" width="7.140625" style="1" bestFit="1" customWidth="1"/>
    <col min="29" max="29" width="12.85546875" style="1" bestFit="1" customWidth="1"/>
    <col min="30" max="31" width="4.140625" style="1" bestFit="1" customWidth="1"/>
    <col min="32" max="36" width="7.140625" style="1" bestFit="1" customWidth="1"/>
    <col min="37" max="38" width="4.140625" style="1" bestFit="1" customWidth="1"/>
    <col min="39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49</v>
      </c>
      <c r="C1" s="1" t="s">
        <v>74</v>
      </c>
    </row>
    <row r="2" spans="1:40" ht="26.25" x14ac:dyDescent="0.4">
      <c r="A2" s="5" t="s">
        <v>55</v>
      </c>
      <c r="B2" s="16"/>
      <c r="C2" s="1" t="s">
        <v>72</v>
      </c>
    </row>
    <row r="4" spans="1:40" x14ac:dyDescent="0.25">
      <c r="A4" s="1" t="s">
        <v>0</v>
      </c>
      <c r="B4" s="1" t="s">
        <v>56</v>
      </c>
      <c r="C4" s="1" t="s">
        <v>57</v>
      </c>
    </row>
    <row r="5" spans="1:40" x14ac:dyDescent="0.25">
      <c r="A5" s="1" t="s">
        <v>58</v>
      </c>
      <c r="B5" s="1">
        <v>0</v>
      </c>
      <c r="C5" s="1">
        <v>0</v>
      </c>
    </row>
    <row r="6" spans="1:40" x14ac:dyDescent="0.25">
      <c r="A6" s="1" t="s">
        <v>59</v>
      </c>
      <c r="B6" s="1">
        <v>0</v>
      </c>
      <c r="C6" s="1">
        <v>0</v>
      </c>
    </row>
    <row r="7" spans="1:40" x14ac:dyDescent="0.25">
      <c r="A7" s="1" t="s">
        <v>60</v>
      </c>
      <c r="B7" s="1">
        <v>0</v>
      </c>
      <c r="C7" s="1">
        <v>0</v>
      </c>
    </row>
    <row r="8" spans="1:40" x14ac:dyDescent="0.25">
      <c r="A8" s="1" t="s">
        <v>61</v>
      </c>
      <c r="B8" s="1">
        <v>0</v>
      </c>
      <c r="C8" s="1">
        <v>0</v>
      </c>
    </row>
    <row r="9" spans="1:40" x14ac:dyDescent="0.25">
      <c r="A9" s="1" t="s">
        <v>62</v>
      </c>
      <c r="B9" s="1">
        <v>0</v>
      </c>
      <c r="C9" s="1">
        <v>0</v>
      </c>
    </row>
    <row r="11" spans="1:40" s="18" customFormat="1" ht="145.5" x14ac:dyDescent="0.25">
      <c r="A11" s="20" t="s">
        <v>63</v>
      </c>
      <c r="B11" s="20" t="s">
        <v>64</v>
      </c>
      <c r="C11" s="20" t="s">
        <v>37</v>
      </c>
      <c r="D11" s="19" t="s">
        <v>65</v>
      </c>
      <c r="E11" s="19" t="s">
        <v>66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s="22" customFormat="1" x14ac:dyDescent="0.25">
      <c r="A12" s="24" t="s">
        <v>75</v>
      </c>
      <c r="B12" s="24" t="s">
        <v>76</v>
      </c>
      <c r="C12" s="24" t="s">
        <v>38</v>
      </c>
      <c r="D12" s="21">
        <f ca="1">SUM(INDIRECT(ADDRESS(ROW(СентябрьДанные[[#This Row],[Итого]]),COLUMN(СентябрьДанные[[#This Row],[Итого]])+2)):INDIRECT(ADDRESS(ROW(СентябрьДанные[[#This Row],[Итого]]),COUNTA(СентябрьДанные[#Headers]))))</f>
        <v>0</v>
      </c>
      <c r="E12" s="30">
        <f ca="1">СентябрьДанные[[#This Row],[Итого]]/COUNTIFS(СентябрьДанные[Соц. Работник],СентябрьДанные[[#This Row],[Соц. Работник]])</f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  <c r="V12" s="26">
        <v>0</v>
      </c>
      <c r="W12" s="26">
        <v>0</v>
      </c>
      <c r="X12" s="26">
        <v>0</v>
      </c>
      <c r="Y12" s="26">
        <v>0</v>
      </c>
      <c r="Z12" s="26">
        <v>0</v>
      </c>
      <c r="AA12" s="26">
        <v>0</v>
      </c>
      <c r="AB12" s="26">
        <v>0</v>
      </c>
      <c r="AC12" s="26">
        <v>0</v>
      </c>
      <c r="AD12" s="26">
        <v>0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6">
        <v>0</v>
      </c>
      <c r="AK12" s="26">
        <v>0</v>
      </c>
      <c r="AL12" s="26">
        <v>0</v>
      </c>
      <c r="AM12" s="26">
        <v>0</v>
      </c>
      <c r="AN12" s="26">
        <v>0</v>
      </c>
    </row>
    <row r="16" spans="1:40" x14ac:dyDescent="0.25">
      <c r="AC16" s="1" t="e">
        <f>SUM(AC12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)</f>
        <v>#REF!</v>
      </c>
    </row>
  </sheetData>
  <dataValidations count="6">
    <dataValidation type="list" allowBlank="1" showInputMessage="1" showErrorMessage="1" sqref="F11:AN11">
      <formula1>Услуга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A12">
      <formula1>СоцРаботник</formula1>
    </dataValidation>
    <dataValidation type="list" allowBlank="1" showInputMessage="1" showErrorMessage="1" sqref="C12">
      <formula1>Учет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AN12"/>
  <sheetViews>
    <sheetView zoomScale="80" zoomScaleNormal="80" workbookViewId="0">
      <selection activeCell="B2" sqref="B2"/>
    </sheetView>
  </sheetViews>
  <sheetFormatPr defaultColWidth="9.140625" defaultRowHeight="15.75" x14ac:dyDescent="0.25"/>
  <cols>
    <col min="1" max="1" width="23.42578125" style="1" bestFit="1" customWidth="1"/>
    <col min="2" max="2" width="19.85546875" style="1" bestFit="1" customWidth="1"/>
    <col min="3" max="3" width="16.28515625" style="1" bestFit="1" customWidth="1"/>
    <col min="4" max="4" width="4.140625" style="1" bestFit="1" customWidth="1"/>
    <col min="5" max="5" width="7.140625" style="1" bestFit="1" customWidth="1"/>
    <col min="6" max="6" width="4.140625" style="1" bestFit="1" customWidth="1"/>
    <col min="7" max="7" width="7.140625" style="1" bestFit="1" customWidth="1"/>
    <col min="8" max="8" width="4.140625" style="1" bestFit="1" customWidth="1"/>
    <col min="9" max="9" width="7.140625" style="1" bestFit="1" customWidth="1"/>
    <col min="10" max="17" width="4.140625" style="1" bestFit="1" customWidth="1"/>
    <col min="18" max="18" width="7.140625" style="1" bestFit="1" customWidth="1"/>
    <col min="19" max="20" width="4.140625" style="1" bestFit="1" customWidth="1"/>
    <col min="21" max="23" width="7.140625" style="1" bestFit="1" customWidth="1"/>
    <col min="24" max="26" width="4.140625" style="1" bestFit="1" customWidth="1"/>
    <col min="27" max="27" width="10.140625" style="1" bestFit="1" customWidth="1"/>
    <col min="28" max="28" width="7.140625" style="1" bestFit="1" customWidth="1"/>
    <col min="29" max="31" width="4.140625" style="1" bestFit="1" customWidth="1"/>
    <col min="32" max="36" width="7.140625" style="1" bestFit="1" customWidth="1"/>
    <col min="37" max="38" width="4.140625" style="1" bestFit="1" customWidth="1"/>
    <col min="39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50</v>
      </c>
      <c r="C1" s="1" t="s">
        <v>74</v>
      </c>
    </row>
    <row r="2" spans="1:40" ht="26.25" x14ac:dyDescent="0.4">
      <c r="A2" s="5" t="s">
        <v>55</v>
      </c>
      <c r="B2" s="16"/>
      <c r="C2" s="1" t="s">
        <v>72</v>
      </c>
    </row>
    <row r="4" spans="1:40" x14ac:dyDescent="0.25">
      <c r="A4" s="1" t="s">
        <v>0</v>
      </c>
      <c r="B4" s="1" t="s">
        <v>56</v>
      </c>
      <c r="C4" s="1" t="s">
        <v>57</v>
      </c>
    </row>
    <row r="5" spans="1:40" x14ac:dyDescent="0.25">
      <c r="A5" s="1" t="s">
        <v>58</v>
      </c>
      <c r="B5" s="1">
        <v>0</v>
      </c>
      <c r="C5" s="1">
        <v>0</v>
      </c>
    </row>
    <row r="6" spans="1:40" x14ac:dyDescent="0.25">
      <c r="A6" s="1" t="s">
        <v>59</v>
      </c>
      <c r="B6" s="1">
        <v>0</v>
      </c>
      <c r="C6" s="1">
        <v>0</v>
      </c>
    </row>
    <row r="7" spans="1:40" x14ac:dyDescent="0.25">
      <c r="A7" s="1" t="s">
        <v>60</v>
      </c>
      <c r="B7" s="1">
        <v>0</v>
      </c>
      <c r="C7" s="1">
        <v>0</v>
      </c>
    </row>
    <row r="8" spans="1:40" x14ac:dyDescent="0.25">
      <c r="A8" s="1" t="s">
        <v>61</v>
      </c>
      <c r="B8" s="1">
        <v>0</v>
      </c>
      <c r="C8" s="1">
        <v>0</v>
      </c>
    </row>
    <row r="9" spans="1:40" x14ac:dyDescent="0.25">
      <c r="A9" s="1" t="s">
        <v>62</v>
      </c>
      <c r="B9" s="1">
        <v>0</v>
      </c>
      <c r="C9" s="1">
        <v>0</v>
      </c>
    </row>
    <row r="11" spans="1:40" s="18" customFormat="1" ht="145.5" x14ac:dyDescent="0.25">
      <c r="A11" s="20" t="s">
        <v>63</v>
      </c>
      <c r="B11" s="20" t="s">
        <v>64</v>
      </c>
      <c r="C11" s="20" t="s">
        <v>37</v>
      </c>
      <c r="D11" s="19" t="s">
        <v>65</v>
      </c>
      <c r="E11" s="19" t="s">
        <v>66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s="22" customFormat="1" x14ac:dyDescent="0.25">
      <c r="A12" s="24" t="s">
        <v>75</v>
      </c>
      <c r="B12" s="24" t="s">
        <v>76</v>
      </c>
      <c r="C12" s="24" t="s">
        <v>38</v>
      </c>
      <c r="D12" s="21">
        <f ca="1">SUM(INDIRECT(ADDRESS(ROW(ОктябрьДанные[[#This Row],[Итого]]),COLUMN(ОктябрьДанные[[#This Row],[Итого]])+2)):INDIRECT(ADDRESS(ROW(ОктябрьДанные[[#This Row],[Итого]]),COUNTA(ОктябрьДанные[#Headers]))))</f>
        <v>0</v>
      </c>
      <c r="E12" s="30">
        <f ca="1">ОктябрьДанные[[#This Row],[Итого]]/COUNTIFS(ОктябрьДанные[Соц. Работник],ОктябрьДанные[[#This Row],[Соц. Работник]])</f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  <c r="V12" s="26">
        <v>0</v>
      </c>
      <c r="W12" s="26">
        <v>0</v>
      </c>
      <c r="X12" s="26">
        <v>0</v>
      </c>
      <c r="Y12" s="26">
        <v>0</v>
      </c>
      <c r="Z12" s="26">
        <v>0</v>
      </c>
      <c r="AA12" s="26">
        <v>0</v>
      </c>
      <c r="AB12" s="26">
        <v>0</v>
      </c>
      <c r="AC12" s="26">
        <v>0</v>
      </c>
      <c r="AD12" s="26">
        <v>0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6">
        <v>0</v>
      </c>
      <c r="AK12" s="26">
        <v>0</v>
      </c>
      <c r="AL12" s="26">
        <v>0</v>
      </c>
      <c r="AM12" s="26">
        <v>0</v>
      </c>
      <c r="AN12" s="26">
        <v>0</v>
      </c>
    </row>
  </sheetData>
  <dataValidations count="6">
    <dataValidation type="list" allowBlank="1" showInputMessage="1" showErrorMessage="1" sqref="F11:AN11">
      <formula1>Услуга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A12">
      <formula1>СоцРаботник</formula1>
    </dataValidation>
    <dataValidation type="list" allowBlank="1" showInputMessage="1" showErrorMessage="1" sqref="C12">
      <formula1>Учет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AN12"/>
  <sheetViews>
    <sheetView zoomScale="80" zoomScaleNormal="80" workbookViewId="0">
      <selection activeCell="B2" sqref="B2"/>
    </sheetView>
  </sheetViews>
  <sheetFormatPr defaultColWidth="9.140625" defaultRowHeight="15.75" x14ac:dyDescent="0.25"/>
  <cols>
    <col min="1" max="1" width="23.42578125" style="1" bestFit="1" customWidth="1"/>
    <col min="2" max="2" width="19.85546875" style="1" bestFit="1" customWidth="1"/>
    <col min="3" max="3" width="16.28515625" style="1" bestFit="1" customWidth="1"/>
    <col min="4" max="4" width="4.140625" style="1" bestFit="1" customWidth="1"/>
    <col min="5" max="5" width="7.140625" style="1" bestFit="1" customWidth="1"/>
    <col min="6" max="6" width="4.140625" style="1" bestFit="1" customWidth="1"/>
    <col min="7" max="7" width="7.140625" style="1" bestFit="1" customWidth="1"/>
    <col min="8" max="8" width="4.140625" style="1" bestFit="1" customWidth="1"/>
    <col min="9" max="9" width="7.140625" style="1" bestFit="1" customWidth="1"/>
    <col min="10" max="17" width="4.140625" style="1" bestFit="1" customWidth="1"/>
    <col min="18" max="18" width="7.140625" style="1" bestFit="1" customWidth="1"/>
    <col min="19" max="20" width="4.140625" style="1" bestFit="1" customWidth="1"/>
    <col min="21" max="23" width="7.140625" style="1" bestFit="1" customWidth="1"/>
    <col min="24" max="26" width="4.140625" style="1" bestFit="1" customWidth="1"/>
    <col min="27" max="27" width="10.140625" style="1" bestFit="1" customWidth="1"/>
    <col min="28" max="28" width="7.140625" style="1" bestFit="1" customWidth="1"/>
    <col min="29" max="31" width="4.140625" style="1" bestFit="1" customWidth="1"/>
    <col min="32" max="36" width="7.140625" style="1" bestFit="1" customWidth="1"/>
    <col min="37" max="38" width="4.140625" style="1" bestFit="1" customWidth="1"/>
    <col min="39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51</v>
      </c>
      <c r="C1" s="1" t="s">
        <v>74</v>
      </c>
    </row>
    <row r="2" spans="1:40" ht="26.25" x14ac:dyDescent="0.4">
      <c r="A2" s="5" t="s">
        <v>55</v>
      </c>
      <c r="B2" s="16"/>
      <c r="C2" s="1" t="s">
        <v>72</v>
      </c>
    </row>
    <row r="4" spans="1:40" x14ac:dyDescent="0.25">
      <c r="A4" s="1" t="s">
        <v>0</v>
      </c>
      <c r="B4" s="1" t="s">
        <v>56</v>
      </c>
      <c r="C4" s="1" t="s">
        <v>57</v>
      </c>
    </row>
    <row r="5" spans="1:40" x14ac:dyDescent="0.25">
      <c r="A5" s="1" t="s">
        <v>58</v>
      </c>
      <c r="B5" s="1">
        <v>0</v>
      </c>
      <c r="C5" s="1">
        <v>0</v>
      </c>
    </row>
    <row r="6" spans="1:40" x14ac:dyDescent="0.25">
      <c r="A6" s="1" t="s">
        <v>59</v>
      </c>
      <c r="B6" s="1">
        <v>0</v>
      </c>
      <c r="C6" s="1">
        <v>0</v>
      </c>
    </row>
    <row r="7" spans="1:40" x14ac:dyDescent="0.25">
      <c r="A7" s="1" t="s">
        <v>60</v>
      </c>
      <c r="B7" s="1">
        <v>0</v>
      </c>
      <c r="C7" s="1">
        <v>0</v>
      </c>
    </row>
    <row r="8" spans="1:40" x14ac:dyDescent="0.25">
      <c r="A8" s="1" t="s">
        <v>61</v>
      </c>
      <c r="B8" s="1">
        <v>0</v>
      </c>
      <c r="C8" s="1">
        <v>0</v>
      </c>
    </row>
    <row r="9" spans="1:40" x14ac:dyDescent="0.25">
      <c r="A9" s="1" t="s">
        <v>62</v>
      </c>
      <c r="B9" s="1">
        <v>0</v>
      </c>
      <c r="C9" s="1">
        <v>0</v>
      </c>
    </row>
    <row r="11" spans="1:40" s="18" customFormat="1" ht="145.5" x14ac:dyDescent="0.25">
      <c r="A11" s="20" t="s">
        <v>63</v>
      </c>
      <c r="B11" s="20" t="s">
        <v>64</v>
      </c>
      <c r="C11" s="20" t="s">
        <v>37</v>
      </c>
      <c r="D11" s="19" t="s">
        <v>65</v>
      </c>
      <c r="E11" s="19" t="s">
        <v>66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s="22" customFormat="1" x14ac:dyDescent="0.25">
      <c r="A12" s="24" t="s">
        <v>75</v>
      </c>
      <c r="B12" s="24" t="s">
        <v>76</v>
      </c>
      <c r="C12" s="24" t="s">
        <v>38</v>
      </c>
      <c r="D12" s="21">
        <f ca="1">SUM(INDIRECT(ADDRESS(ROW(НоябрьДанные[[#This Row],[Итого]]),COLUMN(НоябрьДанные[[#This Row],[Итого]])+2)):INDIRECT(ADDRESS(ROW(НоябрьДанные[[#This Row],[Итого]]),COUNTA(НоябрьДанные[#Headers]))))</f>
        <v>0</v>
      </c>
      <c r="E12" s="30">
        <f ca="1">НоябрьДанные[[#This Row],[Итого]]/COUNTIFS(НоябрьДанные[Соц. Работник],НоябрьДанные[[#This Row],[Соц. Работник]])</f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  <c r="V12" s="26">
        <v>0</v>
      </c>
      <c r="W12" s="26">
        <v>0</v>
      </c>
      <c r="X12" s="26">
        <v>0</v>
      </c>
      <c r="Y12" s="26">
        <v>0</v>
      </c>
      <c r="Z12" s="26">
        <v>0</v>
      </c>
      <c r="AA12" s="26">
        <v>0</v>
      </c>
      <c r="AB12" s="26">
        <v>0</v>
      </c>
      <c r="AC12" s="26">
        <v>0</v>
      </c>
      <c r="AD12" s="26">
        <v>0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6">
        <v>0</v>
      </c>
      <c r="AK12" s="26">
        <v>0</v>
      </c>
      <c r="AL12" s="26">
        <v>0</v>
      </c>
      <c r="AM12" s="26">
        <v>0</v>
      </c>
      <c r="AN12" s="26">
        <v>0</v>
      </c>
    </row>
  </sheetData>
  <dataValidations count="6">
    <dataValidation type="list" allowBlank="1" showInputMessage="1" showErrorMessage="1" sqref="F11:AN11">
      <formula1>Услуга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A12">
      <formula1>СоцРаботник</formula1>
    </dataValidation>
    <dataValidation type="list" allowBlank="1" showInputMessage="1" showErrorMessage="1" sqref="C12">
      <formula1>Учет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AN12"/>
  <sheetViews>
    <sheetView zoomScale="80" zoomScaleNormal="80" workbookViewId="0">
      <selection activeCell="B2" sqref="B2"/>
    </sheetView>
  </sheetViews>
  <sheetFormatPr defaultColWidth="9.140625" defaultRowHeight="15.75" x14ac:dyDescent="0.25"/>
  <cols>
    <col min="1" max="1" width="23.42578125" style="1" bestFit="1" customWidth="1"/>
    <col min="2" max="2" width="19.85546875" style="1" bestFit="1" customWidth="1"/>
    <col min="3" max="3" width="16.28515625" style="1" bestFit="1" customWidth="1"/>
    <col min="4" max="4" width="4.140625" style="1" bestFit="1" customWidth="1"/>
    <col min="5" max="5" width="7.140625" style="1" bestFit="1" customWidth="1"/>
    <col min="6" max="6" width="4.140625" style="1" bestFit="1" customWidth="1"/>
    <col min="7" max="7" width="7.140625" style="1" bestFit="1" customWidth="1"/>
    <col min="8" max="8" width="4.140625" style="1" bestFit="1" customWidth="1"/>
    <col min="9" max="9" width="7.140625" style="1" bestFit="1" customWidth="1"/>
    <col min="10" max="14" width="4.140625" style="1" bestFit="1" customWidth="1"/>
    <col min="15" max="15" width="7.140625" style="1" bestFit="1" customWidth="1"/>
    <col min="16" max="17" width="4.140625" style="1" bestFit="1" customWidth="1"/>
    <col min="18" max="18" width="7.140625" style="1" bestFit="1" customWidth="1"/>
    <col min="19" max="20" width="4.140625" style="1" bestFit="1" customWidth="1"/>
    <col min="21" max="23" width="7.140625" style="1" bestFit="1" customWidth="1"/>
    <col min="24" max="26" width="4.140625" style="1" bestFit="1" customWidth="1"/>
    <col min="27" max="27" width="10.140625" style="1" bestFit="1" customWidth="1"/>
    <col min="28" max="28" width="7.140625" style="1" bestFit="1" customWidth="1"/>
    <col min="29" max="31" width="4.140625" style="1" bestFit="1" customWidth="1"/>
    <col min="32" max="36" width="7.140625" style="1" bestFit="1" customWidth="1"/>
    <col min="37" max="38" width="4.140625" style="1" bestFit="1" customWidth="1"/>
    <col min="39" max="39" width="9.85546875" style="1" bestFit="1" customWidth="1"/>
    <col min="40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52</v>
      </c>
      <c r="C1" s="1" t="s">
        <v>74</v>
      </c>
    </row>
    <row r="2" spans="1:40" ht="26.25" x14ac:dyDescent="0.4">
      <c r="A2" s="5" t="s">
        <v>55</v>
      </c>
      <c r="B2" s="16"/>
      <c r="C2" s="1" t="s">
        <v>72</v>
      </c>
    </row>
    <row r="4" spans="1:40" x14ac:dyDescent="0.25">
      <c r="A4" s="1" t="s">
        <v>0</v>
      </c>
      <c r="B4" s="1" t="s">
        <v>56</v>
      </c>
      <c r="C4" s="1" t="s">
        <v>57</v>
      </c>
    </row>
    <row r="5" spans="1:40" x14ac:dyDescent="0.25">
      <c r="A5" s="1" t="s">
        <v>58</v>
      </c>
      <c r="B5" s="1">
        <v>0</v>
      </c>
      <c r="C5" s="1">
        <v>0</v>
      </c>
    </row>
    <row r="6" spans="1:40" x14ac:dyDescent="0.25">
      <c r="A6" s="1" t="s">
        <v>59</v>
      </c>
      <c r="B6" s="1">
        <v>0</v>
      </c>
      <c r="C6" s="1">
        <v>0</v>
      </c>
    </row>
    <row r="7" spans="1:40" x14ac:dyDescent="0.25">
      <c r="A7" s="1" t="s">
        <v>60</v>
      </c>
      <c r="B7" s="1">
        <v>0</v>
      </c>
      <c r="C7" s="1">
        <v>0</v>
      </c>
    </row>
    <row r="8" spans="1:40" x14ac:dyDescent="0.25">
      <c r="A8" s="1" t="s">
        <v>61</v>
      </c>
      <c r="B8" s="1">
        <v>0</v>
      </c>
      <c r="C8" s="1">
        <v>0</v>
      </c>
    </row>
    <row r="9" spans="1:40" x14ac:dyDescent="0.25">
      <c r="A9" s="1" t="s">
        <v>62</v>
      </c>
      <c r="B9" s="1">
        <v>0</v>
      </c>
      <c r="C9" s="1">
        <v>0</v>
      </c>
    </row>
    <row r="11" spans="1:40" s="18" customFormat="1" ht="141" x14ac:dyDescent="0.25">
      <c r="A11" s="20" t="s">
        <v>63</v>
      </c>
      <c r="B11" s="20" t="s">
        <v>64</v>
      </c>
      <c r="C11" s="20" t="s">
        <v>37</v>
      </c>
      <c r="D11" s="19" t="s">
        <v>65</v>
      </c>
      <c r="E11" s="19" t="s">
        <v>66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s="22" customFormat="1" x14ac:dyDescent="0.25">
      <c r="A12" s="24" t="s">
        <v>75</v>
      </c>
      <c r="B12" s="24" t="s">
        <v>76</v>
      </c>
      <c r="C12" s="24" t="s">
        <v>38</v>
      </c>
      <c r="D12" s="21">
        <f ca="1">SUM(INDIRECT(ADDRESS(ROW(ДекабрьДанные[[#This Row],[Итого]]),COLUMN(ДекабрьДанные[[#This Row],[Итого]])+2)):INDIRECT(ADDRESS(ROW(ДекабрьДанные[[#This Row],[Итого]]),COUNTA(ДекабрьДанные[#Headers]))))</f>
        <v>0</v>
      </c>
      <c r="E12" s="30">
        <f ca="1">ДекабрьДанные[[#This Row],[Итого]]/COUNTIFS(ДекабрьДанные[Соц. Работник],ДекабрьДанные[[#This Row],[Соц. Работник]])</f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  <c r="V12" s="26">
        <v>0</v>
      </c>
      <c r="W12" s="26">
        <v>0</v>
      </c>
      <c r="X12" s="26">
        <v>0</v>
      </c>
      <c r="Y12" s="26">
        <v>0</v>
      </c>
      <c r="Z12" s="26">
        <v>0</v>
      </c>
      <c r="AA12" s="26">
        <v>0</v>
      </c>
      <c r="AB12" s="26">
        <v>0</v>
      </c>
      <c r="AC12" s="26">
        <v>0</v>
      </c>
      <c r="AD12" s="26">
        <v>0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6">
        <v>0</v>
      </c>
      <c r="AK12" s="26">
        <v>0</v>
      </c>
      <c r="AL12" s="26">
        <v>0</v>
      </c>
      <c r="AM12" s="26">
        <v>0</v>
      </c>
      <c r="AN12" s="26">
        <v>0</v>
      </c>
    </row>
  </sheetData>
  <dataValidations count="6">
    <dataValidation type="list" allowBlank="1" showInputMessage="1" showErrorMessage="1" sqref="F11:AN11">
      <formula1>Услуга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A12">
      <formula1>СоцРаботник</formula1>
    </dataValidation>
    <dataValidation type="list" allowBlank="1" showInputMessage="1" showErrorMessage="1" sqref="C12">
      <formula1>Учет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customUI/_rels/customUI14.xml.rels><?xml version="1.0" encoding="UTF-8" standalone="yes"?>
<Relationships xmlns="http://schemas.openxmlformats.org/package/2006/relationships"><Relationship Id="btn-down" Type="http://schemas.openxmlformats.org/officeDocument/2006/relationships/image" Target="images/btn-down.png"/><Relationship Id="btn-month" Type="http://schemas.openxmlformats.org/officeDocument/2006/relationships/image" Target="images/btn-month.png"/><Relationship Id="btn-update" Type="http://schemas.openxmlformats.org/officeDocument/2006/relationships/image" Target="images/btn-update.png"/><Relationship Id="kvartal-four" Type="http://schemas.openxmlformats.org/officeDocument/2006/relationships/image" Target="images/kvartal-four.png"/><Relationship Id="btn-ok" Type="http://schemas.openxmlformats.org/officeDocument/2006/relationships/image" Target="images/btn-ok.png"/><Relationship Id="clear-errors" Type="http://schemas.openxmlformats.org/officeDocument/2006/relationships/image" Target="images/clear-errors.png"/><Relationship Id="kvartal-two" Type="http://schemas.openxmlformats.org/officeDocument/2006/relationships/image" Target="images/kvartal-two.png"/><Relationship Id="select-list" Type="http://schemas.openxmlformats.org/officeDocument/2006/relationships/image" Target="images/select-list.png"/><Relationship Id="services" Type="http://schemas.openxmlformats.org/officeDocument/2006/relationships/image" Target="images/services.png"/><Relationship Id="reset-columns" Type="http://schemas.openxmlformats.org/officeDocument/2006/relationships/image" Target="images/reset-columns.png"/><Relationship Id="update-columns" Type="http://schemas.openxmlformats.org/officeDocument/2006/relationships/image" Target="images/update-columns.png"/><Relationship Id="Color" Type="http://schemas.openxmlformats.org/officeDocument/2006/relationships/image" Target="images/Color.png"/><Relationship Id="NoColor" Type="http://schemas.openxmlformats.org/officeDocument/2006/relationships/image" Target="images/NoColor.png"/><Relationship Id="btn-list" Type="http://schemas.openxmlformats.org/officeDocument/2006/relationships/image" Target="images/btn-list.png"/><Relationship Id="clear-double" Type="http://schemas.openxmlformats.org/officeDocument/2006/relationships/image" Target="images/clear-double.png"/><Relationship Id="update-rows" Type="http://schemas.openxmlformats.org/officeDocument/2006/relationships/image" Target="images/update-rows.png"/><Relationship Id="accounting-btn" Type="http://schemas.openxmlformats.org/officeDocument/2006/relationships/image" Target="images/accounting-btn.png"/><Relationship Id="add-columns" Type="http://schemas.openxmlformats.org/officeDocument/2006/relationships/image" Target="images/add-columns.png"/><Relationship Id="btn-prev" Type="http://schemas.openxmlformats.org/officeDocument/2006/relationships/image" Target="images/btn-prev.png"/><Relationship Id="CreateName" Type="http://schemas.openxmlformats.org/officeDocument/2006/relationships/image" Target="images/CreateName.png"/><Relationship Id="Main" Type="http://schemas.openxmlformats.org/officeDocument/2006/relationships/image" Target="images/Main.png"/><Relationship Id="btn-resize" Type="http://schemas.openxmlformats.org/officeDocument/2006/relationships/image" Target="images/btn-resize.png"/><Relationship Id="reset-btn" Type="http://schemas.openxmlformats.org/officeDocument/2006/relationships/image" Target="images/reset-btn.png"/><Relationship Id="reset-rows" Type="http://schemas.openxmlformats.org/officeDocument/2006/relationships/image" Target="images/reset-rows.png"/><Relationship Id="worker" Type="http://schemas.openxmlformats.org/officeDocument/2006/relationships/image" Target="images/worker.png"/><Relationship Id="config-icon" Type="http://schemas.openxmlformats.org/officeDocument/2006/relationships/image" Target="images/config-icon.png"/><Relationship Id="btn-up" Type="http://schemas.openxmlformats.org/officeDocument/2006/relationships/image" Target="images/btn-up.png"/><Relationship Id="kvartal-menu" Type="http://schemas.openxmlformats.org/officeDocument/2006/relationships/image" Target="images/kvartal-menu.png"/><Relationship Id="kvartal-one" Type="http://schemas.openxmlformats.org/officeDocument/2006/relationships/image" Target="images/kvartal-one.png"/><Relationship Id="add-rows" Type="http://schemas.openxmlformats.org/officeDocument/2006/relationships/image" Target="images/add-rows.png"/><Relationship Id="btn-next" Type="http://schemas.openxmlformats.org/officeDocument/2006/relationships/image" Target="images/btn-next.png"/><Relationship Id="kvartal-three" Type="http://schemas.openxmlformats.org/officeDocument/2006/relationships/image" Target="images/kvartal-three.png"/></Relationships>
</file>

<file path=customUI/customUI14.xml><?xml version="1.0" encoding="utf-8"?>
<customUI xmlns="http://schemas.microsoft.com/office/2009/07/customui" onLoad="RibbonOnLoad">
  <ribbon startFromScratch="false">
    <tabs>
      <tab id="SocialServices" label="Управление услугами" getVisible="GetVisible" tag="XSocSer">
        <group id="TransitionsID" label="Перемещения по страницам" getVisible="GetterVisible" tag="GTran">
          <button id="MainID" label="Домой" image="Main" size="large" onAction="MainClick"/>
          <menu id="SelectListID" label="Выбрать страницу" image="select-list" size="large">
            <button id="onMainID" label="Домой" image="Main" onAction="MainClick"/>
            <button id="onJanID" label="Январь" image="btn-list" onAction="JanuaryClick"/>
            <button id="onFebID" label="Февраль" image="btn-list" onAction="FebruaryClick"/>
            <button id="onMarID" label="Март" image="btn-list" onAction="MarchClick"/>
            <button id="onAprID" label="Апрель" image="btn-list" onAction="AprilClick"/>
            <button id="onMayID" label="Май" image="btn-list" onAction="MayClick"/>
            <button id="onJuneID" label="Июнь" image="btn-list" onAction="JuneClick"/>
            <button id="onJulyID" label="Июль" image="btn-list" onAction="JulyClick"/>
            <button id="onAugID" label="Август" image="btn-list" onAction="AugustClick"/>
            <button id="onSeptID" label="Сентябрь" image="btn-list" onAction="SeptemberClick"/>
            <button id="onOctID" label="Октябрь" image="btn-list" onAction="OctoberClick"/>
            <button id="onNovID" label="Ноябрь" image="btn-list" onAction="NovemberClick"/>
            <button id="onDecID" label="Декабрь" image="btn-list" onAction="DecemberClick"/>
          </menu>
          <button id="PreviousID" label="Предыдущая" image="btn-prev" size="large" onAction="ClickPrevious"/>
          <button id="IDNext" label="Следующая" image="btn-next" size="large" onAction="NextClick"/>
        </group>
        <group id="SocialParametersID" label="Параметры" getVisible="GetterVisible" tag="GTranParameters">
          <menu id="GMenuParametersID" label="Настройки таблиц" image="config-icon" size="large">
            <button id="EditServices" label="Добавить услугу" image="services" onAction="EditServicesClick"/>
            <button id="EditWorker" label="Редактировать соц. работников" image="worker" onAction="EditWorkerClick"/>
            <button id="EditAccounting" label="Изменить постановку на учет" image="accounting-btn" onAction="EditAccountingClick"/>
            <button id="EditMonths" label="Изменить периоды" image="btn-month" onAction="EditMonthsClick"/>
          </menu>
        </group>
        <group id="Transitions" label="Перемещения по страницам" getVisible="GetterVisible" tag="XTran">
          <button id="Main" label="Домой" image="Main" size="large" onAction="MainClick"/>
          <menu id="SelectList" label="Выбрать страницу" image="select-list" size="large">
            <button id="onMain" label="Домой" image="Main" onAction="MainClick"/>
            <button id="onJan" label="Январь" image="btn-list" onAction="JanuaryClick"/>
            <button id="onFeb" label="Февраль" image="btn-list" onAction="FebruaryClick"/>
            <button id="onMar" label="Март" image="btn-list" onAction="MarchClick"/>
            <button id="onApr" label="Апрель" image="btn-list" onAction="AprilClick"/>
            <button id="onMay" label="Май" image="btn-list" onAction="MayClick"/>
            <button id="onJune" label="Июнь" image="btn-list" onAction="JuneClick"/>
            <button id="onJuly" label="Июль" image="btn-list" onAction="JulyClick"/>
            <button id="onAug" label="Август" image="btn-list" onAction="AugustClick"/>
            <button id="onSept" label="Сентябрь" image="btn-list" onAction="SeptemberClick"/>
            <button id="onOct" label="Октябрь" image="btn-list" onAction="OctoberClick"/>
            <button id="onNov" label="Ноябрь" image="btn-list" onAction="NovemberClick"/>
            <button id="onDec" label="Декабрь" image="btn-list" onAction="DecemberClick"/>
          </menu>
          <button id="BtnUpID" label="Вверх" image="btn-up" size="large" onAction="UpClick"/>
          <button id="BtnDownID" label="Вниз" image="btn-down" size="large" onAction="DownClick"/>
          <button id="IdPrevious" label="Предыдущая" image="btn-prev" size="large" onAction="ClickPrevious"/>
          <button id="NextID" label="Следующая" image="btn-next" size="large" onAction="NextClick"/>
        </group>
        <group id="XMoneyID" label="Деньги" getVisible="GetterVisible" tag="XMoney">
          <button id="XRubleID" label="Закрасить" image="Color" size="large" onAction="RubleClick"/>
          <button id="XNoRubleID" label="Обесцветить" image="NoColor" size="large" onAction="NoRubleClick"/>
        </group>
        <group id="SocialEdit" label="Редактирование" getVisible="GetterVisible" tag="XEdit">
          <menu id="XAddEditID" label="Добавить" imageMso="PictureBackgroundRemovalMarkForeground" size="large">
            <button id="AddRowsID" label="Добавить строку" image="add-rows" onAction="AddRowsClick"/>
            <button id="AddColumnID" label="Добавить столбец" image="add-columns" onAction="AddColumnClick"/>
            <button id="CreateNameID" label="Придумать имя" imageMso="PencilTool" onAction="CreateNameClick"/>
          </menu>
          <button id="XCalcUpdateID" label="Обновить вычисления" image="btn-update" size="large" onAction="CalcUpdateClick"/>
          <button id="XBtnFitSizesID" label="Подогнать размеры" image="btn-resize" size="large" onAction="BtnFitSizesClick"/>
          <menu id="XRemoveEditID" label="Удалить" imageMso="PictureBackgroundRemovalMarkBackground" size="large">
            <button id="DeleteDoubleID" label="Удалить дубликаты" image="clear-double" onAction="DeleteDoubleClick"/>
            <button id="DeleteErrorID" label="Удалить ошибки" image="clear-errors" onAction="RemoveErrorsClick"/>
          </menu>
          <menu id="XClearEditID" label="Очистить" imageMso="ClearAll" size="large">
            <button id="SelectRowsID" label="Очистить строку" image="reset-rows" onAction="SelectRowsClick"/>
            <button id="SelectColumnID" label="Очистить столбец" image="reset-columns" onAction="SelectColumnClick"/>
            <button id="AllZeroID" label="Очистить всё" image="reset-btn" onAction="ClearAllClick"/>
          </menu>
        </group>
        <group id="SocialParameters" label="Параметры" getVisible="GetterVisible" tag="XTranParameters">
          <menu id="MyXMenuParametersID" label="Настройки таблиц" image="config-icon" size="large">
            <button id="EditServicesID" label="Добавить услугу" image="services" onAction="EditServicesClick"/>
            <button id="EditWorkerID" label="Редактировать соц. работников" image="worker" onAction="EditWorkerClick"/>
            <button id="EditAccountingID" label="Изменить постановку на учет" image="accounting-btn" onAction="EditAccountingClick"/>
            <button id="EditMonthsID" label="Изменить периоды" image="btn-month" onAction="EditMonthsClick"/>
          </menu>
        </group>
        <group id="MyTransitions" label="Перемещения по страницам" getVisible="GetterVisible" tag="MyTran">
          <button id="IDMain" label="Домой" image="Main" size="large" onAction="MainClick"/>
          <menu id="IDSelectList" label="Выбрать страницу" image="select-list" size="large">
            <button id="inMain" label="Домой" image="Main" onAction="MainClick"/>
            <button id="inJan" label="Январь" image="btn-list" onAction="JanuaryClick"/>
            <button id="inFeb" label="Февраль" image="btn-list" onAction="FebruaryClick"/>
            <button id="inMar" label="Март" image="btn-list" onAction="MarchClick"/>
            <button id="inApr" label="Апрель" image="btn-list" onAction="AprilClick"/>
            <button id="inMay" label="Май" image="btn-list" onAction="MayClick"/>
            <button id="inJune" label="Июнь" image="btn-list" onAction="JuneClick"/>
            <button id="inJuly" label="Июль" image="btn-list" onAction="JulyClick"/>
            <button id="inAug" label="Август" image="btn-list" onAction="AugustClick"/>
            <button id="inSept" label="Сентябрь" image="btn-list" onAction="SeptemberClick"/>
            <button id="inOct" label="Октябрь" image="btn-list" onAction="OctoberClick"/>
            <button id="inNov" label="Ноябрь" image="btn-list" onAction="NovemberClick"/>
            <button id="inDec" label="Декабрь" image="btn-list" onAction="DecemberClick"/>
          </menu>
          <button id="MyBtnUpID" label="Вверх" image="btn-up" size="large" onAction="UpClick"/>
          <button id="MyBtnDownID" label="Вниз" image="btn-down" size="large" onAction="DownClick"/>
          <button id="MyIdPrevious" label="Предыдущая" image="btn-prev" size="large" onAction="ClickPrevious"/>
          <button id="MyNextID" label="Следующая" image="btn-next" size="large" onAction="NextClick"/>
        </group>
        <group id="MyMoneyID" label="Деньги" getVisible="GetterVisible" tag="MyMoney">
          <button id="MyRubleID" label="Закрасить" image="Color" size="large" onAction="RubleClick"/>
          <button id="MyNoRubleID" label="Обесцветить" image="NoColor" size="large" onAction="NoRubleClick"/>
        </group>
        <group id="MySocialEdit" label="Редактирование" getVisible="GetterVisible" tag="MyEdit">
          <menu id="MyAddEditID" label="Добавить" imageMso="PictureBackgroundRemovalMarkForeground" size="large">
            <button id="MyAddRowsID" label="Добавить строку" image="add-rows" onAction="AddRowsClick"/>
            <button id="MyAddColumnID" label="Добавить столбец" image="add-columns" onAction="AddColumnClick"/>
            <button id="MyCreateNameID" label="Придумать имя" imageMso="PencilTool" onAction="CreateNameClick"/>
          </menu>
          <button id="MyCalcUpdateID" label="Обновить вычисления" image="btn-update" size="large" onAction="CalcUpdateClick"/>
          <button id="MyBtnFitSizesID" label="Подогнать размеры" image="btn-resize" size="large" onAction="BtnFitSizesClick"/>
          <button id="MyResetRowsID" label="Перенести строки" image="update-rows" size="large" onAction="ResetRowsClick"/>
          <button id="MyResetColumnID" label="Перенести столбцы" image="update-columns" size="large" onAction="ResetColumnClick"/>
          <menu id="MyRemoveEditID" label="Удалить" imageMso="PictureBackgroundRemovalMarkBackground" size="large">
            <button id="MyDeleteDoubleID" label="Удалить дубликаты" image="clear-double" onAction="DeleteDoubleClick"/>
            <button id="MyDeleteErrorID" label="Удалить ошибки" image="clear-errors" onAction="RemoveErrorsClick"/>
          </menu>
          <menu id="MyClearEditID" label="Очистить" imageMso="ClearAll" size="large">
            <button id="MySelectRowsID" label="Очистить строку" image="reset-rows" onAction="SelectRowsClick"/>
            <button id="MySelectColumnID" label="Очистить столбец" image="reset-columns" onAction="SelectColumnClick"/>
            <button id="MyAllZeroID" label="Очистить всё" image="reset-btn" onAction="ClearAllClick"/>
          </menu>
        </group>
        <group id="MySocialParameters" label="Параметры" getVisible="GetterVisible" tag="MyParameters">
          <menu id="MyMenuParametersID" label="Настройки таблиц" image="config-icon" size="large">
            <button id="MyEditServicesID" label="Добавить услугу" image="services" onAction="EditServicesClick"/>
            <button id="MyEditWorkerID" label="Редактировать соц. работников" image="worker" onAction="EditWorkerClick"/>
            <button id="MyEditAccountingID" label="Изменить постановку на учет" image="accounting-btn" onAction="EditAccountingClick"/>
            <button id="MyEditMonthsID" label="Изменить периоды" image="btn-month" onAction="EditMonthsClick"/>
          </menu>
        </group>
      </tab>
      <tab id="SocialEditor" label="Изменения" getVisible="GetVisible" tag="MySocEd">
        <group id="Editing" label="Редактирование списка" getVisible="GetterVisible" tag="XEditing">
          <button id="FineID" label="Завершить редактирование" image="btn-ok" size="large" onAction="FineClick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B403549-24C0-4741-A83B-87D2B62359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СписокУслуг</vt:lpstr>
      <vt:lpstr>СоцРаботники</vt:lpstr>
      <vt:lpstr>СписокУчета</vt:lpstr>
      <vt:lpstr>Месяцы</vt:lpstr>
      <vt:lpstr>ЦветПлатной</vt:lpstr>
      <vt:lpstr>СчетУслуг</vt:lpstr>
      <vt:lpstr>Главная</vt:lpstr>
      <vt:lpstr>Январь</vt:lpstr>
      <vt:lpstr>Февраль</vt:lpstr>
      <vt:lpstr>Март</vt:lpstr>
      <vt:lpstr>Апрель</vt:lpstr>
      <vt:lpstr>Май</vt:lpstr>
      <vt:lpstr>Июнь</vt:lpstr>
      <vt:lpstr>Июль</vt:lpstr>
      <vt:lpstr>Август</vt:lpstr>
      <vt:lpstr>Сентябрь</vt:lpstr>
      <vt:lpstr>Октябрь</vt:lpstr>
      <vt:lpstr>Ноябрь</vt:lpstr>
      <vt:lpstr>Декабрь</vt:lpstr>
    </vt:vector>
  </TitlesOfParts>
  <Company>Grizli777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mikl</cp:lastModifiedBy>
  <dcterms:created xsi:type="dcterms:W3CDTF">2023-02-17T06:03:05Z</dcterms:created>
  <dcterms:modified xsi:type="dcterms:W3CDTF">2024-03-27T15:44:27Z</dcterms:modified>
</cp:coreProperties>
</file>