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slicerCaches/slicerCache13.xml" ContentType="application/vnd.ms-excel.slicerCache+xml"/>
  <Override PartName="/xl/slicerCaches/slicerCache14.xml" ContentType="application/vnd.ms-excel.slicerCache+xml"/>
  <Override PartName="/xl/slicerCaches/slicerCache15.xml" ContentType="application/vnd.ms-excel.slicerCache+xml"/>
  <Override PartName="/xl/slicerCaches/slicerCache16.xml" ContentType="application/vnd.ms-excel.slicerCache+xml"/>
  <Override PartName="/xl/slicerCaches/slicerCache17.xml" ContentType="application/vnd.ms-excel.slicerCache+xml"/>
  <Override PartName="/xl/slicerCaches/slicerCache18.xml" ContentType="application/vnd.ms-excel.slicerCache+xml"/>
  <Override PartName="/xl/slicerCaches/slicerCache19.xml" ContentType="application/vnd.ms-excel.slicerCache+xml"/>
  <Override PartName="/xl/slicerCaches/slicerCache20.xml" ContentType="application/vnd.ms-excel.slicerCache+xml"/>
  <Override PartName="/xl/slicerCaches/slicerCache21.xml" ContentType="application/vnd.ms-excel.slicerCache+xml"/>
  <Override PartName="/xl/slicerCaches/slicerCache22.xml" ContentType="application/vnd.ms-excel.slicerCache+xml"/>
  <Override PartName="/xl/slicerCaches/slicerCache23.xml" ContentType="application/vnd.ms-excel.slicerCache+xml"/>
  <Override PartName="/xl/slicerCaches/slicerCache24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slicers/slicer1.xml" ContentType="application/vnd.ms-excel.slicer+xml"/>
  <Override PartName="/xl/drawings/drawing2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slicers/slicer2.xml" ContentType="application/vnd.ms-excel.slicer+xml"/>
  <Override PartName="/xl/drawings/drawing3.xml" ContentType="application/vnd.openxmlformats-officedocument.drawing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slicers/slicer3.xml" ContentType="application/vnd.ms-excel.slicer+xml"/>
  <Override PartName="/xl/drawings/drawing4.xml" ContentType="application/vnd.openxmlformats-officedocument.drawing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slicers/slicer4.xml" ContentType="application/vnd.ms-excel.slicer+xml"/>
  <Override PartName="/xl/drawings/drawing5.xml" ContentType="application/vnd.openxmlformats-officedocument.drawing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slicers/slicer5.xml" ContentType="application/vnd.ms-excel.slicer+xml"/>
  <Override PartName="/xl/drawings/drawing6.xml" ContentType="application/vnd.openxmlformats-officedocument.drawing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slicers/slicer6.xml" ContentType="application/vnd.ms-excel.slicer+xml"/>
  <Override PartName="/xl/drawings/drawing7.xml" ContentType="application/vnd.openxmlformats-officedocument.drawing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slicers/slicer7.xml" ContentType="application/vnd.ms-excel.slicer+xml"/>
  <Override PartName="/xl/drawings/drawing8.xml" ContentType="application/vnd.openxmlformats-officedocument.drawing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slicers/slicer8.xml" ContentType="application/vnd.ms-excel.slicer+xml"/>
  <Override PartName="/xl/drawings/drawing9.xml" ContentType="application/vnd.openxmlformats-officedocument.drawing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slicers/slicer9.xml" ContentType="application/vnd.ms-excel.slicer+xml"/>
  <Override PartName="/xl/drawings/drawing10.xml" ContentType="application/vnd.openxmlformats-officedocument.drawing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slicers/slicer10.xml" ContentType="application/vnd.ms-excel.slicer+xml"/>
  <Override PartName="/xl/drawings/drawing11.xml" ContentType="application/vnd.openxmlformats-officedocument.drawing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slicers/slicer11.xml" ContentType="application/vnd.ms-excel.slicer+xml"/>
  <Override PartName="/xl/drawings/drawing12.xml" ContentType="application/vnd.openxmlformats-officedocument.drawing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slicers/slicer12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stomUI2010RelID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D:\Загрузки\Разработка\Social_Develop\social-services-Develop\"/>
    </mc:Choice>
  </mc:AlternateContent>
  <bookViews>
    <workbookView xWindow="0" yWindow="0" windowWidth="20400" windowHeight="7155" tabRatio="601" firstSheet="6" activeTab="7"/>
  </bookViews>
  <sheets>
    <sheet name="СписокУслуг" sheetId="1" state="hidden" r:id="rId1"/>
    <sheet name="СоцРаботники" sheetId="2" state="hidden" r:id="rId2"/>
    <sheet name="СписокУчета" sheetId="3" state="hidden" r:id="rId3"/>
    <sheet name="Месяцы" sheetId="4" state="hidden" r:id="rId4"/>
    <sheet name="ЦветПлатной" sheetId="20" state="hidden" r:id="rId5"/>
    <sheet name="СчетУслуг" sheetId="23" state="hidden" r:id="rId6"/>
    <sheet name="Главная" sheetId="5" r:id="rId7"/>
    <sheet name="Январь" sheetId="6" r:id="rId8"/>
    <sheet name="Февраль" sheetId="8" r:id="rId9"/>
    <sheet name="Март" sheetId="22" r:id="rId10"/>
    <sheet name="Апрель" sheetId="24" r:id="rId11"/>
    <sheet name="Май" sheetId="26" r:id="rId12"/>
    <sheet name="Июнь" sheetId="27" r:id="rId13"/>
    <sheet name="Июль" sheetId="14" r:id="rId14"/>
    <sheet name="Август" sheetId="28" r:id="rId15"/>
    <sheet name="Сентябрь" sheetId="16" r:id="rId16"/>
    <sheet name="Октябрь" sheetId="17" r:id="rId17"/>
    <sheet name="Ноябрь" sheetId="18" r:id="rId18"/>
    <sheet name="Декабрь" sheetId="19" r:id="rId19"/>
  </sheets>
  <functionGroups builtInGroupCount="18"/>
  <definedNames>
    <definedName name="Месяц">OFFSET(Месяцы!$A$2,0,0,COUNTIF(Месяцы!$A:$A,"*")-1,1)</definedName>
    <definedName name="СоцРаботник">OFFSET(СоцРаботники!$A$2,0,0,COUNTIF(СоцРаботники!$A:$A,"*")-1,1)</definedName>
    <definedName name="Срез_Признак_учета">#N/A</definedName>
    <definedName name="Срез_Признак_учета1">#N/A</definedName>
    <definedName name="Срез_Признак_учета11">#N/A</definedName>
    <definedName name="Срез_Признак_учета111">#N/A</definedName>
    <definedName name="Срез_Признак_учета1111">#N/A</definedName>
    <definedName name="Срез_Признак_учета11111">#N/A</definedName>
    <definedName name="Срез_Признак_учета1114">#N/A</definedName>
    <definedName name="Срез_Признак_учета11141">#N/A</definedName>
    <definedName name="Срез_Признак_учета1116">#N/A</definedName>
    <definedName name="Срез_Признак_учета1117">#N/A</definedName>
    <definedName name="Срез_Признак_учета1118">#N/A</definedName>
    <definedName name="Срез_Признак_учета1119">#N/A</definedName>
    <definedName name="Срез_Соц._Работник">#N/A</definedName>
    <definedName name="Срез_Соц._Работник1">#N/A</definedName>
    <definedName name="Срез_Соц._Работник11">#N/A</definedName>
    <definedName name="Срез_Соц._Работник111">#N/A</definedName>
    <definedName name="Срез_Соц._Работник1111">#N/A</definedName>
    <definedName name="Срез_Соц._Работник11111">#N/A</definedName>
    <definedName name="Срез_Соц._Работник1114">#N/A</definedName>
    <definedName name="Срез_Соц._Работник11141">#N/A</definedName>
    <definedName name="Срез_Соц._Работник1116">#N/A</definedName>
    <definedName name="Срез_Соц._Работник1117">#N/A</definedName>
    <definedName name="Срез_Соц._Работник1118">#N/A</definedName>
    <definedName name="Срез_Соц._Работник1119">#N/A</definedName>
    <definedName name="СчетУслуги">OFFSET(СчетУслуг!$A$2,0,0,COUNTIF(СчетУслуг!$A:$A,"*")-1,1)</definedName>
    <definedName name="ТипУслуги">OFFSET(СписокУслуг!$F$2,0,0,COUNTIF(СписокУслуг!$F:$F,"*")-1,1)</definedName>
    <definedName name="Услуга">OFFSET(СписокУслуг!$A$2,0,0,COUNTIF(СписокУслуг!$A:$A,"*")-1,1)</definedName>
    <definedName name="Учет">OFFSET(СписокУчета!$A$2,0,0,COUNTIF(СписокУчета!$A:$A,"*")-1,1)</definedName>
  </definedNames>
  <calcPr calcId="152511"/>
  <extLst>
    <ext xmlns:x14="http://schemas.microsoft.com/office/spreadsheetml/2009/9/main" uri="{8193D73E-4604-4355-AFF4-8A2333D13BE4}">
      <x14:definedNames>
        <x14:definedName name="SummSocialType">
          <x14:argumentDescriptions count="5">
            <x14:argumentDescription index="0">- диапазон суммирования</x14:argumentDescription>
            <x14:argumentDescription index="1">- динамический или именованный диапазон категорий</x14:argumentDescription>
            <x14:argumentDescription index="2">- текущий тип</x14:argumentDescription>
            <x14:argumentDescription index="3">- цвет выборки платной слуги</x14:argumentDescription>
            <x14:argumentDescription index="4">- 1 платно и 0 бесплатно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20"/>
        <x14:slicerCache r:id="rId21"/>
        <x14:slicerCache r:id="rId22"/>
        <x14:slicerCache r:id="rId23"/>
        <x14:slicerCache r:id="rId24"/>
        <x14:slicerCache r:id="rId25"/>
        <x14:slicerCache r:id="rId26"/>
        <x14:slicerCache r:id="rId27"/>
        <x14:slicerCache r:id="rId28"/>
        <x14:slicerCache r:id="rId29"/>
        <x14:slicerCache r:id="rId30"/>
        <x14:slicerCache r:id="rId31"/>
        <x14:slicerCache r:id="rId32"/>
        <x14:slicerCache r:id="rId33"/>
        <x14:slicerCache r:id="rId34"/>
        <x14:slicerCache r:id="rId35"/>
        <x14:slicerCache r:id="rId36"/>
        <x14:slicerCache r:id="rId37"/>
        <x14:slicerCache r:id="rId38"/>
        <x14:slicerCache r:id="rId39"/>
        <x14:slicerCache r:id="rId40"/>
        <x14:slicerCache r:id="rId41"/>
        <x14:slicerCache r:id="rId42"/>
        <x14:slicerCache r:id="rId43"/>
      </x15:slicerCaches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8" i="19" l="1"/>
  <c r="K8" i="19"/>
  <c r="J9" i="19"/>
  <c r="K9" i="19"/>
  <c r="K7" i="19"/>
  <c r="J7" i="19"/>
  <c r="K6" i="19"/>
  <c r="J6" i="19"/>
  <c r="K5" i="19"/>
  <c r="J5" i="19"/>
  <c r="I5" i="19"/>
  <c r="I6" i="19"/>
  <c r="I7" i="19"/>
  <c r="I8" i="19"/>
  <c r="I9" i="19"/>
  <c r="J8" i="18"/>
  <c r="K8" i="18"/>
  <c r="J9" i="18"/>
  <c r="K9" i="18"/>
  <c r="K7" i="18"/>
  <c r="J7" i="18"/>
  <c r="K6" i="18"/>
  <c r="J6" i="18"/>
  <c r="K5" i="18"/>
  <c r="J5" i="18"/>
  <c r="I5" i="18"/>
  <c r="I6" i="18"/>
  <c r="I7" i="18"/>
  <c r="I8" i="18"/>
  <c r="I9" i="18"/>
  <c r="J8" i="17"/>
  <c r="K8" i="17"/>
  <c r="J9" i="17"/>
  <c r="K9" i="17"/>
  <c r="K7" i="17"/>
  <c r="J7" i="17"/>
  <c r="K6" i="17"/>
  <c r="J6" i="17"/>
  <c r="K5" i="17"/>
  <c r="J5" i="17"/>
  <c r="I5" i="17"/>
  <c r="I6" i="17"/>
  <c r="I7" i="17"/>
  <c r="I8" i="17"/>
  <c r="I9" i="17"/>
  <c r="J8" i="16"/>
  <c r="K8" i="16"/>
  <c r="J9" i="16"/>
  <c r="K9" i="16"/>
  <c r="K7" i="16"/>
  <c r="J7" i="16"/>
  <c r="K6" i="16"/>
  <c r="J6" i="16"/>
  <c r="K5" i="16"/>
  <c r="J5" i="16"/>
  <c r="I5" i="16"/>
  <c r="I6" i="16"/>
  <c r="I7" i="16"/>
  <c r="I8" i="16"/>
  <c r="I9" i="16"/>
  <c r="J8" i="28"/>
  <c r="K8" i="28"/>
  <c r="J9" i="28"/>
  <c r="K9" i="28"/>
  <c r="K7" i="28"/>
  <c r="J7" i="28"/>
  <c r="K6" i="28"/>
  <c r="J6" i="28"/>
  <c r="K5" i="28"/>
  <c r="J5" i="28"/>
  <c r="I5" i="28"/>
  <c r="I6" i="28"/>
  <c r="I7" i="28"/>
  <c r="I8" i="28"/>
  <c r="I9" i="28"/>
  <c r="J8" i="14"/>
  <c r="K8" i="14"/>
  <c r="J9" i="14"/>
  <c r="K9" i="14"/>
  <c r="K7" i="14"/>
  <c r="J7" i="14"/>
  <c r="K6" i="14"/>
  <c r="J6" i="14"/>
  <c r="K5" i="14"/>
  <c r="J5" i="14"/>
  <c r="I5" i="14"/>
  <c r="I6" i="14"/>
  <c r="I7" i="14"/>
  <c r="I8" i="14"/>
  <c r="I9" i="14"/>
  <c r="J8" i="27"/>
  <c r="K8" i="27"/>
  <c r="J9" i="27"/>
  <c r="K9" i="27"/>
  <c r="K7" i="27"/>
  <c r="J7" i="27"/>
  <c r="K6" i="27"/>
  <c r="J6" i="27"/>
  <c r="K5" i="27"/>
  <c r="J5" i="27"/>
  <c r="I5" i="27"/>
  <c r="I6" i="27"/>
  <c r="I7" i="27"/>
  <c r="I8" i="27"/>
  <c r="I9" i="27"/>
  <c r="K8" i="26"/>
  <c r="K9" i="26"/>
  <c r="J8" i="26"/>
  <c r="J9" i="26"/>
  <c r="K7" i="26"/>
  <c r="J7" i="26"/>
  <c r="K6" i="26"/>
  <c r="J6" i="26"/>
  <c r="K5" i="26"/>
  <c r="J5" i="26"/>
  <c r="I5" i="26"/>
  <c r="I6" i="26"/>
  <c r="I7" i="26"/>
  <c r="I8" i="26"/>
  <c r="I9" i="26"/>
  <c r="K8" i="6"/>
  <c r="K9" i="6"/>
  <c r="K7" i="6"/>
  <c r="K8" i="24"/>
  <c r="K9" i="24"/>
  <c r="J8" i="24"/>
  <c r="J9" i="24"/>
  <c r="K7" i="24"/>
  <c r="J7" i="24"/>
  <c r="K6" i="24"/>
  <c r="J6" i="24"/>
  <c r="K5" i="24"/>
  <c r="J5" i="24"/>
  <c r="I5" i="24"/>
  <c r="I6" i="24"/>
  <c r="I7" i="24"/>
  <c r="I8" i="24"/>
  <c r="I9" i="24"/>
  <c r="K8" i="22"/>
  <c r="K9" i="22"/>
  <c r="K7" i="22"/>
  <c r="K6" i="22"/>
  <c r="J8" i="22"/>
  <c r="J9" i="22"/>
  <c r="J7" i="22"/>
  <c r="J6" i="22"/>
  <c r="K5" i="22"/>
  <c r="J5" i="22"/>
  <c r="I5" i="22"/>
  <c r="I6" i="22"/>
  <c r="I7" i="22"/>
  <c r="I8" i="22"/>
  <c r="I9" i="22"/>
  <c r="K8" i="8"/>
  <c r="K9" i="8"/>
  <c r="J8" i="8"/>
  <c r="J9" i="8"/>
  <c r="K7" i="8"/>
  <c r="J7" i="8"/>
  <c r="K6" i="8"/>
  <c r="J6" i="8"/>
  <c r="K5" i="8"/>
  <c r="J5" i="8"/>
  <c r="I5" i="8"/>
  <c r="I6" i="8"/>
  <c r="I7" i="8"/>
  <c r="I8" i="8"/>
  <c r="I9" i="8"/>
  <c r="J8" i="6"/>
  <c r="J9" i="6"/>
  <c r="J7" i="6"/>
  <c r="K6" i="6"/>
  <c r="J6" i="6"/>
  <c r="K5" i="6"/>
  <c r="J5" i="6"/>
  <c r="I5" i="6"/>
  <c r="I6" i="6"/>
  <c r="I7" i="6"/>
  <c r="I8" i="6"/>
  <c r="I9" i="6"/>
  <c r="D12" i="18"/>
  <c r="D12" i="6"/>
  <c r="D12" i="17"/>
  <c r="D12" i="24"/>
  <c r="D12" i="16"/>
  <c r="D12" i="27"/>
  <c r="D12" i="28"/>
  <c r="D12" i="22"/>
  <c r="D12" i="14"/>
  <c r="D12" i="19"/>
  <c r="D12" i="26"/>
  <c r="D12" i="8"/>
  <c r="E12" i="8" l="1"/>
  <c r="E12" i="26"/>
  <c r="E12" i="19"/>
  <c r="E12" i="14"/>
  <c r="E12" i="22"/>
  <c r="E12" i="28"/>
  <c r="E12" i="16"/>
  <c r="E12" i="27"/>
  <c r="E12" i="24"/>
  <c r="E12" i="17"/>
  <c r="E12" i="6"/>
  <c r="E12" i="18"/>
</calcChain>
</file>

<file path=xl/sharedStrings.xml><?xml version="1.0" encoding="utf-8"?>
<sst xmlns="http://schemas.openxmlformats.org/spreadsheetml/2006/main" count="1024" uniqueCount="196">
  <si>
    <t>Услуги</t>
  </si>
  <si>
    <t>покупка продуктов</t>
  </si>
  <si>
    <t>помощь в приготовлении пищи</t>
  </si>
  <si>
    <t>кормление</t>
  </si>
  <si>
    <t>оплата коммунальныхи услуг и связи</t>
  </si>
  <si>
    <t>вынос мусора</t>
  </si>
  <si>
    <t>смена штор</t>
  </si>
  <si>
    <t>уборка б/у</t>
  </si>
  <si>
    <t>уборка с/у</t>
  </si>
  <si>
    <t>помывка в ванной</t>
  </si>
  <si>
    <t>смена постельного белья</t>
  </si>
  <si>
    <t>смена нательного белья</t>
  </si>
  <si>
    <t>обработка ногтей</t>
  </si>
  <si>
    <t>оказание помощи при стирке вещей</t>
  </si>
  <si>
    <t>стирка вещей</t>
  </si>
  <si>
    <t>доставка воды</t>
  </si>
  <si>
    <t>покупка топлива, топка печей</t>
  </si>
  <si>
    <t>сод-е в получении услуг в пр.торговли, КБО</t>
  </si>
  <si>
    <t>сод-е в организации ритуальных услуг</t>
  </si>
  <si>
    <t>присмотр за детьми</t>
  </si>
  <si>
    <t>письма</t>
  </si>
  <si>
    <t>снег</t>
  </si>
  <si>
    <t>вып. процедур, связанных с сохранением здоровья</t>
  </si>
  <si>
    <t>покупка лекарств, выписка рецептов</t>
  </si>
  <si>
    <t>сиделка</t>
  </si>
  <si>
    <t>сод-е в госпитализации</t>
  </si>
  <si>
    <t>сод-е сан-кур. лечение</t>
  </si>
  <si>
    <t>содействие в получ. тех. средств</t>
  </si>
  <si>
    <t>сод-е в провед. мед. обслед. (запись)</t>
  </si>
  <si>
    <t>консультирование по соц-мед.вопросам</t>
  </si>
  <si>
    <t>сод-е в прохождении МСЭ</t>
  </si>
  <si>
    <t>вызов врача на дом по телефону</t>
  </si>
  <si>
    <t>беседа</t>
  </si>
  <si>
    <t>соц-пед.услуги</t>
  </si>
  <si>
    <t>оказание помощи в оформлении документов</t>
  </si>
  <si>
    <t>помощь в получении юр.услуг</t>
  </si>
  <si>
    <t>Соц. Работники</t>
  </si>
  <si>
    <t>Калачева Ю.В.</t>
  </si>
  <si>
    <t>Кононаева В.А.</t>
  </si>
  <si>
    <t>Ломакина С.А.</t>
  </si>
  <si>
    <t>Михеева Т.В.</t>
  </si>
  <si>
    <t>Петрова В.И.</t>
  </si>
  <si>
    <t>Петрунина Е.Н.</t>
  </si>
  <si>
    <t>Платонова И.Н.</t>
  </si>
  <si>
    <t>Поликарпова Т.А. село</t>
  </si>
  <si>
    <t>Синицына А.В.</t>
  </si>
  <si>
    <t>Соловьёва Е.А.</t>
  </si>
  <si>
    <t>Суркова И.М.</t>
  </si>
  <si>
    <t>Фатькина Е.А.</t>
  </si>
  <si>
    <t>Фатькина Л.А.</t>
  </si>
  <si>
    <t>Фролова С. А.</t>
  </si>
  <si>
    <t>Ельменькина Е.С.</t>
  </si>
  <si>
    <t>Илюкина Е.П.</t>
  </si>
  <si>
    <t>Горячева Н.В.</t>
  </si>
  <si>
    <t>Слабова Е.М.</t>
  </si>
  <si>
    <t>Просвирина Е.П.</t>
  </si>
  <si>
    <t>Климушина О.В.</t>
  </si>
  <si>
    <t>Королева Т.Н.</t>
  </si>
  <si>
    <t>Богданова И.В.</t>
  </si>
  <si>
    <t>Клокова Н.А.</t>
  </si>
  <si>
    <t>Миронова М.А.</t>
  </si>
  <si>
    <t>Ершов И.Н.</t>
  </si>
  <si>
    <t>Мирошина О.А.</t>
  </si>
  <si>
    <t>Сучкова Н.Н.</t>
  </si>
  <si>
    <t>Никитина О.М.</t>
  </si>
  <si>
    <t>Ромашина В.А.</t>
  </si>
  <si>
    <t>Чубреева О.В.</t>
  </si>
  <si>
    <t>Морозова О.Е.</t>
  </si>
  <si>
    <t>Признак учета</t>
  </si>
  <si>
    <t>На учете</t>
  </si>
  <si>
    <t>Снят с учета</t>
  </si>
  <si>
    <t>Месяцы</t>
  </si>
  <si>
    <t>Январь</t>
  </si>
  <si>
    <t>Февраль</t>
  </si>
  <si>
    <t>Март</t>
  </si>
  <si>
    <t>Апрель</t>
  </si>
  <si>
    <t>Май</t>
  </si>
  <si>
    <t>Июнь</t>
  </si>
  <si>
    <t>Июль</t>
  </si>
  <si>
    <t>Август</t>
  </si>
  <si>
    <t>Сентябрь</t>
  </si>
  <si>
    <t>Октябрь</t>
  </si>
  <si>
    <t>Ноябрь</t>
  </si>
  <si>
    <t>Декабрь</t>
  </si>
  <si>
    <t>Управление</t>
  </si>
  <si>
    <t>Переходы по страницам (все названия кликабельны).</t>
  </si>
  <si>
    <t>Данные</t>
  </si>
  <si>
    <t>б/пл.</t>
  </si>
  <si>
    <t>пл.</t>
  </si>
  <si>
    <t>Соц-бытовые</t>
  </si>
  <si>
    <t>Соц-медицинские</t>
  </si>
  <si>
    <t>Соц-психологические</t>
  </si>
  <si>
    <t>Соц-педагогические</t>
  </si>
  <si>
    <t>Соц-правовые</t>
  </si>
  <si>
    <t>Соц. Работник</t>
  </si>
  <si>
    <t>Получатели ФИО</t>
  </si>
  <si>
    <t>Итого</t>
  </si>
  <si>
    <t>Среднее кол-во услуг на 1 получ. Усл.</t>
  </si>
  <si>
    <t>Тип услуги</t>
  </si>
  <si>
    <t>Категории услуг</t>
  </si>
  <si>
    <t>Готовцева Н.А.</t>
  </si>
  <si>
    <t>Выбор цвета для платной услуги</t>
  </si>
  <si>
    <t>Выбор цвета</t>
  </si>
  <si>
    <t>Сафронова Л.Н.</t>
  </si>
  <si>
    <t>Забелина Н.М.</t>
  </si>
  <si>
    <t>Гантимурова О.А.</t>
  </si>
  <si>
    <t>Лисина Е.А.</t>
  </si>
  <si>
    <t>Волкова Н.Ю.</t>
  </si>
  <si>
    <t>Польщикова О.В.</t>
  </si>
  <si>
    <t>Белоусова Н.В.</t>
  </si>
  <si>
    <t>Вышегородцева Л.А.</t>
  </si>
  <si>
    <t>Ижевская В.И.</t>
  </si>
  <si>
    <t>Кацай Г.В.</t>
  </si>
  <si>
    <t>Корбашова О.А.</t>
  </si>
  <si>
    <t>Кулагина Л.А.</t>
  </si>
  <si>
    <t>Кураксина Н.В.</t>
  </si>
  <si>
    <t>Леонтьева Л.А.</t>
  </si>
  <si>
    <t>Поликарпова Т.А. город</t>
  </si>
  <si>
    <t>Саликова Н.Б.</t>
  </si>
  <si>
    <t>Новикова Е.А.</t>
  </si>
  <si>
    <t>Тарасова И.С.</t>
  </si>
  <si>
    <t>Морозова О.В.</t>
  </si>
  <si>
    <t>Платно</t>
  </si>
  <si>
    <t>Бесплатно</t>
  </si>
  <si>
    <t>Тип счета</t>
  </si>
  <si>
    <t>Тип Счета</t>
  </si>
  <si>
    <t>Столяров А.В.</t>
  </si>
  <si>
    <t>Епифанова Н.Е.</t>
  </si>
  <si>
    <t>Гармонщикова Е.Н.</t>
  </si>
  <si>
    <t>Панина Л.В.</t>
  </si>
  <si>
    <t>Миронова С.А.</t>
  </si>
  <si>
    <t>Волкова Н.А.</t>
  </si>
  <si>
    <t>Ротнова Н.В.</t>
  </si>
  <si>
    <t>Романова В.С.</t>
  </si>
  <si>
    <t>Черномырдина Ю.В.</t>
  </si>
  <si>
    <t>Лифанова Н.Г.</t>
  </si>
  <si>
    <t>Чибизова Е.А.</t>
  </si>
  <si>
    <t>Шашкина Л.Н.</t>
  </si>
  <si>
    <t>Трофимова Е.В.</t>
  </si>
  <si>
    <t>Широкова Е.В.</t>
  </si>
  <si>
    <t>Колесникова Л.А.</t>
  </si>
  <si>
    <t>Лощинина Ю.О.</t>
  </si>
  <si>
    <t>Соколова И.А.</t>
  </si>
  <si>
    <t>Морозова Н.И.</t>
  </si>
  <si>
    <t>Селищева Н.Н.</t>
  </si>
  <si>
    <t>Алексеева В.В.</t>
  </si>
  <si>
    <t>Голованова Л.В.</t>
  </si>
  <si>
    <t>Егорова Н.В.</t>
  </si>
  <si>
    <t>Кривенцева И.В.</t>
  </si>
  <si>
    <t>Астахова С.Н.</t>
  </si>
  <si>
    <t>Копылова О.Н.</t>
  </si>
  <si>
    <t>Семина С.Н.</t>
  </si>
  <si>
    <t>Головчан В.Н.</t>
  </si>
  <si>
    <t>Николаева А.Н.</t>
  </si>
  <si>
    <t>Бровкина Л.С.</t>
  </si>
  <si>
    <t>Пантюхина Е.В.</t>
  </si>
  <si>
    <t>Новичков С.А.</t>
  </si>
  <si>
    <t>Демина О.А.</t>
  </si>
  <si>
    <t>Спичкина Л.В.</t>
  </si>
  <si>
    <t>Савченко Т.В.</t>
  </si>
  <si>
    <t>Дорожкина М.В.</t>
  </si>
  <si>
    <t>Андреяшкина Л.П.</t>
  </si>
  <si>
    <t>Миракова Н.С.</t>
  </si>
  <si>
    <t>Фирсанов Д.В.</t>
  </si>
  <si>
    <t>Ремезова Е.В.</t>
  </si>
  <si>
    <t>Скоромников С.В.</t>
  </si>
  <si>
    <t>Пожогина Т.Ю.</t>
  </si>
  <si>
    <t>Рыбина М.Л.</t>
  </si>
  <si>
    <t>Цой А.К.</t>
  </si>
  <si>
    <t>Гущина Т.А.</t>
  </si>
  <si>
    <t>Титова Т.В.</t>
  </si>
  <si>
    <t>Журавская А.Г.</t>
  </si>
  <si>
    <t>Январева С.Н.</t>
  </si>
  <si>
    <t>Мильшина Н.Н.</t>
  </si>
  <si>
    <t>Полубояринов А.М.</t>
  </si>
  <si>
    <t>Фомина Л.Ю.</t>
  </si>
  <si>
    <t>Юдачева Н.И.</t>
  </si>
  <si>
    <t>Комягина Е.В.</t>
  </si>
  <si>
    <t>Зайцева И.А.</t>
  </si>
  <si>
    <t>Егорова С.Н.</t>
  </si>
  <si>
    <t>Тихонова Ю.П.</t>
  </si>
  <si>
    <t>Майорова Е.А.</t>
  </si>
  <si>
    <t>Буланцова Т.И.</t>
  </si>
  <si>
    <t>Бузу Т.В.</t>
  </si>
  <si>
    <t>Филатова О.А.</t>
  </si>
  <si>
    <t>Тереньтьева Т.Н.</t>
  </si>
  <si>
    <t>Маясовыа М.М.</t>
  </si>
  <si>
    <t>Гришакова И.Е.</t>
  </si>
  <si>
    <t>Кузнецова Л.В.</t>
  </si>
  <si>
    <t>Абидова Э.Р.</t>
  </si>
  <si>
    <t>Поротикова Ю.О.</t>
  </si>
  <si>
    <t>Белоусова Е.В.</t>
  </si>
  <si>
    <t>Морару О.Е.</t>
  </si>
  <si>
    <t>Сиделка</t>
  </si>
  <si>
    <t>Без сиделки</t>
  </si>
  <si>
    <t>Полностью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</si>
</sst>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;[Red]0.000"/>
    <numFmt numFmtId="165" formatCode="0;[Red]0"/>
  </numFmts>
  <fonts count="12" x14ac:knownFonts="1">
    <font>
      <sz val="11"/>
      <color theme="1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20"/>
      <color rgb="FFFF0000"/>
      <name val="Times New Roman"/>
      <family val="1"/>
      <charset val="204"/>
    </font>
    <font>
      <b/>
      <sz val="14"/>
      <color rgb="FFFF0000"/>
      <name val="Times New Roman"/>
      <family val="1"/>
      <charset val="204"/>
    </font>
    <font>
      <sz val="14"/>
      <color theme="1"/>
      <name val="Times New Roman"/>
      <family val="1"/>
      <charset val="204"/>
    </font>
    <font>
      <sz val="20"/>
      <color rgb="FFFF0000"/>
      <name val="Times New Roman"/>
      <family val="1"/>
      <charset val="204"/>
    </font>
    <font>
      <sz val="12"/>
      <color theme="1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u/>
      <sz val="14"/>
      <color theme="10"/>
      <name val="Times New Roman"/>
      <family val="1"/>
      <charset val="204"/>
    </font>
    <font>
      <b/>
      <sz val="14"/>
      <name val="Times New Roman"/>
      <family val="1"/>
      <charset val="204"/>
    </font>
    <font>
      <b/>
      <sz val="11"/>
      <color theme="1"/>
      <name val="Calibri"/>
      <family val="2"/>
      <charset val="20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47">
    <xf numFmtId="0" fontId="0" fillId="0" borderId="0" xfId="0"/>
    <xf numFmtId="0" fontId="1" fillId="0" borderId="0" xfId="0" applyFont="1"/>
    <xf numFmtId="0" fontId="2" fillId="0" borderId="1" xfId="0" applyFont="1" applyBorder="1"/>
    <xf numFmtId="0" fontId="5" fillId="0" borderId="0" xfId="0" applyFont="1"/>
    <xf numFmtId="0" fontId="5" fillId="0" borderId="0" xfId="0" applyFont="1" applyAlignment="1">
      <alignment horizontal="center" vertical="center" wrapText="1" shrinkToFit="1"/>
    </xf>
    <xf numFmtId="0" fontId="6" fillId="0" borderId="0" xfId="0" applyFont="1"/>
    <xf numFmtId="0" fontId="9" fillId="2" borderId="4" xfId="1" applyFont="1" applyFill="1" applyBorder="1" applyAlignment="1">
      <alignment horizontal="center" vertical="center"/>
    </xf>
    <xf numFmtId="0" fontId="9" fillId="2" borderId="2" xfId="1" applyFont="1" applyFill="1" applyBorder="1" applyAlignment="1">
      <alignment horizontal="center" vertical="center"/>
    </xf>
    <xf numFmtId="0" fontId="9" fillId="2" borderId="10" xfId="1" applyFont="1" applyFill="1" applyBorder="1" applyAlignment="1">
      <alignment horizontal="center" vertical="center"/>
    </xf>
    <xf numFmtId="0" fontId="9" fillId="3" borderId="2" xfId="1" applyFont="1" applyFill="1" applyBorder="1" applyAlignment="1">
      <alignment horizontal="center" vertical="center"/>
    </xf>
    <xf numFmtId="0" fontId="9" fillId="3" borderId="6" xfId="1" applyFont="1" applyFill="1" applyBorder="1" applyAlignment="1">
      <alignment horizontal="center" vertical="center"/>
    </xf>
    <xf numFmtId="0" fontId="9" fillId="3" borderId="5" xfId="1" applyFont="1" applyFill="1" applyBorder="1" applyAlignment="1">
      <alignment horizontal="center" vertical="center"/>
    </xf>
    <xf numFmtId="0" fontId="9" fillId="4" borderId="3" xfId="1" applyFont="1" applyFill="1" applyBorder="1" applyAlignment="1">
      <alignment horizontal="center" vertical="center"/>
    </xf>
    <xf numFmtId="0" fontId="9" fillId="4" borderId="7" xfId="1" applyFont="1" applyFill="1" applyBorder="1" applyAlignment="1">
      <alignment horizontal="center" vertical="center"/>
    </xf>
    <xf numFmtId="0" fontId="9" fillId="5" borderId="8" xfId="1" applyFont="1" applyFill="1" applyBorder="1" applyAlignment="1">
      <alignment horizontal="center" vertical="center"/>
    </xf>
    <xf numFmtId="0" fontId="9" fillId="5" borderId="9" xfId="1" applyFont="1" applyFill="1" applyBorder="1" applyAlignment="1">
      <alignment horizontal="center" vertical="center"/>
    </xf>
    <xf numFmtId="0" fontId="10" fillId="0" borderId="0" xfId="0" applyFont="1"/>
    <xf numFmtId="0" fontId="2" fillId="0" borderId="11" xfId="0" applyFont="1" applyBorder="1"/>
    <xf numFmtId="0" fontId="1" fillId="0" borderId="0" xfId="0" applyFont="1" applyAlignment="1">
      <alignment horizontal="center" wrapText="1" shrinkToFit="1"/>
    </xf>
    <xf numFmtId="0" fontId="1" fillId="0" borderId="0" xfId="0" applyFont="1" applyAlignment="1">
      <alignment horizontal="center" textRotation="90" wrapText="1" shrinkToFit="1"/>
    </xf>
    <xf numFmtId="0" fontId="1" fillId="0" borderId="0" xfId="0" applyFont="1" applyAlignment="1">
      <alignment horizontal="left" wrapText="1" shrinkToFit="1"/>
    </xf>
    <xf numFmtId="0" fontId="1" fillId="6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1" fillId="6" borderId="0" xfId="0" applyFont="1" applyFill="1" applyAlignment="1">
      <alignment horizontal="center" vertical="center"/>
    </xf>
    <xf numFmtId="0" fontId="1" fillId="0" borderId="0" xfId="0" applyFont="1" applyAlignment="1">
      <alignment horizontal="left"/>
    </xf>
    <xf numFmtId="164" fontId="1" fillId="6" borderId="0" xfId="0" applyNumberFormat="1" applyFont="1" applyFill="1" applyAlignment="1">
      <alignment horizontal="center" vertical="center"/>
    </xf>
    <xf numFmtId="0" fontId="0" fillId="0" borderId="0" xfId="0" applyFill="1"/>
    <xf numFmtId="0" fontId="1" fillId="7" borderId="0" xfId="0" applyFont="1" applyFill="1"/>
    <xf numFmtId="0" fontId="1" fillId="0" borderId="0" xfId="0" applyFont="1" applyFill="1"/>
    <xf numFmtId="0" fontId="4" fillId="0" borderId="0" xfId="0" applyFont="1" applyAlignment="1">
      <alignment horizontal="centerContinuous" wrapText="1" shrinkToFit="1"/>
    </xf>
    <xf numFmtId="164" fontId="7" fillId="6" borderId="0" xfId="0" applyNumberFormat="1" applyFont="1" applyFill="1" applyAlignment="1">
      <alignment horizontal="center"/>
    </xf>
    <xf numFmtId="0" fontId="10" fillId="0" borderId="0" xfId="0" applyFont="1" applyBorder="1"/>
    <xf numFmtId="0" fontId="1" fillId="0" borderId="0" xfId="0" applyFont="1" applyBorder="1"/>
    <xf numFmtId="0" fontId="2" fillId="0" borderId="0" xfId="0" applyFont="1"/>
    <xf numFmtId="165" fontId="1" fillId="6" borderId="0" xfId="0" applyNumberFormat="1" applyFont="1" applyFill="1" applyAlignment="1">
      <alignment horizontal="center"/>
    </xf>
    <xf numFmtId="164" fontId="1" fillId="6" borderId="0" xfId="0" applyNumberFormat="1" applyFont="1" applyFill="1" applyAlignment="1">
      <alignment horizontal="center"/>
    </xf>
    <xf numFmtId="0" fontId="1" fillId="0" borderId="3" xfId="0" applyFont="1" applyBorder="1"/>
    <xf numFmtId="0" fontId="1" fillId="0" borderId="5" xfId="0" applyFont="1" applyBorder="1"/>
    <xf numFmtId="0" fontId="1" fillId="0" borderId="7" xfId="0" applyFont="1" applyBorder="1"/>
    <xf numFmtId="0" fontId="1" fillId="0" borderId="12" xfId="0" applyFont="1" applyBorder="1"/>
    <xf numFmtId="0" fontId="1" fillId="0" borderId="13" xfId="0" applyFont="1" applyBorder="1"/>
    <xf numFmtId="0" fontId="1" fillId="0" borderId="11" xfId="0" applyFont="1" applyBorder="1"/>
    <xf numFmtId="0" fontId="1" fillId="0" borderId="8" xfId="0" applyFont="1" applyBorder="1"/>
    <xf numFmtId="0" fontId="3" fillId="0" borderId="0" xfId="0" applyFont="1" applyAlignment="1">
      <alignment horizontal="center" vertical="center" wrapText="1" shrinkToFit="1"/>
    </xf>
    <xf numFmtId="0" fontId="4" fillId="0" borderId="0" xfId="0" applyFont="1" applyAlignment="1">
      <alignment horizontal="center" vertical="center" wrapText="1" shrinkToFit="1"/>
    </xf>
    <xf numFmtId="0" fontId="2" fillId="0" borderId="0" xfId="0" applyFont="1" applyAlignment="1">
      <alignment horizontal="center" vertical="center" wrapText="1" shrinkToFit="1"/>
    </xf>
    <xf numFmtId="0" fontId="11" fillId="0" borderId="0" xfId="0" applyFont="1" applyAlignment="1">
      <alignment horizontal="center" vertical="center" wrapText="1" shrinkToFit="1"/>
    </xf>
  </cellXfs>
  <cellStyles count="2">
    <cellStyle name="Гиперссылка" xfId="1" builtinId="8"/>
    <cellStyle name="Обычный" xfId="0" builtinId="0"/>
  </cellStyles>
  <dxfs count="1066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4" formatCode="0.000;[Red]0.000"/>
      <fill>
        <patternFill patternType="solid">
          <fgColor indexed="64"/>
          <bgColor rgb="FFFFFF00"/>
        </patternFill>
      </fill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4" formatCode="0.000;[Red]0.000"/>
      <fill>
        <patternFill patternType="solid">
          <fgColor indexed="64"/>
          <bgColor rgb="FFFFFF00"/>
        </patternFill>
      </fill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sz val="12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sz val="12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sz val="12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sz val="12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sz val="12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sz val="12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sz val="12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sz val="12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sz val="12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sz val="12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sz val="12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sz val="12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sz val="12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sz val="12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sz val="12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sz val="12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sz val="12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sz val="12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sz val="12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sz val="12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sz val="12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sz val="12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sz val="12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sz val="12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sz val="12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sz val="12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sz val="12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sz val="12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sz val="12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sz val="12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sz val="12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sz val="12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sz val="12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sz val="12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sz val="12"/>
        <name val="Times New Roman"/>
        <scheme val="none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4" formatCode="0.000;[Red]0.000"/>
      <fill>
        <patternFill patternType="solid">
          <fgColor indexed="64"/>
          <bgColor rgb="FFFFFF00"/>
        </patternFill>
      </fill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4" formatCode="0.000;[Red]0.000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4" formatCode="0.000;[Red]0.000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4" formatCode="0.000;[Red]0.000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4" formatCode="0.000;[Red]0.000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4" formatCode="0.000;[Red]0.000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4" formatCode="0.000;[Red]0.000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4" formatCode="0.000;[Red]0.000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4" formatCode="0.000;[Red]0.000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4" formatCode="0.000;[Red]0.0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90" wrapText="1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90" wrapText="1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90" wrapText="1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5" formatCode="0;[Red]0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rgb="FFFFC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90" wrapText="1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numFmt numFmtId="165" formatCode="0;[Red]0"/>
    </dxf>
    <dxf>
      <numFmt numFmtId="165" formatCode="0;[Red]0"/>
    </dxf>
    <dxf>
      <numFmt numFmtId="165" formatCode="0;[Red]0"/>
    </dxf>
    <dxf>
      <numFmt numFmtId="165" formatCode="0;[Red]0"/>
    </dxf>
    <dxf>
      <numFmt numFmtId="165" formatCode="0;[Red]0"/>
    </dxf>
    <dxf>
      <numFmt numFmtId="165" formatCode="0;[Red]0"/>
    </dxf>
    <dxf>
      <numFmt numFmtId="165" formatCode="0;[Red]0"/>
    </dxf>
    <dxf>
      <numFmt numFmtId="165" formatCode="0;[Red]0"/>
    </dxf>
    <dxf>
      <numFmt numFmtId="165" formatCode="0;[Red]0"/>
    </dxf>
    <dxf>
      <numFmt numFmtId="165" formatCode="0;[Red]0"/>
    </dxf>
    <dxf>
      <numFmt numFmtId="165" formatCode="0;[Red]0"/>
    </dxf>
    <dxf>
      <numFmt numFmtId="165" formatCode="0;[Red]0"/>
    </dxf>
    <dxf>
      <numFmt numFmtId="165" formatCode="0;[Red]0"/>
    </dxf>
    <dxf>
      <numFmt numFmtId="165" formatCode="0;[Red]0"/>
    </dxf>
    <dxf>
      <numFmt numFmtId="165" formatCode="0;[Red]0"/>
    </dxf>
    <dxf>
      <numFmt numFmtId="165" formatCode="0;[Red]0"/>
    </dxf>
    <dxf>
      <numFmt numFmtId="165" formatCode="0;[Red]0"/>
    </dxf>
    <dxf>
      <numFmt numFmtId="165" formatCode="0;[Red]0"/>
    </dxf>
    <dxf>
      <numFmt numFmtId="165" formatCode="0;[Red]0"/>
    </dxf>
    <dxf>
      <numFmt numFmtId="165" formatCode="0;[Red]0"/>
    </dxf>
    <dxf>
      <numFmt numFmtId="165" formatCode="0;[Red]0"/>
    </dxf>
    <dxf>
      <numFmt numFmtId="165" formatCode="0;[Red]0"/>
    </dxf>
    <dxf>
      <numFmt numFmtId="165" formatCode="0;[Red]0"/>
    </dxf>
    <dxf>
      <numFmt numFmtId="165" formatCode="0;[Red]0"/>
    </dxf>
    <dxf>
      <numFmt numFmtId="165" formatCode="0;[Red]0"/>
    </dxf>
    <dxf>
      <numFmt numFmtId="165" formatCode="0;[Red]0"/>
    </dxf>
    <dxf>
      <numFmt numFmtId="165" formatCode="0;[Red]0"/>
    </dxf>
    <dxf>
      <numFmt numFmtId="165" formatCode="0;[Red]0"/>
    </dxf>
    <dxf>
      <numFmt numFmtId="165" formatCode="0;[Red]0"/>
    </dxf>
    <dxf>
      <numFmt numFmtId="165" formatCode="0;[Red]0"/>
    </dxf>
    <dxf>
      <numFmt numFmtId="165" formatCode="0;[Red]0"/>
    </dxf>
    <dxf>
      <numFmt numFmtId="165" formatCode="0;[Red]0"/>
    </dxf>
    <dxf>
      <numFmt numFmtId="165" formatCode="0;[Red]0"/>
    </dxf>
    <dxf>
      <numFmt numFmtId="165" formatCode="0;[Red]0"/>
    </dxf>
    <dxf>
      <numFmt numFmtId="165" formatCode="0;[Red]0"/>
    </dxf>
    <dxf>
      <numFmt numFmtId="164" formatCode="0.000;[Red]0.000"/>
    </dxf>
    <dxf>
      <numFmt numFmtId="165" formatCode="0;[Red]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5" formatCode="0;[Red]0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90" wrapText="1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4" formatCode="0.000;[Red]0.000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90" wrapText="1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4" formatCode="0.000;[Red]0.000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90" wrapText="1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4" formatCode="0.000;[Red]0.000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90" wrapText="1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4" formatCode="0.000;[Red]0.000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90" wrapText="1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90" wrapText="1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90" wrapText="1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90" wrapText="1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/>
        <vertAlign val="baseline"/>
        <sz val="14"/>
        <color theme="10"/>
        <name val="Times New Roman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4"/>
        <color theme="10"/>
        <name val="Times New Roman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4"/>
        <color theme="10"/>
        <name val="Times New Roman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4"/>
        <color theme="10"/>
        <name val="Times New Roman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/>
        <vertAlign val="baseline"/>
        <sz val="14"/>
        <color theme="10"/>
        <name val="Times New Roman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4"/>
        <color theme="10"/>
        <name val="Times New Roman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solid">
          <fgColor indexed="64"/>
          <bgColor rgb="FFFFC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solid">
          <fgColor indexed="64"/>
          <bgColor rgb="FFFFC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ill>
        <patternFill patternType="solid">
          <fgColor theme="4" tint="0.79995117038483843"/>
          <bgColor theme="9" tint="0.59996337778862885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color theme="1"/>
      </font>
      <fill>
        <patternFill>
          <bgColor theme="5" tint="0.79998168889431442"/>
        </patternFill>
      </fill>
      <border>
        <bottom style="medium">
          <color theme="4"/>
        </bottom>
      </border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</dxfs>
  <tableStyles count="1" defaultTableStyle="TableStyleMedium2" defaultPivotStyle="PivotStyleLight16">
    <tableStyle name="Social" pivot="0" count="7">
      <tableStyleElement type="wholeTable" dxfId="1065"/>
      <tableStyleElement type="headerRow" dxfId="1064"/>
      <tableStyleElement type="totalRow" dxfId="1063"/>
      <tableStyleElement type="firstColumn" dxfId="1062"/>
      <tableStyleElement type="lastColumn" dxfId="1061"/>
      <tableStyleElement type="firstRowStripe" dxfId="1060"/>
      <tableStyleElement type="firstColumnStripe" dxfId="105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7/relationships/slicerCache" Target="slicerCaches/slicerCache7.xml"/><Relationship Id="rId39" Type="http://schemas.microsoft.com/office/2007/relationships/slicerCache" Target="slicerCaches/slicerCache20.xml"/><Relationship Id="rId21" Type="http://schemas.microsoft.com/office/2007/relationships/slicerCache" Target="slicerCaches/slicerCache2.xml"/><Relationship Id="rId34" Type="http://schemas.microsoft.com/office/2007/relationships/slicerCache" Target="slicerCaches/slicerCache15.xml"/><Relationship Id="rId42" Type="http://schemas.microsoft.com/office/2007/relationships/slicerCache" Target="slicerCaches/slicerCache23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microsoft.com/office/2007/relationships/slicerCache" Target="slicerCaches/slicerCache10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5.xml"/><Relationship Id="rId32" Type="http://schemas.microsoft.com/office/2007/relationships/slicerCache" Target="slicerCaches/slicerCache13.xml"/><Relationship Id="rId37" Type="http://schemas.microsoft.com/office/2007/relationships/slicerCache" Target="slicerCaches/slicerCache18.xml"/><Relationship Id="rId40" Type="http://schemas.microsoft.com/office/2007/relationships/slicerCache" Target="slicerCaches/slicerCache21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7/relationships/slicerCache" Target="slicerCaches/slicerCache4.xml"/><Relationship Id="rId28" Type="http://schemas.microsoft.com/office/2007/relationships/slicerCache" Target="slicerCaches/slicerCache9.xml"/><Relationship Id="rId36" Type="http://schemas.microsoft.com/office/2007/relationships/slicerCache" Target="slicerCaches/slicerCache17.xml"/><Relationship Id="rId49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7/relationships/slicerCache" Target="slicerCaches/slicerCache12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3.xml"/><Relationship Id="rId27" Type="http://schemas.microsoft.com/office/2007/relationships/slicerCache" Target="slicerCaches/slicerCache8.xml"/><Relationship Id="rId30" Type="http://schemas.microsoft.com/office/2007/relationships/slicerCache" Target="slicerCaches/slicerCache11.xml"/><Relationship Id="rId35" Type="http://schemas.microsoft.com/office/2007/relationships/slicerCache" Target="slicerCaches/slicerCache16.xml"/><Relationship Id="rId43" Type="http://schemas.microsoft.com/office/2007/relationships/slicerCache" Target="slicerCaches/slicerCache24.xml"/><Relationship Id="rId48" Type="http://schemas.openxmlformats.org/officeDocument/2006/relationships/customXml" Target="../customXml/item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7/relationships/slicerCache" Target="slicerCaches/slicerCache6.xml"/><Relationship Id="rId33" Type="http://schemas.microsoft.com/office/2007/relationships/slicerCache" Target="slicerCaches/slicerCache14.xml"/><Relationship Id="rId38" Type="http://schemas.microsoft.com/office/2007/relationships/slicerCache" Target="slicerCaches/slicerCache19.xml"/><Relationship Id="rId46" Type="http://schemas.openxmlformats.org/officeDocument/2006/relationships/sharedStrings" Target="sharedStrings.xml"/><Relationship Id="rId20" Type="http://schemas.microsoft.com/office/2007/relationships/slicerCache" Target="slicerCaches/slicerCache1.xml"/><Relationship Id="rId41" Type="http://schemas.microsoft.com/office/2007/relationships/slicerCache" Target="slicerCaches/slicerCache2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10754517" y="341769"/>
    <xdr:ext cx="2256102" cy="1758077"/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Соц. Работник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Соц. Работник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754517" y="341769"/>
              <a:ext cx="2256102" cy="175807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область срезов таблицы. Среды таблиц поддерживаются только в Excel 2013 и более поздних версиях.
Если фигура была изменена в более ранней версии Excel или книга была сохранена в Excel 2007ли более ранней версии, использование среза невозможно.</a:t>
              </a:r>
            </a:p>
          </xdr:txBody>
        </xdr:sp>
      </mc:Fallback>
    </mc:AlternateContent>
    <xdr:clientData/>
  </xdr:absoluteAnchor>
  <xdr:absoluteAnchor>
    <xdr:pos x="13664544" y="340068"/>
    <xdr:ext cx="1782890" cy="1758077"/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Признак учета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Признак учета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664544" y="340068"/>
              <a:ext cx="1782890" cy="175807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область срезов таблицы. Среды таблиц поддерживаются только в Excel 2013 и более поздних версиях.
Если фигура была изменена в более ранней версии Excel или книга была сохранена в Excel 2007ли более ранней версии, использование среза невозможно.</a:t>
              </a:r>
            </a:p>
          </xdr:txBody>
        </xdr:sp>
      </mc:Fallback>
    </mc:AlternateContent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3030</xdr:colOff>
      <xdr:row>1</xdr:row>
      <xdr:rowOff>7145</xdr:rowOff>
    </xdr:from>
    <xdr:to>
      <xdr:col>20</xdr:col>
      <xdr:colOff>446738</xdr:colOff>
      <xdr:row>9</xdr:row>
      <xdr:rowOff>26459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Соц. Работник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Соц. Работник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75718" y="340520"/>
              <a:ext cx="2217739" cy="176953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область срезов таблицы. Среды таблиц поддерживаются только в Excel 2013 и более поздних версиях.
Если фигура была изменена в более ранней версии Excel или книга была сохранена в Excel 2007ли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absolute">
    <xdr:from>
      <xdr:col>23</xdr:col>
      <xdr:colOff>228134</xdr:colOff>
      <xdr:row>0</xdr:row>
      <xdr:rowOff>327289</xdr:rowOff>
    </xdr:from>
    <xdr:to>
      <xdr:col>28</xdr:col>
      <xdr:colOff>9159</xdr:colOff>
      <xdr:row>9</xdr:row>
      <xdr:rowOff>13228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Признак учета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Признак учета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706009" y="327289"/>
              <a:ext cx="1757463" cy="176953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область срезов таблицы. Среды таблиц поддерживаются только в Excel 2013 и более поздних версиях.
Если фигура была изменена в более ранней версии Excel или книга была сохранена в Excel 2007ли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251979</xdr:colOff>
      <xdr:row>1</xdr:row>
      <xdr:rowOff>4004</xdr:rowOff>
    </xdr:from>
    <xdr:to>
      <xdr:col>20</xdr:col>
      <xdr:colOff>35048</xdr:colOff>
      <xdr:row>9</xdr:row>
      <xdr:rowOff>22183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Соц. Работник 2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Соц. Работник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395979" y="342671"/>
              <a:ext cx="2238402" cy="176442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область срезов таблицы. Среды таблиц поддерживаются только в Excel 2013 и более поздних версиях.
Если фигура была изменена в более ранней версии Excel или книга была сохранена в Excel 2007ли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absolute">
    <xdr:from>
      <xdr:col>20</xdr:col>
      <xdr:colOff>345864</xdr:colOff>
      <xdr:row>1</xdr:row>
      <xdr:rowOff>17727</xdr:rowOff>
    </xdr:from>
    <xdr:to>
      <xdr:col>25</xdr:col>
      <xdr:colOff>1716</xdr:colOff>
      <xdr:row>9</xdr:row>
      <xdr:rowOff>34395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Признак учета 2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Признак учета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945197" y="356394"/>
              <a:ext cx="1783102" cy="176291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область срезов таблицы. Среды таблиц поддерживаются только в Excel 2013 и более поздних версиях.
Если фигура была изменена в более ранней версии Excel или книга была сохранена в Excel 2007ли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14</xdr:col>
      <xdr:colOff>5946</xdr:colOff>
      <xdr:row>1</xdr:row>
      <xdr:rowOff>11495</xdr:rowOff>
    </xdr:from>
    <xdr:to>
      <xdr:col>20</xdr:col>
      <xdr:colOff>67274</xdr:colOff>
      <xdr:row>9</xdr:row>
      <xdr:rowOff>20519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Соц. Работник 3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Соц. Работник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423924" y="343265"/>
              <a:ext cx="2276693" cy="176419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область срезов таблицы. Среды таблиц поддерживаются только в Excel 2013 и более поздних версиях.
Если фигура была изменена в более ранней версии Excel или книга была сохранена в Excel 2007ли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absolute">
    <xdr:from>
      <xdr:col>20</xdr:col>
      <xdr:colOff>224881</xdr:colOff>
      <xdr:row>1</xdr:row>
      <xdr:rowOff>7144</xdr:rowOff>
    </xdr:from>
    <xdr:to>
      <xdr:col>24</xdr:col>
      <xdr:colOff>139656</xdr:colOff>
      <xdr:row>9</xdr:row>
      <xdr:rowOff>23812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Признак учета 3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Признак учета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58224" y="338914"/>
              <a:ext cx="1798370" cy="177183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область срезов таблицы. Среды таблиц поддерживаются только в Excel 2013 и более поздних версиях.
Если фигура была изменена в более ранней версии Excel или книга была сохранена в Excel 2007ли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14</xdr:col>
      <xdr:colOff>376020</xdr:colOff>
      <xdr:row>1</xdr:row>
      <xdr:rowOff>11183</xdr:rowOff>
    </xdr:from>
    <xdr:to>
      <xdr:col>21</xdr:col>
      <xdr:colOff>270</xdr:colOff>
      <xdr:row>9</xdr:row>
      <xdr:rowOff>23158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Соц. Работник 4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Соц. Работник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835330" y="339631"/>
              <a:ext cx="2218992" cy="171990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область срезов таблицы. Среды таблиц поддерживаются только в Excel 2013 и более поздних версиях.
Если фигура была изменена в более ранней версии Excel или книга была сохранена в Excel 2007ли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absolute">
    <xdr:from>
      <xdr:col>21</xdr:col>
      <xdr:colOff>386317</xdr:colOff>
      <xdr:row>1</xdr:row>
      <xdr:rowOff>18092</xdr:rowOff>
    </xdr:from>
    <xdr:to>
      <xdr:col>26</xdr:col>
      <xdr:colOff>272610</xdr:colOff>
      <xdr:row>9</xdr:row>
      <xdr:rowOff>34760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Признак учета 4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Признак учета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440369" y="346540"/>
              <a:ext cx="1758448" cy="17245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область срезов таблицы. Среды таблиц поддерживаются только в Excel 2013 и более поздних версиях.
Если фигура была изменена в более ранней версии Excel или книга была сохранена в Excel 2007ли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18</xdr:col>
      <xdr:colOff>193771</xdr:colOff>
      <xdr:row>0</xdr:row>
      <xdr:rowOff>318668</xdr:rowOff>
    </xdr:from>
    <xdr:to>
      <xdr:col>24</xdr:col>
      <xdr:colOff>48467</xdr:colOff>
      <xdr:row>8</xdr:row>
      <xdr:rowOff>197563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Соц. Работник 5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Соц. Работник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087990" y="318668"/>
              <a:ext cx="2104977" cy="176008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область срезов таблицы. Среды таблиц поддерживаются только в Excel 2013 и более поздних версиях.
Если фигура была изменена в более ранней версии Excel или книга была сохранена в Excel 2007ли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absolute">
    <xdr:from>
      <xdr:col>26</xdr:col>
      <xdr:colOff>55728</xdr:colOff>
      <xdr:row>1</xdr:row>
      <xdr:rowOff>19050</xdr:rowOff>
    </xdr:from>
    <xdr:to>
      <xdr:col>31</xdr:col>
      <xdr:colOff>36111</xdr:colOff>
      <xdr:row>9</xdr:row>
      <xdr:rowOff>35718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Признак учета 5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Признак учета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747916" y="352425"/>
              <a:ext cx="1778226" cy="176688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область срезов таблицы. Среды таблиц поддерживаются только в Excel 2013 и более поздних версиях.
Если фигура была изменена в более ранней версии Excel или книга была сохранена в Excel 2007ли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14</xdr:col>
      <xdr:colOff>29149</xdr:colOff>
      <xdr:row>1</xdr:row>
      <xdr:rowOff>7144</xdr:rowOff>
    </xdr:from>
    <xdr:to>
      <xdr:col>20</xdr:col>
      <xdr:colOff>418499</xdr:colOff>
      <xdr:row>9</xdr:row>
      <xdr:rowOff>26219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Соц. Работник 7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Соц. Работник 7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601774" y="340519"/>
              <a:ext cx="2234819" cy="176929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область срезов таблицы. Среды таблиц поддерживаются только в Excel 2013 и более поздних версиях.
Если фигура была изменена в более ранней версии Excel или книга была сохранена в Excel 2007ли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absolute">
    <xdr:from>
      <xdr:col>21</xdr:col>
      <xdr:colOff>150776</xdr:colOff>
      <xdr:row>1</xdr:row>
      <xdr:rowOff>7144</xdr:rowOff>
    </xdr:from>
    <xdr:to>
      <xdr:col>26</xdr:col>
      <xdr:colOff>156402</xdr:colOff>
      <xdr:row>9</xdr:row>
      <xdr:rowOff>26219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Признак учета 7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Признак учета 7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045120" y="340519"/>
              <a:ext cx="1779657" cy="176929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область срезов таблицы. Среды таблиц поддерживаются только в Excel 2013 и более поздних версиях.
Если фигура была изменена в более ранней версии Excel или книга была сохранена в Excel 2007ли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19</xdr:col>
      <xdr:colOff>249081</xdr:colOff>
      <xdr:row>0</xdr:row>
      <xdr:rowOff>324151</xdr:rowOff>
    </xdr:from>
    <xdr:to>
      <xdr:col>26</xdr:col>
      <xdr:colOff>122785</xdr:colOff>
      <xdr:row>9</xdr:row>
      <xdr:rowOff>7444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Соц. Работник 13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Соц. Работник 1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631331" y="324151"/>
              <a:ext cx="2195423" cy="176688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область срезов таблицы. Среды таблиц поддерживаются только в Excel 2013 и более поздних версиях.
Если фигура была изменена в более ранней версии Excel или книга была сохранена в Excel 2007ли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absolute">
    <xdr:from>
      <xdr:col>27</xdr:col>
      <xdr:colOff>266499</xdr:colOff>
      <xdr:row>1</xdr:row>
      <xdr:rowOff>20637</xdr:rowOff>
    </xdr:from>
    <xdr:to>
      <xdr:col>33</xdr:col>
      <xdr:colOff>424967</xdr:colOff>
      <xdr:row>9</xdr:row>
      <xdr:rowOff>37305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Признак учета 13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Признак учета 1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446718" y="354012"/>
              <a:ext cx="1801530" cy="176688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область срезов таблицы. Среды таблиц поддерживаются только в Excel 2013 и более поздних версиях.
Если фигура была изменена в более ранней версии Excel или книга была сохранена в Excel 2007ли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240865</xdr:colOff>
      <xdr:row>1</xdr:row>
      <xdr:rowOff>7144</xdr:rowOff>
    </xdr:from>
    <xdr:to>
      <xdr:col>22</xdr:col>
      <xdr:colOff>25874</xdr:colOff>
      <xdr:row>9</xdr:row>
      <xdr:rowOff>23812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Соц. Работник 9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Соц. Работник 9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88656" y="339411"/>
              <a:ext cx="2243788" cy="174445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область срезов таблицы. Среды таблиц поддерживаются только в Excel 2013 и более поздних версиях.
Если фигура была изменена в более ранней версии Excel или книга была сохранена в Excel 2007ли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absolute">
    <xdr:from>
      <xdr:col>23</xdr:col>
      <xdr:colOff>129618</xdr:colOff>
      <xdr:row>1</xdr:row>
      <xdr:rowOff>7144</xdr:rowOff>
    </xdr:from>
    <xdr:to>
      <xdr:col>28</xdr:col>
      <xdr:colOff>18341</xdr:colOff>
      <xdr:row>9</xdr:row>
      <xdr:rowOff>23812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Признак учета 9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Признак учета 9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401362" y="339411"/>
              <a:ext cx="1815874" cy="174445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область срезов таблицы. Среды таблиц поддерживаются только в Excel 2013 и более поздних версиях.
Если фигура была изменена в более ранней версии Excel или книга была сохранена в Excel 2007ли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13822</xdr:colOff>
      <xdr:row>1</xdr:row>
      <xdr:rowOff>1192</xdr:rowOff>
    </xdr:from>
    <xdr:to>
      <xdr:col>22</xdr:col>
      <xdr:colOff>394934</xdr:colOff>
      <xdr:row>9</xdr:row>
      <xdr:rowOff>13891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Соц. Работник 10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Соц. Работник 10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907916" y="334567"/>
              <a:ext cx="2262299" cy="176291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область срезов таблицы. Среды таблиц поддерживаются только в Excel 2013 и более поздних версиях.
Если фигура была изменена в более ранней версии Excel или книга была сохранена в Excel 2007ли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absolute">
    <xdr:from>
      <xdr:col>26</xdr:col>
      <xdr:colOff>524058</xdr:colOff>
      <xdr:row>1</xdr:row>
      <xdr:rowOff>15081</xdr:rowOff>
    </xdr:from>
    <xdr:to>
      <xdr:col>32</xdr:col>
      <xdr:colOff>4561</xdr:colOff>
      <xdr:row>9</xdr:row>
      <xdr:rowOff>31749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Признак учета 10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Признак учета 10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537589" y="348456"/>
              <a:ext cx="1826035" cy="176688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область срезов таблицы. Среды таблиц поддерживаются только в Excel 2013 и более поздних версиях.
Если фигура была изменена в более ранней версии Excel или книга была сохранена в Excel 2007ли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18</xdr:col>
      <xdr:colOff>249100</xdr:colOff>
      <xdr:row>1</xdr:row>
      <xdr:rowOff>21431</xdr:rowOff>
    </xdr:from>
    <xdr:to>
      <xdr:col>25</xdr:col>
      <xdr:colOff>26850</xdr:colOff>
      <xdr:row>9</xdr:row>
      <xdr:rowOff>37114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Соц. Работник 1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Соц. Работник 1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631350" y="354806"/>
              <a:ext cx="2301875" cy="176590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область срезов таблицы. Среды таблиц поддерживаются только в Excel 2013 и более поздних версиях.
Если фигура была изменена в более ранней версии Excel или книга была сохранена в Excel 2007ли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absolute">
    <xdr:from>
      <xdr:col>26</xdr:col>
      <xdr:colOff>129495</xdr:colOff>
      <xdr:row>1</xdr:row>
      <xdr:rowOff>9526</xdr:rowOff>
    </xdr:from>
    <xdr:to>
      <xdr:col>30</xdr:col>
      <xdr:colOff>205580</xdr:colOff>
      <xdr:row>9</xdr:row>
      <xdr:rowOff>26194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Признак учета 1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Признак учета 1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309714" y="342901"/>
              <a:ext cx="1778679" cy="176688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область срезов таблицы. Среды таблиц поддерживаются только в Excel 2013 и более поздних версиях.
Если фигура была изменена в более ранней версии Excel или книга была сохранена в Excel 2007ли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14</xdr:col>
      <xdr:colOff>341878</xdr:colOff>
      <xdr:row>0</xdr:row>
      <xdr:rowOff>326734</xdr:rowOff>
    </xdr:from>
    <xdr:to>
      <xdr:col>18</xdr:col>
      <xdr:colOff>44321</xdr:colOff>
      <xdr:row>9</xdr:row>
      <xdr:rowOff>13786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Соц. Работник 12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Соц. Работник 1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962128" y="326734"/>
              <a:ext cx="2214662" cy="177064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область срезов таблицы. Среды таблиц поддерживаются только в Excel 2013 и более поздних версиях.
Если фигура была изменена в более ранней версии Excel или книга была сохранена в Excel 2007ли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absolute">
    <xdr:from>
      <xdr:col>20</xdr:col>
      <xdr:colOff>645007</xdr:colOff>
      <xdr:row>1</xdr:row>
      <xdr:rowOff>14036</xdr:rowOff>
    </xdr:from>
    <xdr:to>
      <xdr:col>22</xdr:col>
      <xdr:colOff>672400</xdr:colOff>
      <xdr:row>9</xdr:row>
      <xdr:rowOff>33211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Признак учета 12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Признак учета 1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325163" y="347411"/>
              <a:ext cx="1789518" cy="176939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область срезов таблицы. Среды таблиц поддерживаются только в Excel 2013 и более поздних версиях.
Если фигура была изменена в более ранней версии Excel или книга была сохранена в Excel 2007ли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Соц._Работник1" sourceName="Соц. Работник">
  <extLst>
    <x:ext xmlns:x15="http://schemas.microsoft.com/office/spreadsheetml/2010/11/main" uri="{2F2917AC-EB37-4324-AD4E-5DD8C200BD13}">
      <x15:tableSlicerCache tableId="4" column="1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Признак_учета1" sourceName="Признак учета">
  <extLst>
    <x:ext xmlns:x15="http://schemas.microsoft.com/office/spreadsheetml/2010/11/main" uri="{2F2917AC-EB37-4324-AD4E-5DD8C200BD13}">
      <x15:tableSlicerCache tableId="4" column="3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Соц._Работник1114" sourceName="Соц. Работник">
  <extLst>
    <x:ext xmlns:x15="http://schemas.microsoft.com/office/spreadsheetml/2010/11/main" uri="{2F2917AC-EB37-4324-AD4E-5DD8C200BD13}">
      <x15:tableSlicerCache tableId="16" column="1"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Признак_учета1114" sourceName="Признак учета">
  <extLst>
    <x:ext xmlns:x15="http://schemas.microsoft.com/office/spreadsheetml/2010/11/main" uri="{2F2917AC-EB37-4324-AD4E-5DD8C200BD13}">
      <x15:tableSlicerCache tableId="16" column="3"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Соц._Работник1116" sourceName="Соц. Работник">
  <extLst>
    <x:ext xmlns:x15="http://schemas.microsoft.com/office/spreadsheetml/2010/11/main" uri="{2F2917AC-EB37-4324-AD4E-5DD8C200BD13}">
      <x15:tableSlicerCache tableId="20" column="1"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Признак_учета1116" sourceName="Признак учета">
  <extLst>
    <x:ext xmlns:x15="http://schemas.microsoft.com/office/spreadsheetml/2010/11/main" uri="{2F2917AC-EB37-4324-AD4E-5DD8C200BD13}">
      <x15:tableSlicerCache tableId="20" column="3"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Соц._Работник1117" sourceName="Соц. Работник">
  <extLst>
    <x:ext xmlns:x15="http://schemas.microsoft.com/office/spreadsheetml/2010/11/main" uri="{2F2917AC-EB37-4324-AD4E-5DD8C200BD13}">
      <x15:tableSlicerCache tableId="22" column="1"/>
    </x:ext>
  </extLst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Признак_учета1117" sourceName="Признак учета">
  <extLst>
    <x:ext xmlns:x15="http://schemas.microsoft.com/office/spreadsheetml/2010/11/main" uri="{2F2917AC-EB37-4324-AD4E-5DD8C200BD13}">
      <x15:tableSlicerCache tableId="22" column="3"/>
    </x:ext>
  </extLst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Соц._Работник1118" sourceName="Соц. Работник">
  <extLst>
    <x:ext xmlns:x15="http://schemas.microsoft.com/office/spreadsheetml/2010/11/main" uri="{2F2917AC-EB37-4324-AD4E-5DD8C200BD13}">
      <x15:tableSlicerCache tableId="24" column="1"/>
    </x:ext>
  </extLst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Признак_учета1118" sourceName="Признак учета">
  <extLst>
    <x:ext xmlns:x15="http://schemas.microsoft.com/office/spreadsheetml/2010/11/main" uri="{2F2917AC-EB37-4324-AD4E-5DD8C200BD13}">
      <x15:tableSlicerCache tableId="24" column="3"/>
    </x:ext>
  </extLst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Соц._Работник1119" sourceName="Соц. Работник">
  <extLst>
    <x:ext xmlns:x15="http://schemas.microsoft.com/office/spreadsheetml/2010/11/main" uri="{2F2917AC-EB37-4324-AD4E-5DD8C200BD13}">
      <x15:tableSlicerCache tableId="26" column="1"/>
    </x:ext>
  </extLst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Признак_учета1119" sourceName="Признак учета">
  <extLst>
    <x:ext xmlns:x15="http://schemas.microsoft.com/office/spreadsheetml/2010/11/main" uri="{2F2917AC-EB37-4324-AD4E-5DD8C200BD13}">
      <x15:tableSlicerCache tableId="26" column="3"/>
    </x:ext>
  </extLst>
</slicerCacheDefinition>
</file>

<file path=xl/slicerCaches/slicerCache1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Соц._Работник11" sourceName="Соц. Работник">
  <extLst>
    <x:ext xmlns:x15="http://schemas.microsoft.com/office/spreadsheetml/2010/11/main" uri="{2F2917AC-EB37-4324-AD4E-5DD8C200BD13}">
      <x15:tableSlicerCache tableId="6" column="1"/>
    </x:ext>
  </extLst>
</slicerCacheDefinition>
</file>

<file path=xl/slicerCaches/slicerCache1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Признак_учета11" sourceName="Признак учета">
  <extLst>
    <x:ext xmlns:x15="http://schemas.microsoft.com/office/spreadsheetml/2010/11/main" uri="{2F2917AC-EB37-4324-AD4E-5DD8C200BD13}">
      <x15:tableSlicerCache tableId="6" column="3"/>
    </x:ext>
  </extLst>
</slicerCacheDefinition>
</file>

<file path=xl/slicerCaches/slicerCache15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Соц._Работник111" sourceName="Соц. Работник">
  <extLst>
    <x:ext xmlns:x15="http://schemas.microsoft.com/office/spreadsheetml/2010/11/main" uri="{2F2917AC-EB37-4324-AD4E-5DD8C200BD13}">
      <x15:tableSlicerCache tableId="40" column="1"/>
    </x:ext>
  </extLst>
</slicerCacheDefinition>
</file>

<file path=xl/slicerCaches/slicerCache16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Признак_учета111" sourceName="Признак учета">
  <extLst>
    <x:ext xmlns:x15="http://schemas.microsoft.com/office/spreadsheetml/2010/11/main" uri="{2F2917AC-EB37-4324-AD4E-5DD8C200BD13}">
      <x15:tableSlicerCache tableId="40" column="3"/>
    </x:ext>
  </extLst>
</slicerCacheDefinition>
</file>

<file path=xl/slicerCaches/slicerCache17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Соц._Работник1111" sourceName="Соц. Работник">
  <extLst>
    <x:ext xmlns:x15="http://schemas.microsoft.com/office/spreadsheetml/2010/11/main" uri="{2F2917AC-EB37-4324-AD4E-5DD8C200BD13}">
      <x15:tableSlicerCache tableId="43" column="1"/>
    </x:ext>
  </extLst>
</slicerCacheDefinition>
</file>

<file path=xl/slicerCaches/slicerCache18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Признак_учета1111" sourceName="Признак учета">
  <extLst>
    <x:ext xmlns:x15="http://schemas.microsoft.com/office/spreadsheetml/2010/11/main" uri="{2F2917AC-EB37-4324-AD4E-5DD8C200BD13}">
      <x15:tableSlicerCache tableId="43" column="3"/>
    </x:ext>
  </extLst>
</slicerCacheDefinition>
</file>

<file path=xl/slicerCaches/slicerCache19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Соц._Работник11111" sourceName="Соц. Работник">
  <extLst>
    <x:ext xmlns:x15="http://schemas.microsoft.com/office/spreadsheetml/2010/11/main" uri="{2F2917AC-EB37-4324-AD4E-5DD8C200BD13}">
      <x15:tableSlicerCache tableId="46" column="1"/>
    </x:ext>
  </extLst>
</slicerCacheDefinition>
</file>

<file path=xl/slicerCaches/slicerCache20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Признак_учета11111" sourceName="Признак учета">
  <extLst>
    <x:ext xmlns:x15="http://schemas.microsoft.com/office/spreadsheetml/2010/11/main" uri="{2F2917AC-EB37-4324-AD4E-5DD8C200BD13}">
      <x15:tableSlicerCache tableId="46" column="3"/>
    </x:ext>
  </extLst>
</slicerCacheDefinition>
</file>

<file path=xl/slicerCaches/slicerCache2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Соц._Работник11141" sourceName="Соц. Работник">
  <extLst>
    <x:ext xmlns:x15="http://schemas.microsoft.com/office/spreadsheetml/2010/11/main" uri="{2F2917AC-EB37-4324-AD4E-5DD8C200BD13}">
      <x15:tableSlicerCache tableId="10" column="1"/>
    </x:ext>
  </extLst>
</slicerCacheDefinition>
</file>

<file path=xl/slicerCaches/slicerCache2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Признак_учета11141" sourceName="Признак учета">
  <extLst>
    <x:ext xmlns:x15="http://schemas.microsoft.com/office/spreadsheetml/2010/11/main" uri="{2F2917AC-EB37-4324-AD4E-5DD8C200BD13}">
      <x15:tableSlicerCache tableId="10" column="3"/>
    </x:ext>
  </extLst>
</slicerCacheDefinition>
</file>

<file path=xl/slicerCaches/slicerCache2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Признак_учета" sourceName="Признак учета">
  <extLst>
    <x:ext xmlns:x15="http://schemas.microsoft.com/office/spreadsheetml/2010/11/main" uri="{2F2917AC-EB37-4324-AD4E-5DD8C200BD13}">
      <x15:tableSlicerCache tableId="2" column="3"/>
    </x:ext>
  </extLst>
</slicerCacheDefinition>
</file>

<file path=xl/slicerCaches/slicerCache2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Соц._Работник" sourceName="Соц. Работник">
  <extLst>
    <x:ext xmlns:x15="http://schemas.microsoft.com/office/spreadsheetml/2010/11/main" uri="{2F2917AC-EB37-4324-AD4E-5DD8C200BD13}">
      <x15:tableSlicerCache tableId="2" column="1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Признак учета" cache="Срез_Признак_учета" caption="Признак учета" rowHeight="241300"/>
  <slicer name="Соц. Работник" cache="Срез_Соц._Работник" caption="Соц. Работник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Соц. Работник 1" cache="Срез_Соц._Работник1" caption="Соц. Работник" rowHeight="241300"/>
  <slicer name="Признак учета 1" cache="Срез_Признак_учета1" caption="Признак учета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Соц. Работник 2" cache="Срез_Соц._Работник11" caption="Соц. Работник" rowHeight="241300"/>
  <slicer name="Признак учета 2" cache="Срез_Признак_учета11" caption="Признак учета" rowHeight="241300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Соц. Работник 3" cache="Срез_Соц._Работник111" caption="Соц. Работник" rowHeight="241300"/>
  <slicer name="Признак учета 3" cache="Срез_Признак_учета111" caption="Признак учета" rowHeight="241300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Соц. Работник 4" cache="Срез_Соц._Работник1111" caption="Соц. Работник" rowHeight="241300"/>
  <slicer name="Признак учета 4" cache="Срез_Признак_учета1111" caption="Признак учета" rowHeight="241300"/>
</slicers>
</file>

<file path=xl/slicers/slicer6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Соц. Работник 5" cache="Срез_Соц._Работник11111" caption="Соц. Работник" rowHeight="241300"/>
  <slicer name="Признак учета 5" cache="Срез_Признак_учета11111" caption="Признак учета" rowHeight="241300"/>
</slicers>
</file>

<file path=xl/slicers/slicer7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Соц. Работник 7" cache="Срез_Соц._Работник1114" caption="Соц. Работник" rowHeight="241300"/>
  <slicer name="Признак учета 7" cache="Срез_Признак_учета1114" caption="Признак учета" rowHeight="241300"/>
</slicers>
</file>

<file path=xl/slicers/slicer8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Соц. Работник 13" cache="Срез_Соц._Работник11141" caption="Соц. Работник" rowHeight="241300"/>
  <slicer name="Признак учета 13" cache="Срез_Признак_учета11141" caption="Признак учета" rowHeight="241300"/>
</slicers>
</file>

<file path=xl/slicers/slicer9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Соц. Работник 9" cache="Срез_Соц._Работник1116" caption="Соц. Работник" rowHeight="241300"/>
  <slicer name="Признак учета 9" cache="Срез_Признак_учета1116" caption="Признак учета" rowHeight="241300"/>
</slicers>
</file>

<file path=xl/slicers/slicer10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Соц. Работник 10" cache="Срез_Соц._Работник1117" caption="Соц. Работник" rowHeight="241300"/>
  <slicer name="Признак учета 10" cache="Срез_Признак_учета1117" caption="Признак учета" rowHeight="241300"/>
</slicers>
</file>

<file path=xl/slicers/slicer1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Соц. Работник 11" cache="Срез_Соц._Работник1118" caption="Соц. Работник" rowHeight="241300"/>
  <slicer name="Признак учета 11" cache="Срез_Признак_учета1118" caption="Признак учета" rowHeight="241300"/>
</slicers>
</file>

<file path=xl/slicers/slicer12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Соц. Работник 12" cache="Срез_Соц._Работник1119" caption="Соц. Работник" rowHeight="241300"/>
  <slicer name="Признак учета 12" cache="Срез_Признак_учета1119" caption="Признак учета" rowHeight="241300"/>
</slicers>
</file>

<file path=xl/tables/table1.xml><?xml version="1.0" encoding="utf-8"?>
<table xmlns="http://schemas.openxmlformats.org/spreadsheetml/2006/main" id="8" name="ВыборЦвета" displayName="ВыборЦвета" ref="B3:B4" totalsRowShown="0" headerRowDxfId="1058" dataDxfId="1057">
  <autoFilter ref="B3:B4">
    <filterColumn colId="0" hiddenButton="1"/>
  </autoFilter>
  <tableColumns count="1">
    <tableColumn id="1" name="Выбор цвета" dataDxfId="1056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id="7" name="ГлавнаяТаблица" displayName="ГлавнаяТаблица" ref="B4:E6" headerRowCount="0" totalsRowShown="0" headerRowDxfId="1055" dataDxfId="1053" headerRowBorderDxfId="1054" tableBorderDxfId="1052">
  <tableColumns count="4">
    <tableColumn id="1" name="Группа месяцев-1" headerRowDxfId="1051" dataDxfId="1050"/>
    <tableColumn id="2" name="Группа месяцев-2" headerRowDxfId="1049" dataDxfId="1048"/>
    <tableColumn id="3" name="Группа месяцев-3" headerRowDxfId="1047" dataDxfId="1046"/>
    <tableColumn id="4" name="Группа месяцев-4" headerRowDxfId="1045" dataDxfId="1044"/>
  </tableColumns>
  <tableStyleInfo name="TableStyleLight15" showFirstColumn="0" showLastColumn="0" showRowStripes="0" showColumnStripes="0"/>
</table>
</file>

<file path=xl/tables/table3.xml><?xml version="1.0" encoding="utf-8"?>
<table xmlns="http://schemas.openxmlformats.org/spreadsheetml/2006/main" id="1" name="ЯнварьУслуги" displayName="ЯнварьУслуги" ref="A4:C9" totalsRowShown="0" headerRowDxfId="1043" dataDxfId="1042">
  <autoFilter ref="A4:C9">
    <filterColumn colId="0" hiddenButton="1"/>
    <filterColumn colId="1" hiddenButton="1"/>
    <filterColumn colId="2" hiddenButton="1"/>
  </autoFilter>
  <tableColumns count="3">
    <tableColumn id="1" name="Услуги" dataDxfId="1041"/>
    <tableColumn id="2" name="б/пл." dataDxfId="1040"/>
    <tableColumn id="3" name="пл." dataDxfId="1039"/>
  </tableColumns>
  <tableStyleInfo name="TableStyleLight15" showFirstColumn="0" showLastColumn="0" showRowStripes="1" showColumnStripes="0"/>
</table>
</file>

<file path=xl/tables/table4.xml><?xml version="1.0" encoding="utf-8"?>
<table xmlns="http://schemas.openxmlformats.org/spreadsheetml/2006/main" id="28" name="ЯнварьТипСчета" displayName="ЯнварьТипСчета" ref="C1:C2" totalsRowShown="0" headerRowDxfId="1038" dataDxfId="1037">
  <autoFilter ref="C1:C2">
    <filterColumn colId="0" hiddenButton="1"/>
  </autoFilter>
  <tableColumns count="1">
    <tableColumn id="1" name="Тип счета" dataDxfId="1036"/>
  </tableColumns>
  <tableStyleInfo name="TableStyleLight16" showFirstColumn="0" showLastColumn="0" showRowStripes="1" showColumnStripes="0"/>
</table>
</file>

<file path=xl/tables/table5.xml><?xml version="1.0" encoding="utf-8"?>
<table xmlns="http://schemas.openxmlformats.org/spreadsheetml/2006/main" id="2" name="ЯнварьДанные" displayName="ЯнварьДанные" ref="A11:AN12" headerRowDxfId="1035" dataDxfId="1034">
  <autoFilter ref="A11:AN12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</autoFilter>
  <tableColumns count="40">
    <tableColumn id="1" name="Соц. Работник" totalsRowLabel="Итог" dataDxfId="1033" totalsRowDxfId="1032"/>
    <tableColumn id="2" name="Получатели ФИО" dataDxfId="1031" totalsRowDxfId="1030"/>
    <tableColumn id="3" name="Признак учета" dataDxfId="1029" totalsRowDxfId="1028"/>
    <tableColumn id="5" name="Итого" totalsRowFunction="sum" dataDxfId="1027" totalsRowDxfId="1026">
      <calculatedColumnFormula>SUM(INDIRECT(ADDRESS(ROW(ЯнварьДанные[[#This Row],[Итого]]),COLUMN(ЯнварьДанные[[#This Row],[Итого]])+2)):INDIRECT(ADDRESS(ROW(ЯнварьДанные[[#This Row],[Итого]]),COUNTA(ЯнварьДанные[#Headers]))))</calculatedColumnFormula>
    </tableColumn>
    <tableColumn id="6" name="Среднее кол-во услуг на 1 получ. Усл." totalsRowFunction="sum" dataDxfId="455" totalsRowDxfId="1025">
      <calculatedColumnFormula>ЯнварьДанные[[#This Row],[Итого]]/COUNTIFS(ЯнварьДанные[Соц. Работник],ЯнварьДанные[[#This Row],[Соц. Работник]])</calculatedColumnFormula>
    </tableColumn>
    <tableColumn id="7" name="покупка продуктов" totalsRowFunction="sum" dataDxfId="114" totalsRowDxfId="1024"/>
    <tableColumn id="9" name="помощь в приготовлении пищи" totalsRowFunction="sum" dataDxfId="113" totalsRowDxfId="1023"/>
    <tableColumn id="10" name="кормление" totalsRowFunction="sum" dataDxfId="112" totalsRowDxfId="1022"/>
    <tableColumn id="11" name="оплата коммунальныхи услуг и связи" totalsRowFunction="sum" dataDxfId="111" totalsRowDxfId="1021"/>
    <tableColumn id="12" name="вынос мусора" totalsRowFunction="sum" dataDxfId="110" totalsRowDxfId="1020"/>
    <tableColumn id="13" name="смена штор" totalsRowFunction="sum" dataDxfId="109" totalsRowDxfId="1019"/>
    <tableColumn id="14" name="уборка б/у" totalsRowFunction="sum" dataDxfId="108" totalsRowDxfId="1018"/>
    <tableColumn id="15" name="уборка с/у" totalsRowFunction="sum" dataDxfId="107" totalsRowDxfId="1017"/>
    <tableColumn id="16" name="помывка в ванной" totalsRowFunction="sum" dataDxfId="106" totalsRowDxfId="1016"/>
    <tableColumn id="17" name="смена постельного белья" totalsRowFunction="sum" dataDxfId="105" totalsRowDxfId="1015"/>
    <tableColumn id="18" name="смена нательного белья" totalsRowFunction="sum" dataDxfId="104" totalsRowDxfId="1014"/>
    <tableColumn id="19" name="обработка ногтей" totalsRowFunction="sum" dataDxfId="103" totalsRowDxfId="1013"/>
    <tableColumn id="20" name="оказание помощи при стирке вещей" totalsRowFunction="sum" dataDxfId="102" totalsRowDxfId="1012"/>
    <tableColumn id="21" name="стирка вещей" totalsRowFunction="sum" dataDxfId="101" totalsRowDxfId="1011"/>
    <tableColumn id="22" name="доставка воды" totalsRowFunction="sum" dataDxfId="100" totalsRowDxfId="1010"/>
    <tableColumn id="23" name="покупка топлива, топка печей" totalsRowFunction="sum" dataDxfId="99" totalsRowDxfId="1009"/>
    <tableColumn id="24" name="сод-е в получении услуг в пр.торговли, КБО" totalsRowFunction="sum" dataDxfId="98" totalsRowDxfId="1008"/>
    <tableColumn id="25" name="сод-е в организации ритуальных услуг" totalsRowFunction="sum" dataDxfId="97" totalsRowDxfId="1007"/>
    <tableColumn id="26" name="присмотр за детьми" totalsRowFunction="sum" dataDxfId="96" totalsRowDxfId="1006"/>
    <tableColumn id="27" name="письма" totalsRowFunction="sum" dataDxfId="95" totalsRowDxfId="1005"/>
    <tableColumn id="28" name="снег" totalsRowFunction="sum" dataDxfId="94" totalsRowDxfId="1004"/>
    <tableColumn id="29" name="вып. процедур, связанных с сохранением здоровья" totalsRowFunction="sum" dataDxfId="93" totalsRowDxfId="1003"/>
    <tableColumn id="30" name="покупка лекарств, выписка рецептов" totalsRowFunction="sum" dataDxfId="92" totalsRowDxfId="1002"/>
    <tableColumn id="31" name="сиделка" totalsRowFunction="sum" dataDxfId="91" totalsRowDxfId="1001"/>
    <tableColumn id="32" name="сод-е в госпитализации" totalsRowFunction="sum" dataDxfId="90" totalsRowDxfId="1000"/>
    <tableColumn id="33" name="сод-е сан-кур. лечение" totalsRowFunction="sum" dataDxfId="89" totalsRowDxfId="999"/>
    <tableColumn id="34" name="содействие в получ. тех. средств" totalsRowFunction="sum" dataDxfId="88" totalsRowDxfId="998"/>
    <tableColumn id="35" name="сод-е в провед. мед. обслед. (запись)" totalsRowFunction="sum" dataDxfId="87" totalsRowDxfId="997"/>
    <tableColumn id="36" name="консультирование по соц-мед.вопросам" totalsRowFunction="sum" dataDxfId="86" totalsRowDxfId="996"/>
    <tableColumn id="37" name="сод-е в прохождении МСЭ" totalsRowFunction="sum" dataDxfId="85" totalsRowDxfId="995"/>
    <tableColumn id="38" name="вызов врача на дом по телефону" totalsRowFunction="sum" dataDxfId="84" totalsRowDxfId="994"/>
    <tableColumn id="39" name="беседа" totalsRowFunction="sum" dataDxfId="83" totalsRowDxfId="993"/>
    <tableColumn id="40" name="соц-пед.услуги" totalsRowFunction="sum" dataDxfId="82" totalsRowDxfId="992"/>
    <tableColumn id="41" name="оказание помощи в оформлении документов" totalsRowFunction="sum" dataDxfId="81" totalsRowDxfId="991"/>
    <tableColumn id="42" name="помощь в получении юр.услуг" totalsRowFunction="sum" dataDxfId="80" totalsRowDxfId="990"/>
  </tableColumns>
  <tableStyleInfo name="Social" showFirstColumn="0" showLastColumn="0" showRowStripes="1" showColumnStripes="1"/>
</table>
</file>

<file path=xl/tables/table6.xml><?xml version="1.0" encoding="utf-8"?>
<table xmlns="http://schemas.openxmlformats.org/spreadsheetml/2006/main" id="12" name="ЯнварьСиделка" displayName="ЯнварьСиделка" ref="E4:G5" totalsRowShown="0">
  <autoFilter ref="E4:G5">
    <filterColumn colId="0" hiddenButton="1"/>
    <filterColumn colId="1" hiddenButton="1"/>
    <filterColumn colId="2" hiddenButton="1"/>
  </autoFilter>
  <tableColumns count="3">
    <tableColumn id="1" name="Услуги" dataDxfId="989"/>
    <tableColumn id="2" name="б/пл."/>
    <tableColumn id="3" name="пл." dataDxfId="988"/>
  </tableColumns>
  <tableStyleInfo name="TableStyleLight15" showFirstColumn="0" showLastColumn="0" showRowStripes="1" showColumnStripes="0"/>
</table>
</file>

<file path=xl/tables/table7.xml><?xml version="1.0" encoding="utf-8"?>
<table xmlns="http://schemas.openxmlformats.org/spreadsheetml/2006/main" id="51" name="ЯнварьУслугиБС" displayName="ЯнварьУслугиБС" ref="I4:K9" totalsRowShown="0" headerRowDxfId="987" headerRowBorderDxfId="986" tableBorderDxfId="985" totalsRowBorderDxfId="984">
  <autoFilter ref="I4:K9">
    <filterColumn colId="0" hiddenButton="1"/>
    <filterColumn colId="1" hiddenButton="1"/>
    <filterColumn colId="2" hiddenButton="1"/>
  </autoFilter>
  <tableColumns count="3">
    <tableColumn id="1" name="Услуги" dataDxfId="983">
      <calculatedColumnFormula>ЯнварьУслуги[[#This Row],[Услуги]]</calculatedColumnFormula>
    </tableColumn>
    <tableColumn id="2" name="б/пл." dataDxfId="982">
      <calculatedColumnFormula>ЯнварьУслуги[[#This Row],[б/пл.]]</calculatedColumnFormula>
    </tableColumn>
    <tableColumn id="3" name="пл." dataDxfId="981">
      <calculatedColumnFormula>ЯнварьУслуги[[#This Row],[пл.]]</calculatedColumnFormula>
    </tableColumn>
  </tableColumns>
  <tableStyleInfo name="TableStyleLight15" showFirstColumn="0" showLastColumn="0" showRowStripes="1" showColumnStripes="0"/>
</table>
</file>

<file path=xl/tables/table8.xml><?xml version="1.0" encoding="utf-8"?>
<table xmlns="http://schemas.openxmlformats.org/spreadsheetml/2006/main" id="3" name="ФевральУслуги" displayName="ФевральУслуги" ref="A4:C9" totalsRowShown="0" headerRowDxfId="980" dataDxfId="979">
  <autoFilter ref="A4:C9">
    <filterColumn colId="0" hiddenButton="1"/>
    <filterColumn colId="1" hiddenButton="1"/>
    <filterColumn colId="2" hiddenButton="1"/>
  </autoFilter>
  <tableColumns count="3">
    <tableColumn id="1" name="Услуги" dataDxfId="978"/>
    <tableColumn id="2" name="б/пл." dataDxfId="977"/>
    <tableColumn id="3" name="пл." dataDxfId="976"/>
  </tableColumns>
  <tableStyleInfo name="TableStyleLight15" showFirstColumn="0" showLastColumn="0" showRowStripes="1" showColumnStripes="0"/>
</table>
</file>

<file path=xl/tables/table9.xml><?xml version="1.0" encoding="utf-8"?>
<table xmlns="http://schemas.openxmlformats.org/spreadsheetml/2006/main" id="4" name="ФевральДанные" displayName="ФевральДанные" ref="A11:AN12" headerRowDxfId="975" dataDxfId="974">
  <autoFilter ref="A11:AN12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</autoFilter>
  <tableColumns count="40">
    <tableColumn id="1" name="Соц. Работник" totalsRowLabel="Итог" dataDxfId="973" totalsRowDxfId="972"/>
    <tableColumn id="2" name="Получатели ФИО" dataDxfId="971" totalsRowDxfId="970"/>
    <tableColumn id="3" name="Признак учета" dataDxfId="969" totalsRowDxfId="968"/>
    <tableColumn id="5" name="Итого" totalsRowFunction="sum" dataDxfId="967" totalsRowDxfId="966">
      <calculatedColumnFormula>SUM(INDIRECT(ADDRESS(ROW(ФевральДанные[[#This Row],[Итого]]),COLUMN(ФевральДанные[[#This Row],[Итого]])+2)):INDIRECT(ADDRESS(ROW(ФевральДанные[[#This Row],[Итого]]),COUNTA(ФевральДанные[#Headers]))))</calculatedColumnFormula>
    </tableColumn>
    <tableColumn id="6" name="Среднее кол-во услуг на 1 получ. Усл." dataDxfId="454" totalsRowDxfId="965">
      <calculatedColumnFormula>ФевральДанные[[#This Row],[Итого]]/COUNTIFS(ФевральДанные[Соц. Работник],ФевральДанные[[#This Row],[Соц. Работник]])</calculatedColumnFormula>
    </tableColumn>
    <tableColumn id="7" name="покупка продуктов" dataDxfId="149" totalsRowDxfId="964"/>
    <tableColumn id="9" name="помощь в приготовлении пищи" dataDxfId="148" totalsRowDxfId="963"/>
    <tableColumn id="10" name="кормление" dataDxfId="147" totalsRowDxfId="962"/>
    <tableColumn id="11" name="оплата коммунальныхи услуг и связи" dataDxfId="146" totalsRowDxfId="961"/>
    <tableColumn id="12" name="вынос мусора" dataDxfId="145" totalsRowDxfId="960"/>
    <tableColumn id="13" name="смена штор" dataDxfId="144" totalsRowDxfId="959"/>
    <tableColumn id="14" name="уборка б/у" dataDxfId="143" totalsRowDxfId="958"/>
    <tableColumn id="15" name="уборка с/у" dataDxfId="142" totalsRowDxfId="957"/>
    <tableColumn id="16" name="помывка в ванной" dataDxfId="141" totalsRowDxfId="956"/>
    <tableColumn id="17" name="смена постельного белья" dataDxfId="140" totalsRowDxfId="955"/>
    <tableColumn id="18" name="смена нательного белья" dataDxfId="139" totalsRowDxfId="954"/>
    <tableColumn id="19" name="обработка ногтей" dataDxfId="138" totalsRowDxfId="953"/>
    <tableColumn id="20" name="оказание помощи при стирке вещей" dataDxfId="137" totalsRowDxfId="952"/>
    <tableColumn id="21" name="стирка вещей" dataDxfId="136" totalsRowDxfId="951"/>
    <tableColumn id="22" name="доставка воды" dataDxfId="135" totalsRowDxfId="950"/>
    <tableColumn id="23" name="покупка топлива, топка печей" dataDxfId="134" totalsRowDxfId="949"/>
    <tableColumn id="24" name="сод-е в получении услуг в пр.торговли, КБО" dataDxfId="133" totalsRowDxfId="948"/>
    <tableColumn id="25" name="сод-е в организации ритуальных услуг" dataDxfId="132" totalsRowDxfId="947"/>
    <tableColumn id="26" name="присмотр за детьми" dataDxfId="131" totalsRowDxfId="946"/>
    <tableColumn id="27" name="письма" dataDxfId="130" totalsRowDxfId="945"/>
    <tableColumn id="28" name="снег" dataDxfId="129" totalsRowDxfId="944"/>
    <tableColumn id="29" name="вып. процедур, связанных с сохранением здоровья" dataDxfId="128" totalsRowDxfId="943"/>
    <tableColumn id="30" name="покупка лекарств, выписка рецептов" dataDxfId="127" totalsRowDxfId="942"/>
    <tableColumn id="31" name="сиделка" dataDxfId="126" totalsRowDxfId="941"/>
    <tableColumn id="32" name="сод-е в госпитализации" dataDxfId="125" totalsRowDxfId="940"/>
    <tableColumn id="33" name="сод-е сан-кур. лечение" dataDxfId="124" totalsRowDxfId="939"/>
    <tableColumn id="34" name="содействие в получ. тех. средств" dataDxfId="123" totalsRowDxfId="938"/>
    <tableColumn id="35" name="сод-е в провед. мед. обслед. (запись)" dataDxfId="122" totalsRowDxfId="937"/>
    <tableColumn id="36" name="консультирование по соц-мед.вопросам" dataDxfId="121" totalsRowDxfId="936"/>
    <tableColumn id="37" name="сод-е в прохождении МСЭ" dataDxfId="120" totalsRowDxfId="935"/>
    <tableColumn id="38" name="вызов врача на дом по телефону" dataDxfId="119" totalsRowDxfId="934"/>
    <tableColumn id="39" name="беседа" dataDxfId="118" totalsRowDxfId="933"/>
    <tableColumn id="40" name="соц-пед.услуги" dataDxfId="117" totalsRowDxfId="932"/>
    <tableColumn id="41" name="оказание помощи в оформлении документов" dataDxfId="116" totalsRowDxfId="931"/>
    <tableColumn id="42" name="помощь в получении юр.услуг" totalsRowFunction="sum" dataDxfId="115" totalsRowDxfId="930"/>
  </tableColumns>
  <tableStyleInfo name="Social" showFirstColumn="0" showLastColumn="0" showRowStripes="1" showColumnStripes="1"/>
</table>
</file>

<file path=xl/tables/table10.xml><?xml version="1.0" encoding="utf-8"?>
<table xmlns="http://schemas.openxmlformats.org/spreadsheetml/2006/main" id="29" name="ФевральТипСчета" displayName="ФевральТипСчета" ref="C1:C2" totalsRowShown="0" headerRowDxfId="929" dataDxfId="928">
  <autoFilter ref="C1:C2">
    <filterColumn colId="0" hiddenButton="1"/>
  </autoFilter>
  <tableColumns count="1">
    <tableColumn id="1" name="Тип Счета" dataDxfId="927"/>
  </tableColumns>
  <tableStyleInfo name="TableStyleLight16" showFirstColumn="0" showLastColumn="0" showRowStripes="1" showColumnStripes="0"/>
</table>
</file>

<file path=xl/tables/table11.xml><?xml version="1.0" encoding="utf-8"?>
<table xmlns="http://schemas.openxmlformats.org/spreadsheetml/2006/main" id="13" name="ФевральСиделка" displayName="ФевральСиделка" ref="E4:G5" totalsRowShown="0">
  <autoFilter ref="E4:G5">
    <filterColumn colId="0" hiddenButton="1"/>
    <filterColumn colId="1" hiddenButton="1"/>
    <filterColumn colId="2" hiddenButton="1"/>
  </autoFilter>
  <tableColumns count="3">
    <tableColumn id="1" name="Услуги" dataDxfId="926"/>
    <tableColumn id="2" name="б/пл."/>
    <tableColumn id="3" name="пл." dataDxfId="925"/>
  </tableColumns>
  <tableStyleInfo name="TableStyleLight15" showFirstColumn="0" showLastColumn="0" showRowStripes="1" showColumnStripes="0"/>
</table>
</file>

<file path=xl/tables/table12.xml><?xml version="1.0" encoding="utf-8"?>
<table xmlns="http://schemas.openxmlformats.org/spreadsheetml/2006/main" id="52" name="ФевральУслугиБС" displayName="ФевральУслугиБС" ref="I4:K9" totalsRowShown="0" headerRowDxfId="924" headerRowBorderDxfId="923" tableBorderDxfId="922" totalsRowBorderDxfId="921">
  <autoFilter ref="I4:K9">
    <filterColumn colId="0" hiddenButton="1"/>
    <filterColumn colId="1" hiddenButton="1"/>
    <filterColumn colId="2" hiddenButton="1"/>
  </autoFilter>
  <tableColumns count="3">
    <tableColumn id="1" name="Услуги" dataDxfId="920">
      <calculatedColumnFormula>ФевральУслуги[[#This Row],[Услуги]]</calculatedColumnFormula>
    </tableColumn>
    <tableColumn id="2" name="б/пл." dataDxfId="919">
      <calculatedColumnFormula>ФевральУслуги[[#This Row],[б/пл.]]</calculatedColumnFormula>
    </tableColumn>
    <tableColumn id="3" name="пл." dataDxfId="918">
      <calculatedColumnFormula>ФевральУслуги[[#This Row],[пл.]]</calculatedColumnFormula>
    </tableColumn>
  </tableColumns>
  <tableStyleInfo name="TableStyleLight15" showFirstColumn="0" showLastColumn="0" showRowStripes="1" showColumnStripes="0"/>
</table>
</file>

<file path=xl/tables/table13.xml><?xml version="1.0" encoding="utf-8"?>
<table xmlns="http://schemas.openxmlformats.org/spreadsheetml/2006/main" id="5" name="МартУслуги" displayName="МартУслуги" ref="A4:C9" totalsRowShown="0" headerRowDxfId="917" dataDxfId="916">
  <autoFilter ref="A4:C9">
    <filterColumn colId="0" hiddenButton="1"/>
    <filterColumn colId="1" hiddenButton="1"/>
    <filterColumn colId="2" hiddenButton="1"/>
  </autoFilter>
  <tableColumns count="3">
    <tableColumn id="1" name="Услуги" dataDxfId="915"/>
    <tableColumn id="2" name="б/пл." dataDxfId="914"/>
    <tableColumn id="3" name="пл." dataDxfId="913"/>
  </tableColumns>
  <tableStyleInfo name="TableStyleLight15" showFirstColumn="0" showLastColumn="0" showRowStripes="1" showColumnStripes="0"/>
</table>
</file>

<file path=xl/tables/table14.xml><?xml version="1.0" encoding="utf-8"?>
<table xmlns="http://schemas.openxmlformats.org/spreadsheetml/2006/main" id="6" name="МартДанные" displayName="МартДанные" ref="A11:AN12" headerRowDxfId="912" dataDxfId="911">
  <autoFilter ref="A11:AN12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</autoFilter>
  <tableColumns count="40">
    <tableColumn id="1" name="Соц. Работник" totalsRowLabel="Итог" dataDxfId="910" totalsRowDxfId="909"/>
    <tableColumn id="2" name="Получатели ФИО" dataDxfId="908" totalsRowDxfId="907"/>
    <tableColumn id="3" name="Признак учета" dataDxfId="906" totalsRowDxfId="905"/>
    <tableColumn id="5" name="Итого" totalsRowFunction="sum" dataDxfId="904" totalsRowDxfId="903">
      <calculatedColumnFormula>SUM(INDIRECT(ADDRESS(ROW(МартДанные[[#This Row],[Итого]]),COLUMN(МартДанные[[#This Row],[Итого]])+2)):INDIRECT(ADDRESS(ROW(МартДанные[[#This Row],[Итого]]),COUNTA(МартДанные[#Headers]))))</calculatedColumnFormula>
    </tableColumn>
    <tableColumn id="6" name="Среднее кол-во услуг на 1 получ. Усл." dataDxfId="453" totalsRowDxfId="902">
      <calculatedColumnFormula>МартДанные[[#This Row],[Итого]]/COUNTIFS(МартДанные[Соц. Работник],МартДанные[[#This Row],[Соц. Работник]])</calculatedColumnFormula>
    </tableColumn>
    <tableColumn id="7" name="покупка продуктов" dataDxfId="184" totalsRowDxfId="901"/>
    <tableColumn id="9" name="помощь в приготовлении пищи" dataDxfId="183" totalsRowDxfId="900"/>
    <tableColumn id="10" name="кормление" dataDxfId="182" totalsRowDxfId="899"/>
    <tableColumn id="11" name="оплата коммунальныхи услуг и связи" dataDxfId="181" totalsRowDxfId="898"/>
    <tableColumn id="12" name="вынос мусора" dataDxfId="180" totalsRowDxfId="897"/>
    <tableColumn id="13" name="смена штор" dataDxfId="179" totalsRowDxfId="896"/>
    <tableColumn id="14" name="уборка б/у" dataDxfId="178" totalsRowDxfId="895"/>
    <tableColumn id="15" name="уборка с/у" dataDxfId="177" totalsRowDxfId="894"/>
    <tableColumn id="16" name="помывка в ванной" dataDxfId="176" totalsRowDxfId="893"/>
    <tableColumn id="17" name="смена постельного белья" dataDxfId="175" totalsRowDxfId="892"/>
    <tableColumn id="18" name="смена нательного белья" dataDxfId="174" totalsRowDxfId="891"/>
    <tableColumn id="19" name="обработка ногтей" dataDxfId="173" totalsRowDxfId="890"/>
    <tableColumn id="20" name="оказание помощи при стирке вещей" dataDxfId="172" totalsRowDxfId="889"/>
    <tableColumn id="21" name="стирка вещей" dataDxfId="171" totalsRowDxfId="888"/>
    <tableColumn id="22" name="доставка воды" dataDxfId="170" totalsRowDxfId="887"/>
    <tableColumn id="23" name="покупка топлива, топка печей" dataDxfId="169" totalsRowDxfId="886"/>
    <tableColumn id="24" name="сод-е в получении услуг в пр.торговли, КБО" dataDxfId="168" totalsRowDxfId="885"/>
    <tableColumn id="25" name="сод-е в организации ритуальных услуг" dataDxfId="167" totalsRowDxfId="884"/>
    <tableColumn id="26" name="присмотр за детьми" dataDxfId="166" totalsRowDxfId="883"/>
    <tableColumn id="27" name="письма" dataDxfId="165" totalsRowDxfId="882"/>
    <tableColumn id="28" name="снег" dataDxfId="164" totalsRowDxfId="881"/>
    <tableColumn id="29" name="вып. процедур, связанных с сохранением здоровья" dataDxfId="163" totalsRowDxfId="880"/>
    <tableColumn id="30" name="покупка лекарств, выписка рецептов" dataDxfId="162" totalsRowDxfId="879"/>
    <tableColumn id="31" name="сиделка" dataDxfId="161" totalsRowDxfId="878"/>
    <tableColumn id="32" name="сод-е в госпитализации" dataDxfId="160" totalsRowDxfId="877"/>
    <tableColumn id="33" name="сод-е сан-кур. лечение" dataDxfId="159" totalsRowDxfId="876"/>
    <tableColumn id="34" name="содействие в получ. тех. средств" dataDxfId="158" totalsRowDxfId="875"/>
    <tableColumn id="35" name="сод-е в провед. мед. обслед. (запись)" dataDxfId="157" totalsRowDxfId="874"/>
    <tableColumn id="36" name="консультирование по соц-мед.вопросам" dataDxfId="156" totalsRowDxfId="873"/>
    <tableColumn id="37" name="сод-е в прохождении МСЭ" dataDxfId="155" totalsRowDxfId="872"/>
    <tableColumn id="38" name="вызов врача на дом по телефону" dataDxfId="154" totalsRowDxfId="871"/>
    <tableColumn id="39" name="беседа" dataDxfId="153" totalsRowDxfId="870"/>
    <tableColumn id="40" name="соц-пед.услуги" dataDxfId="152" totalsRowDxfId="869"/>
    <tableColumn id="41" name="оказание помощи в оформлении документов" dataDxfId="151" totalsRowDxfId="868"/>
    <tableColumn id="42" name="помощь в получении юр.услуг" totalsRowFunction="sum" dataDxfId="150" totalsRowDxfId="867"/>
  </tableColumns>
  <tableStyleInfo name="Social" showFirstColumn="0" showLastColumn="0" showRowStripes="1" showColumnStripes="1"/>
</table>
</file>

<file path=xl/tables/table15.xml><?xml version="1.0" encoding="utf-8"?>
<table xmlns="http://schemas.openxmlformats.org/spreadsheetml/2006/main" id="30" name="МартТипСчета" displayName="МартТипСчета" ref="C1:C2" totalsRowShown="0" headerRowDxfId="866" dataDxfId="865">
  <autoFilter ref="C1:C2">
    <filterColumn colId="0" hiddenButton="1"/>
  </autoFilter>
  <tableColumns count="1">
    <tableColumn id="1" name="Тип Счета" dataDxfId="864"/>
  </tableColumns>
  <tableStyleInfo name="TableStyleLight16" showFirstColumn="0" showLastColumn="0" showRowStripes="1" showColumnStripes="0"/>
</table>
</file>

<file path=xl/tables/table16.xml><?xml version="1.0" encoding="utf-8"?>
<table xmlns="http://schemas.openxmlformats.org/spreadsheetml/2006/main" id="14" name="МартСиделка" displayName="МартСиделка" ref="E4:G5" totalsRowShown="0">
  <autoFilter ref="E4:G5">
    <filterColumn colId="0" hiddenButton="1"/>
    <filterColumn colId="1" hiddenButton="1"/>
    <filterColumn colId="2" hiddenButton="1"/>
  </autoFilter>
  <tableColumns count="3">
    <tableColumn id="1" name="Услуги" dataDxfId="863"/>
    <tableColumn id="2" name="б/пл."/>
    <tableColumn id="3" name="пл." dataDxfId="862"/>
  </tableColumns>
  <tableStyleInfo name="TableStyleLight15" showFirstColumn="0" showLastColumn="0" showRowStripes="1" showColumnStripes="0"/>
</table>
</file>

<file path=xl/tables/table17.xml><?xml version="1.0" encoding="utf-8"?>
<table xmlns="http://schemas.openxmlformats.org/spreadsheetml/2006/main" id="53" name="МартУслугиБС" displayName="МартУслугиБС" ref="I4:K9" totalsRowShown="0" headerRowDxfId="861" headerRowBorderDxfId="860" tableBorderDxfId="859" totalsRowBorderDxfId="858">
  <autoFilter ref="I4:K9">
    <filterColumn colId="0" hiddenButton="1"/>
    <filterColumn colId="1" hiddenButton="1"/>
    <filterColumn colId="2" hiddenButton="1"/>
  </autoFilter>
  <tableColumns count="3">
    <tableColumn id="1" name="Услуги" dataDxfId="857">
      <calculatedColumnFormula>МартУслуги[[#This Row],[Услуги]]</calculatedColumnFormula>
    </tableColumn>
    <tableColumn id="2" name="б/пл." dataDxfId="856">
      <calculatedColumnFormula>МартУслуги[[#This Row],[б/пл.]]</calculatedColumnFormula>
    </tableColumn>
    <tableColumn id="3" name="пл." dataDxfId="855">
      <calculatedColumnFormula>МартУслуги[[#This Row],[пл.]]</calculatedColumnFormula>
    </tableColumn>
  </tableColumns>
  <tableStyleInfo name="TableStyleLight15" showFirstColumn="0" showLastColumn="0" showRowStripes="1" showColumnStripes="0"/>
</table>
</file>

<file path=xl/tables/table18.xml><?xml version="1.0" encoding="utf-8"?>
<table xmlns="http://schemas.openxmlformats.org/spreadsheetml/2006/main" id="27" name="АпрельУслуги" displayName="АпрельУслуги" ref="A4:C9" totalsRowShown="0" headerRowDxfId="854" dataDxfId="853">
  <autoFilter ref="A4:C9">
    <filterColumn colId="0" hiddenButton="1"/>
    <filterColumn colId="1" hiddenButton="1"/>
    <filterColumn colId="2" hiddenButton="1"/>
  </autoFilter>
  <tableColumns count="3">
    <tableColumn id="1" name="Услуги" dataDxfId="852"/>
    <tableColumn id="2" name="б/пл." dataDxfId="851"/>
    <tableColumn id="3" name="пл." dataDxfId="850"/>
  </tableColumns>
  <tableStyleInfo name="TableStyleLight15" showFirstColumn="0" showLastColumn="0" showRowStripes="1" showColumnStripes="0"/>
</table>
</file>

<file path=xl/tables/table19.xml><?xml version="1.0" encoding="utf-8"?>
<table xmlns="http://schemas.openxmlformats.org/spreadsheetml/2006/main" id="40" name="АпрельДанные" displayName="АпрельДанные" ref="A11:AN12" headerRowDxfId="849" dataDxfId="848">
  <autoFilter ref="A11:AN12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</autoFilter>
  <tableColumns count="40">
    <tableColumn id="1" name="Соц. Работник" totalsRowLabel="Итог" dataDxfId="847" totalsRowDxfId="846"/>
    <tableColumn id="2" name="Получатели ФИО" dataDxfId="845" totalsRowDxfId="844"/>
    <tableColumn id="3" name="Признак учета" dataDxfId="843" totalsRowDxfId="842"/>
    <tableColumn id="5" name="Итого" totalsRowFunction="sum" dataDxfId="841" totalsRowDxfId="840">
      <calculatedColumnFormula>SUM(INDIRECT(ADDRESS(ROW(АпрельДанные[[#This Row],[Итого]]),COLUMN(АпрельДанные[[#This Row],[Итого]])+2)):INDIRECT(ADDRESS(ROW(АпрельДанные[[#This Row],[Итого]]),COUNTA(АпрельДанные[#Headers]))))</calculatedColumnFormula>
    </tableColumn>
    <tableColumn id="6" name="Среднее кол-во услуг на 1 получ. Усл." totalsRowFunction="sum" dataDxfId="452" totalsRowDxfId="839">
      <calculatedColumnFormula>АпрельДанные[[#This Row],[Итого]]/COUNTIFS(АпрельДанные[Соц. Работник],АпрельДанные[[#This Row],[Соц. Работник]])</calculatedColumnFormula>
    </tableColumn>
    <tableColumn id="7" name="покупка продуктов" totalsRowFunction="sum" dataDxfId="219" totalsRowDxfId="838"/>
    <tableColumn id="9" name="помощь в приготовлении пищи" totalsRowFunction="sum" dataDxfId="218" totalsRowDxfId="837"/>
    <tableColumn id="10" name="кормление" totalsRowFunction="sum" dataDxfId="217" totalsRowDxfId="836"/>
    <tableColumn id="11" name="оплата коммунальныхи услуг и связи" totalsRowFunction="sum" dataDxfId="216" totalsRowDxfId="835"/>
    <tableColumn id="12" name="вынос мусора" totalsRowFunction="sum" dataDxfId="215" totalsRowDxfId="834"/>
    <tableColumn id="13" name="смена штор" totalsRowFunction="sum" dataDxfId="214" totalsRowDxfId="833"/>
    <tableColumn id="14" name="уборка б/у" totalsRowFunction="sum" dataDxfId="213" totalsRowDxfId="832"/>
    <tableColumn id="15" name="уборка с/у" totalsRowFunction="sum" dataDxfId="212" totalsRowDxfId="831"/>
    <tableColumn id="16" name="помывка в ванной" totalsRowFunction="sum" dataDxfId="211" totalsRowDxfId="830"/>
    <tableColumn id="17" name="смена постельного белья" totalsRowFunction="sum" dataDxfId="210" totalsRowDxfId="829"/>
    <tableColumn id="18" name="смена нательного белья" totalsRowFunction="sum" dataDxfId="209" totalsRowDxfId="828"/>
    <tableColumn id="19" name="обработка ногтей" totalsRowFunction="sum" dataDxfId="208" totalsRowDxfId="827"/>
    <tableColumn id="20" name="оказание помощи при стирке вещей" totalsRowFunction="sum" dataDxfId="207" totalsRowDxfId="826"/>
    <tableColumn id="21" name="стирка вещей" totalsRowFunction="sum" dataDxfId="206" totalsRowDxfId="825"/>
    <tableColumn id="22" name="доставка воды" totalsRowFunction="sum" dataDxfId="205" totalsRowDxfId="824"/>
    <tableColumn id="23" name="покупка топлива, топка печей" totalsRowFunction="sum" dataDxfId="204" totalsRowDxfId="823"/>
    <tableColumn id="24" name="сод-е в получении услуг в пр.торговли, КБО" totalsRowFunction="sum" dataDxfId="203" totalsRowDxfId="822"/>
    <tableColumn id="25" name="сод-е в организации ритуальных услуг" totalsRowFunction="sum" dataDxfId="202" totalsRowDxfId="821"/>
    <tableColumn id="26" name="присмотр за детьми" totalsRowFunction="sum" dataDxfId="201" totalsRowDxfId="820"/>
    <tableColumn id="27" name="письма" totalsRowFunction="sum" dataDxfId="200" totalsRowDxfId="819"/>
    <tableColumn id="28" name="снег" totalsRowFunction="sum" dataDxfId="199" totalsRowDxfId="818"/>
    <tableColumn id="29" name="вып. процедур, связанных с сохранением здоровья" totalsRowFunction="sum" dataDxfId="198" totalsRowDxfId="817"/>
    <tableColumn id="30" name="покупка лекарств, выписка рецептов" totalsRowFunction="sum" dataDxfId="197" totalsRowDxfId="816"/>
    <tableColumn id="31" name="сиделка" totalsRowFunction="sum" dataDxfId="196" totalsRowDxfId="815"/>
    <tableColumn id="32" name="сод-е в госпитализации" totalsRowFunction="sum" dataDxfId="195" totalsRowDxfId="814"/>
    <tableColumn id="33" name="сод-е сан-кур. лечение" totalsRowFunction="sum" dataDxfId="194" totalsRowDxfId="813"/>
    <tableColumn id="34" name="содействие в получ. тех. средств" totalsRowFunction="sum" dataDxfId="193" totalsRowDxfId="812"/>
    <tableColumn id="35" name="сод-е в провед. мед. обслед. (запись)" totalsRowFunction="sum" dataDxfId="192" totalsRowDxfId="811"/>
    <tableColumn id="36" name="консультирование по соц-мед.вопросам" totalsRowFunction="sum" dataDxfId="191" totalsRowDxfId="810"/>
    <tableColumn id="37" name="сод-е в прохождении МСЭ" totalsRowFunction="sum" dataDxfId="190" totalsRowDxfId="809"/>
    <tableColumn id="38" name="вызов врача на дом по телефону" totalsRowFunction="sum" dataDxfId="189" totalsRowDxfId="808"/>
    <tableColumn id="39" name="беседа" totalsRowFunction="sum" dataDxfId="188" totalsRowDxfId="807"/>
    <tableColumn id="40" name="соц-пед.услуги" totalsRowFunction="sum" dataDxfId="187" totalsRowDxfId="806"/>
    <tableColumn id="41" name="оказание помощи в оформлении документов" totalsRowFunction="sum" dataDxfId="186" totalsRowDxfId="805"/>
    <tableColumn id="42" name="помощь в получении юр.услуг" totalsRowFunction="sum" dataDxfId="185" totalsRowDxfId="804"/>
  </tableColumns>
  <tableStyleInfo name="Social" showFirstColumn="0" showLastColumn="0" showRowStripes="1" showColumnStripes="1"/>
</table>
</file>

<file path=xl/tables/table20.xml><?xml version="1.0" encoding="utf-8"?>
<table xmlns="http://schemas.openxmlformats.org/spreadsheetml/2006/main" id="41" name="АпрельТипСчета" displayName="АпрельТипСчета" ref="C1:C2" totalsRowShown="0" headerRowDxfId="803" dataDxfId="802">
  <autoFilter ref="C1:C2">
    <filterColumn colId="0" hiddenButton="1"/>
  </autoFilter>
  <tableColumns count="1">
    <tableColumn id="1" name="Тип Счета" dataDxfId="801"/>
  </tableColumns>
  <tableStyleInfo name="TableStyleLight16" showFirstColumn="0" showLastColumn="0" showRowStripes="1" showColumnStripes="0"/>
</table>
</file>

<file path=xl/tables/table21.xml><?xml version="1.0" encoding="utf-8"?>
<table xmlns="http://schemas.openxmlformats.org/spreadsheetml/2006/main" id="17" name="АпрельСиделка" displayName="АпрельСиделка" ref="E4:G5" totalsRowShown="0">
  <autoFilter ref="E4:G5">
    <filterColumn colId="0" hiddenButton="1"/>
    <filterColumn colId="1" hiddenButton="1"/>
    <filterColumn colId="2" hiddenButton="1"/>
  </autoFilter>
  <tableColumns count="3">
    <tableColumn id="1" name="Услуги" dataDxfId="800"/>
    <tableColumn id="2" name="б/пл."/>
    <tableColumn id="3" name="пл." dataDxfId="799"/>
  </tableColumns>
  <tableStyleInfo name="TableStyleLight15" showFirstColumn="0" showLastColumn="0" showRowStripes="1" showColumnStripes="0"/>
</table>
</file>

<file path=xl/tables/table22.xml><?xml version="1.0" encoding="utf-8"?>
<table xmlns="http://schemas.openxmlformats.org/spreadsheetml/2006/main" id="54" name="АпрельУслугиБС" displayName="АпрельУслугиБС" ref="I4:K9" totalsRowShown="0" headerRowDxfId="798" headerRowBorderDxfId="797" tableBorderDxfId="796" totalsRowBorderDxfId="795">
  <autoFilter ref="I4:K9">
    <filterColumn colId="0" hiddenButton="1"/>
    <filterColumn colId="1" hiddenButton="1"/>
    <filterColumn colId="2" hiddenButton="1"/>
  </autoFilter>
  <tableColumns count="3">
    <tableColumn id="1" name="Услуги" dataDxfId="794">
      <calculatedColumnFormula>АпрельУслуги[[#This Row],[Услуги]]</calculatedColumnFormula>
    </tableColumn>
    <tableColumn id="2" name="б/пл." dataDxfId="793">
      <calculatedColumnFormula>АпрельУслуги[[#This Row],[б/пл.]]</calculatedColumnFormula>
    </tableColumn>
    <tableColumn id="3" name="пл." dataDxfId="792">
      <calculatedColumnFormula>АпрельУслуги[[#This Row],[пл.]]</calculatedColumnFormula>
    </tableColumn>
  </tableColumns>
  <tableStyleInfo name="TableStyleLight15" showFirstColumn="0" showLastColumn="0" showRowStripes="1" showColumnStripes="0"/>
</table>
</file>

<file path=xl/tables/table23.xml><?xml version="1.0" encoding="utf-8"?>
<table xmlns="http://schemas.openxmlformats.org/spreadsheetml/2006/main" id="42" name="МайУслуги" displayName="МайУслуги" ref="A4:C9" totalsRowShown="0" headerRowDxfId="791" dataDxfId="790">
  <autoFilter ref="A4:C9">
    <filterColumn colId="0" hiddenButton="1"/>
    <filterColumn colId="1" hiddenButton="1"/>
    <filterColumn colId="2" hiddenButton="1"/>
  </autoFilter>
  <tableColumns count="3">
    <tableColumn id="1" name="Услуги" dataDxfId="789"/>
    <tableColumn id="2" name="б/пл." dataDxfId="788"/>
    <tableColumn id="3" name="пл." dataDxfId="787"/>
  </tableColumns>
  <tableStyleInfo name="TableStyleLight15" showFirstColumn="0" showLastColumn="0" showRowStripes="1" showColumnStripes="0"/>
</table>
</file>

<file path=xl/tables/table24.xml><?xml version="1.0" encoding="utf-8"?>
<table xmlns="http://schemas.openxmlformats.org/spreadsheetml/2006/main" id="43" name="МайДанные" displayName="МайДанные" ref="A11:AN12" headerRowDxfId="786" dataDxfId="785">
  <autoFilter ref="A11:AN12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</autoFilter>
  <tableColumns count="40">
    <tableColumn id="1" name="Соц. Работник" totalsRowLabel="Итог" dataDxfId="784" totalsRowDxfId="783"/>
    <tableColumn id="2" name="Получатели ФИО" dataDxfId="782" totalsRowDxfId="781"/>
    <tableColumn id="3" name="Признак учета" dataDxfId="780" totalsRowDxfId="779"/>
    <tableColumn id="5" name="Итого" totalsRowFunction="sum" dataDxfId="778" totalsRowDxfId="777">
      <calculatedColumnFormula>SUM(INDIRECT(ADDRESS(ROW(МайДанные[[#This Row],[Итого]]),COLUMN(МайДанные[[#This Row],[Итого]])+2)):INDIRECT(ADDRESS(ROW(МайДанные[[#This Row],[Итого]]),COUNTA(МайДанные[#Headers]))))</calculatedColumnFormula>
    </tableColumn>
    <tableColumn id="6" name="Среднее кол-во услуг на 1 получ. Усл." totalsRowFunction="sum" dataDxfId="451" totalsRowDxfId="776">
      <calculatedColumnFormula>МайДанные[[#This Row],[Итого]]/COUNTIFS(МайДанные[Соц. Работник],МайДанные[[#This Row],[Соц. Работник]])</calculatedColumnFormula>
    </tableColumn>
    <tableColumn id="7" name="покупка продуктов" totalsRowFunction="sum" dataDxfId="254" totalsRowDxfId="775"/>
    <tableColumn id="9" name="помощь в приготовлении пищи" totalsRowFunction="sum" dataDxfId="253" totalsRowDxfId="774"/>
    <tableColumn id="10" name="кормление" totalsRowFunction="sum" dataDxfId="252" totalsRowDxfId="773"/>
    <tableColumn id="11" name="оплата коммунальныхи услуг и связи" totalsRowFunction="sum" dataDxfId="251" totalsRowDxfId="772"/>
    <tableColumn id="12" name="вынос мусора" totalsRowFunction="sum" dataDxfId="250" totalsRowDxfId="771"/>
    <tableColumn id="13" name="смена штор" totalsRowFunction="sum" dataDxfId="249" totalsRowDxfId="770"/>
    <tableColumn id="14" name="уборка б/у" totalsRowFunction="sum" dataDxfId="248" totalsRowDxfId="769"/>
    <tableColumn id="15" name="уборка с/у" totalsRowFunction="sum" dataDxfId="247" totalsRowDxfId="768"/>
    <tableColumn id="16" name="помывка в ванной" totalsRowFunction="sum" dataDxfId="246" totalsRowDxfId="767"/>
    <tableColumn id="17" name="смена постельного белья" totalsRowFunction="sum" dataDxfId="245" totalsRowDxfId="766"/>
    <tableColumn id="18" name="смена нательного белья" totalsRowFunction="sum" dataDxfId="244" totalsRowDxfId="765"/>
    <tableColumn id="19" name="обработка ногтей" totalsRowFunction="sum" dataDxfId="243" totalsRowDxfId="764"/>
    <tableColumn id="20" name="оказание помощи при стирке вещей" totalsRowFunction="sum" dataDxfId="242" totalsRowDxfId="763"/>
    <tableColumn id="21" name="стирка вещей" totalsRowFunction="sum" dataDxfId="241" totalsRowDxfId="762"/>
    <tableColumn id="22" name="доставка воды" totalsRowFunction="sum" dataDxfId="240" totalsRowDxfId="761"/>
    <tableColumn id="23" name="покупка топлива, топка печей" totalsRowFunction="sum" dataDxfId="239" totalsRowDxfId="760"/>
    <tableColumn id="24" name="сод-е в получении услуг в пр.торговли, КБО" totalsRowFunction="sum" dataDxfId="238" totalsRowDxfId="759"/>
    <tableColumn id="25" name="сод-е в организации ритуальных услуг" totalsRowFunction="sum" dataDxfId="237" totalsRowDxfId="758"/>
    <tableColumn id="26" name="присмотр за детьми" totalsRowFunction="sum" dataDxfId="236" totalsRowDxfId="757"/>
    <tableColumn id="27" name="письма" totalsRowFunction="sum" dataDxfId="235" totalsRowDxfId="756"/>
    <tableColumn id="28" name="снег" totalsRowFunction="sum" dataDxfId="234" totalsRowDxfId="755"/>
    <tableColumn id="29" name="вып. процедур, связанных с сохранением здоровья" totalsRowFunction="sum" dataDxfId="233" totalsRowDxfId="754"/>
    <tableColumn id="30" name="покупка лекарств, выписка рецептов" totalsRowFunction="sum" dataDxfId="232" totalsRowDxfId="753"/>
    <tableColumn id="31" name="сиделка" totalsRowFunction="sum" dataDxfId="231" totalsRowDxfId="752"/>
    <tableColumn id="32" name="сод-е в госпитализации" totalsRowFunction="sum" dataDxfId="230" totalsRowDxfId="751"/>
    <tableColumn id="33" name="сод-е сан-кур. лечение" totalsRowFunction="sum" dataDxfId="229" totalsRowDxfId="750"/>
    <tableColumn id="34" name="содействие в получ. тех. средств" totalsRowFunction="sum" dataDxfId="228" totalsRowDxfId="749"/>
    <tableColumn id="35" name="сод-е в провед. мед. обслед. (запись)" totalsRowFunction="sum" dataDxfId="227" totalsRowDxfId="748"/>
    <tableColumn id="36" name="консультирование по соц-мед.вопросам" totalsRowFunction="sum" dataDxfId="226" totalsRowDxfId="747"/>
    <tableColumn id="37" name="сод-е в прохождении МСЭ" totalsRowFunction="sum" dataDxfId="225" totalsRowDxfId="746"/>
    <tableColumn id="38" name="вызов врача на дом по телефону" totalsRowFunction="sum" dataDxfId="224" totalsRowDxfId="745"/>
    <tableColumn id="39" name="беседа" totalsRowFunction="sum" dataDxfId="223" totalsRowDxfId="744"/>
    <tableColumn id="40" name="соц-пед.услуги" totalsRowFunction="sum" dataDxfId="222" totalsRowDxfId="743"/>
    <tableColumn id="41" name="оказание помощи в оформлении документов" totalsRowFunction="sum" dataDxfId="221" totalsRowDxfId="742"/>
    <tableColumn id="42" name="помощь в получении юр.услуг" totalsRowFunction="sum" dataDxfId="220" totalsRowDxfId="741"/>
  </tableColumns>
  <tableStyleInfo name="Social" showFirstColumn="0" showLastColumn="0" showRowStripes="1" showColumnStripes="1"/>
</table>
</file>

<file path=xl/tables/table25.xml><?xml version="1.0" encoding="utf-8"?>
<table xmlns="http://schemas.openxmlformats.org/spreadsheetml/2006/main" id="44" name="МайТипСчета" displayName="МайТипСчета" ref="C1:C2" totalsRowShown="0" headerRowDxfId="740" dataDxfId="739">
  <autoFilter ref="C1:C2">
    <filterColumn colId="0" hiddenButton="1"/>
  </autoFilter>
  <tableColumns count="1">
    <tableColumn id="1" name="Тип Счета" dataDxfId="738"/>
  </tableColumns>
  <tableStyleInfo name="TableStyleLight16" showFirstColumn="0" showLastColumn="0" showRowStripes="1" showColumnStripes="0"/>
</table>
</file>

<file path=xl/tables/table26.xml><?xml version="1.0" encoding="utf-8"?>
<table xmlns="http://schemas.openxmlformats.org/spreadsheetml/2006/main" id="18" name="МайСиделка" displayName="МайСиделка" ref="E4:G5" totalsRowShown="0">
  <autoFilter ref="E4:G5">
    <filterColumn colId="0" hiddenButton="1"/>
    <filterColumn colId="1" hiddenButton="1"/>
    <filterColumn colId="2" hiddenButton="1"/>
  </autoFilter>
  <tableColumns count="3">
    <tableColumn id="1" name="Услуги" dataDxfId="737"/>
    <tableColumn id="2" name="б/пл."/>
    <tableColumn id="3" name="пл." dataDxfId="736"/>
  </tableColumns>
  <tableStyleInfo name="TableStyleLight15" showFirstColumn="0" showLastColumn="0" showRowStripes="1" showColumnStripes="0"/>
</table>
</file>

<file path=xl/tables/table27.xml><?xml version="1.0" encoding="utf-8"?>
<table xmlns="http://schemas.openxmlformats.org/spreadsheetml/2006/main" id="55" name="МайУслугиБС" displayName="МайУслугиБС" ref="I4:K9" totalsRowShown="0" headerRowDxfId="735" headerRowBorderDxfId="734" tableBorderDxfId="733" totalsRowBorderDxfId="732">
  <autoFilter ref="I4:K9">
    <filterColumn colId="0" hiddenButton="1"/>
    <filterColumn colId="1" hiddenButton="1"/>
    <filterColumn colId="2" hiddenButton="1"/>
  </autoFilter>
  <tableColumns count="3">
    <tableColumn id="1" name="Услуги" dataDxfId="731">
      <calculatedColumnFormula>МайУслуги[[#This Row],[Услуги]]</calculatedColumnFormula>
    </tableColumn>
    <tableColumn id="2" name="б/пл." dataDxfId="730">
      <calculatedColumnFormula>МайУслуги[[#This Row],[б/пл.]]</calculatedColumnFormula>
    </tableColumn>
    <tableColumn id="3" name="пл." dataDxfId="729">
      <calculatedColumnFormula>МайУслуги[[#This Row],[пл.]]</calculatedColumnFormula>
    </tableColumn>
  </tableColumns>
  <tableStyleInfo name="TableStyleLight15" showFirstColumn="0" showLastColumn="0" showRowStripes="1" showColumnStripes="0"/>
</table>
</file>

<file path=xl/tables/table28.xml><?xml version="1.0" encoding="utf-8"?>
<table xmlns="http://schemas.openxmlformats.org/spreadsheetml/2006/main" id="45" name="ИюньУслуги" displayName="ИюньУслуги" ref="A4:C9" totalsRowShown="0" headerRowDxfId="728" dataDxfId="727">
  <autoFilter ref="A4:C9">
    <filterColumn colId="0" hiddenButton="1"/>
    <filterColumn colId="1" hiddenButton="1"/>
    <filterColumn colId="2" hiddenButton="1"/>
  </autoFilter>
  <tableColumns count="3">
    <tableColumn id="1" name="Услуги" dataDxfId="726"/>
    <tableColumn id="2" name="б/пл." dataDxfId="725"/>
    <tableColumn id="3" name="пл." dataDxfId="724"/>
  </tableColumns>
  <tableStyleInfo name="TableStyleLight15" showFirstColumn="0" showLastColumn="0" showRowStripes="1" showColumnStripes="0"/>
</table>
</file>

<file path=xl/tables/table29.xml><?xml version="1.0" encoding="utf-8"?>
<table xmlns="http://schemas.openxmlformats.org/spreadsheetml/2006/main" id="46" name="ИюньДанные" displayName="ИюньДанные" ref="A11:AN12" headerRowDxfId="723" dataDxfId="722">
  <autoFilter ref="A11:AN12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</autoFilter>
  <tableColumns count="40">
    <tableColumn id="1" name="Соц. Работник" totalsRowLabel="Итог" dataDxfId="721" totalsRowDxfId="720"/>
    <tableColumn id="2" name="Получатели ФИО" dataDxfId="719" totalsRowDxfId="718"/>
    <tableColumn id="3" name="Признак учета" dataDxfId="717" totalsRowDxfId="716"/>
    <tableColumn id="5" name="Итого" totalsRowFunction="sum" dataDxfId="715" totalsRowDxfId="714">
      <calculatedColumnFormula>SUM(INDIRECT(ADDRESS(ROW(ИюньДанные[[#This Row],[Итого]]),COLUMN(ИюньДанные[[#This Row],[Итого]])+2)):INDIRECT(ADDRESS(ROW(ИюньДанные[[#This Row],[Итого]]),COUNTA(ИюньДанные[#Headers]))))</calculatedColumnFormula>
    </tableColumn>
    <tableColumn id="6" name="Среднее кол-во услуг на 1 получ. Усл." totalsRowFunction="sum" dataDxfId="450" totalsRowDxfId="713">
      <calculatedColumnFormula>ИюньДанные[[#This Row],[Итого]]/COUNTIFS(ИюньДанные[Соц. Работник],ИюньДанные[[#This Row],[Соц. Работник]])</calculatedColumnFormula>
    </tableColumn>
    <tableColumn id="7" name="покупка продуктов" totalsRowFunction="sum" dataDxfId="289" totalsRowDxfId="712"/>
    <tableColumn id="9" name="помощь в приготовлении пищи" totalsRowFunction="sum" dataDxfId="288" totalsRowDxfId="711"/>
    <tableColumn id="10" name="кормление" totalsRowFunction="sum" dataDxfId="287" totalsRowDxfId="710"/>
    <tableColumn id="11" name="оплата коммунальныхи услуг и связи" totalsRowFunction="sum" dataDxfId="286" totalsRowDxfId="709"/>
    <tableColumn id="12" name="вынос мусора" totalsRowFunction="sum" dataDxfId="285" totalsRowDxfId="708"/>
    <tableColumn id="13" name="смена штор" totalsRowFunction="sum" dataDxfId="284" totalsRowDxfId="707"/>
    <tableColumn id="14" name="уборка б/у" totalsRowFunction="sum" dataDxfId="283" totalsRowDxfId="706"/>
    <tableColumn id="15" name="уборка с/у" totalsRowFunction="sum" dataDxfId="282" totalsRowDxfId="705"/>
    <tableColumn id="16" name="помывка в ванной" totalsRowFunction="sum" dataDxfId="281" totalsRowDxfId="704"/>
    <tableColumn id="17" name="смена постельного белья" totalsRowFunction="sum" dataDxfId="280" totalsRowDxfId="703"/>
    <tableColumn id="18" name="смена нательного белья" totalsRowFunction="sum" dataDxfId="279" totalsRowDxfId="702"/>
    <tableColumn id="19" name="обработка ногтей" totalsRowFunction="sum" dataDxfId="278" totalsRowDxfId="701"/>
    <tableColumn id="20" name="оказание помощи при стирке вещей" totalsRowFunction="sum" dataDxfId="277" totalsRowDxfId="700"/>
    <tableColumn id="21" name="стирка вещей" totalsRowFunction="sum" dataDxfId="276" totalsRowDxfId="699"/>
    <tableColumn id="22" name="доставка воды" totalsRowFunction="sum" dataDxfId="275" totalsRowDxfId="698"/>
    <tableColumn id="23" name="покупка топлива, топка печей" totalsRowFunction="sum" dataDxfId="274" totalsRowDxfId="697"/>
    <tableColumn id="24" name="сод-е в получении услуг в пр.торговли, КБО" totalsRowFunction="sum" dataDxfId="273" totalsRowDxfId="696"/>
    <tableColumn id="25" name="сод-е в организации ритуальных услуг" totalsRowFunction="sum" dataDxfId="272" totalsRowDxfId="695"/>
    <tableColumn id="26" name="присмотр за детьми" totalsRowFunction="sum" dataDxfId="271" totalsRowDxfId="694"/>
    <tableColumn id="27" name="письма" totalsRowFunction="sum" dataDxfId="270" totalsRowDxfId="693"/>
    <tableColumn id="28" name="снег" totalsRowFunction="sum" dataDxfId="269" totalsRowDxfId="692"/>
    <tableColumn id="29" name="вып. процедур, связанных с сохранением здоровья" totalsRowFunction="sum" dataDxfId="268" totalsRowDxfId="691"/>
    <tableColumn id="30" name="покупка лекарств, выписка рецептов" totalsRowFunction="sum" dataDxfId="267" totalsRowDxfId="690"/>
    <tableColumn id="31" name="сиделка" totalsRowFunction="sum" dataDxfId="266" totalsRowDxfId="689"/>
    <tableColumn id="32" name="сод-е в госпитализации" totalsRowFunction="sum" dataDxfId="265" totalsRowDxfId="688"/>
    <tableColumn id="33" name="сод-е сан-кур. лечение" totalsRowFunction="sum" dataDxfId="264" totalsRowDxfId="687"/>
    <tableColumn id="34" name="содействие в получ. тех. средств" totalsRowFunction="sum" dataDxfId="263" totalsRowDxfId="686"/>
    <tableColumn id="35" name="сод-е в провед. мед. обслед. (запись)" totalsRowFunction="sum" dataDxfId="262" totalsRowDxfId="685"/>
    <tableColumn id="36" name="консультирование по соц-мед.вопросам" totalsRowFunction="sum" dataDxfId="261" totalsRowDxfId="684"/>
    <tableColumn id="37" name="сод-е в прохождении МСЭ" totalsRowFunction="sum" dataDxfId="260" totalsRowDxfId="683"/>
    <tableColumn id="38" name="вызов врача на дом по телефону" totalsRowFunction="sum" dataDxfId="259" totalsRowDxfId="682"/>
    <tableColumn id="39" name="беседа" totalsRowFunction="sum" dataDxfId="258" totalsRowDxfId="681"/>
    <tableColumn id="40" name="соц-пед.услуги" totalsRowFunction="sum" dataDxfId="257" totalsRowDxfId="680"/>
    <tableColumn id="41" name="оказание помощи в оформлении документов" totalsRowFunction="sum" dataDxfId="256" totalsRowDxfId="679"/>
    <tableColumn id="42" name="помощь в получении юр.услуг" totalsRowFunction="sum" dataDxfId="255" totalsRowDxfId="678"/>
  </tableColumns>
  <tableStyleInfo name="Social" showFirstColumn="0" showLastColumn="0" showRowStripes="1" showColumnStripes="1"/>
</table>
</file>

<file path=xl/tables/table30.xml><?xml version="1.0" encoding="utf-8"?>
<table xmlns="http://schemas.openxmlformats.org/spreadsheetml/2006/main" id="47" name="ИюньТипСчета" displayName="ИюньТипСчета" ref="C1:C2" totalsRowShown="0" headerRowDxfId="677" dataDxfId="676">
  <autoFilter ref="C1:C2">
    <filterColumn colId="0" hiddenButton="1"/>
  </autoFilter>
  <tableColumns count="1">
    <tableColumn id="1" name="Тип Счета" dataDxfId="675"/>
  </tableColumns>
  <tableStyleInfo name="TableStyleLight16" showFirstColumn="0" showLastColumn="0" showRowStripes="1" showColumnStripes="0"/>
</table>
</file>

<file path=xl/tables/table31.xml><?xml version="1.0" encoding="utf-8"?>
<table xmlns="http://schemas.openxmlformats.org/spreadsheetml/2006/main" id="31" name="ИюньСиделка" displayName="ИюньСиделка" ref="E4:G5" totalsRowShown="0">
  <autoFilter ref="E4:G5">
    <filterColumn colId="0" hiddenButton="1"/>
    <filterColumn colId="1" hiddenButton="1"/>
    <filterColumn colId="2" hiddenButton="1"/>
  </autoFilter>
  <tableColumns count="3">
    <tableColumn id="1" name="Услуги" dataDxfId="674"/>
    <tableColumn id="2" name="б/пл."/>
    <tableColumn id="3" name="пл." dataDxfId="673"/>
  </tableColumns>
  <tableStyleInfo name="TableStyleLight15" showFirstColumn="0" showLastColumn="0" showRowStripes="1" showColumnStripes="0"/>
</table>
</file>

<file path=xl/tables/table32.xml><?xml version="1.0" encoding="utf-8"?>
<table xmlns="http://schemas.openxmlformats.org/spreadsheetml/2006/main" id="56" name="ИюньУслугиБС" displayName="ИюньУслугиБС" ref="I4:K9" totalsRowShown="0" headerRowDxfId="672" headerRowBorderDxfId="671" tableBorderDxfId="670" totalsRowBorderDxfId="669">
  <autoFilter ref="I4:K9">
    <filterColumn colId="0" hiddenButton="1"/>
    <filterColumn colId="1" hiddenButton="1"/>
    <filterColumn colId="2" hiddenButton="1"/>
  </autoFilter>
  <tableColumns count="3">
    <tableColumn id="1" name="Услуги" dataDxfId="668">
      <calculatedColumnFormula>ИюньУслуги[[#This Row],[Услуги]]</calculatedColumnFormula>
    </tableColumn>
    <tableColumn id="2" name="б/пл." dataDxfId="667">
      <calculatedColumnFormula>ИюньУслуги[[#This Row],[б/пл.]]</calculatedColumnFormula>
    </tableColumn>
    <tableColumn id="3" name="пл." dataDxfId="666">
      <calculatedColumnFormula>ИюньУслуги[[#This Row],[пл.]]</calculatedColumnFormula>
    </tableColumn>
  </tableColumns>
  <tableStyleInfo name="TableStyleLight15" showFirstColumn="0" showLastColumn="0" showRowStripes="1" showColumnStripes="0"/>
</table>
</file>

<file path=xl/tables/table33.xml><?xml version="1.0" encoding="utf-8"?>
<table xmlns="http://schemas.openxmlformats.org/spreadsheetml/2006/main" id="15" name="ИюльУслуги" displayName="ИюльУслуги" ref="A4:C9" totalsRowShown="0" headerRowDxfId="665" dataDxfId="664">
  <autoFilter ref="A4:C9">
    <filterColumn colId="0" hiddenButton="1"/>
    <filterColumn colId="1" hiddenButton="1"/>
    <filterColumn colId="2" hiddenButton="1"/>
  </autoFilter>
  <tableColumns count="3">
    <tableColumn id="1" name="Услуги" dataDxfId="663"/>
    <tableColumn id="2" name="б/пл." dataDxfId="662"/>
    <tableColumn id="3" name="пл." dataDxfId="661"/>
  </tableColumns>
  <tableStyleInfo name="TableStyleLight15" showFirstColumn="0" showLastColumn="0" showRowStripes="1" showColumnStripes="0"/>
</table>
</file>

<file path=xl/tables/table34.xml><?xml version="1.0" encoding="utf-8"?>
<table xmlns="http://schemas.openxmlformats.org/spreadsheetml/2006/main" id="16" name="ИюльДанные" displayName="ИюльДанные" ref="A11:AN12" headerRowDxfId="660" dataDxfId="659">
  <autoFilter ref="A11:AN12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</autoFilter>
  <tableColumns count="40">
    <tableColumn id="1" name="Соц. Работник" totalsRowLabel="Итог" dataDxfId="658" totalsRowDxfId="657"/>
    <tableColumn id="2" name="Получатели ФИО" dataDxfId="656" totalsRowDxfId="655"/>
    <tableColumn id="3" name="Признак учета" dataDxfId="654" totalsRowDxfId="653"/>
    <tableColumn id="5" name="Итого" totalsRowFunction="sum" dataDxfId="652" totalsRowDxfId="651">
      <calculatedColumnFormula>SUM(INDIRECT(ADDRESS(ROW(ИюльДанные[[#This Row],[Итого]]),COLUMN(ИюльДанные[[#This Row],[Итого]])+2)):INDIRECT(ADDRESS(ROW(ИюльДанные[[#This Row],[Итого]]),COUNTA(ИюльДанные[#Headers]))))</calculatedColumnFormula>
    </tableColumn>
    <tableColumn id="6" name="Среднее кол-во услуг на 1 получ. Усл." totalsRowFunction="sum" dataDxfId="449" totalsRowDxfId="650">
      <calculatedColumnFormula>ИюльДанные[[#This Row],[Итого]]/COUNTIFS(ИюльДанные[Соц. Работник],ИюльДанные[[#This Row],[Соц. Работник]])</calculatedColumnFormula>
    </tableColumn>
    <tableColumn id="7" name="покупка продуктов" totalsRowFunction="sum" dataDxfId="324" totalsRowDxfId="649"/>
    <tableColumn id="9" name="помощь в приготовлении пищи" totalsRowFunction="sum" dataDxfId="323" totalsRowDxfId="648"/>
    <tableColumn id="10" name="кормление" totalsRowFunction="sum" dataDxfId="322" totalsRowDxfId="647"/>
    <tableColumn id="11" name="оплата коммунальныхи услуг и связи" totalsRowFunction="sum" dataDxfId="321" totalsRowDxfId="646"/>
    <tableColumn id="12" name="вынос мусора" totalsRowFunction="sum" dataDxfId="320" totalsRowDxfId="645"/>
    <tableColumn id="13" name="смена штор" totalsRowFunction="sum" dataDxfId="319" totalsRowDxfId="644"/>
    <tableColumn id="14" name="уборка б/у" totalsRowFunction="sum" dataDxfId="318" totalsRowDxfId="643"/>
    <tableColumn id="15" name="уборка с/у" totalsRowFunction="sum" dataDxfId="317" totalsRowDxfId="642"/>
    <tableColumn id="16" name="помывка в ванной" totalsRowFunction="sum" dataDxfId="316" totalsRowDxfId="641"/>
    <tableColumn id="17" name="смена постельного белья" totalsRowFunction="sum" dataDxfId="315" totalsRowDxfId="640"/>
    <tableColumn id="18" name="смена нательного белья" totalsRowFunction="sum" dataDxfId="314" totalsRowDxfId="639"/>
    <tableColumn id="19" name="обработка ногтей" totalsRowFunction="sum" dataDxfId="313" totalsRowDxfId="638"/>
    <tableColumn id="20" name="оказание помощи при стирке вещей" totalsRowFunction="sum" dataDxfId="312" totalsRowDxfId="637"/>
    <tableColumn id="21" name="стирка вещей" totalsRowFunction="sum" dataDxfId="311" totalsRowDxfId="636"/>
    <tableColumn id="22" name="доставка воды" totalsRowFunction="sum" dataDxfId="310" totalsRowDxfId="635"/>
    <tableColumn id="23" name="покупка топлива, топка печей" totalsRowFunction="sum" dataDxfId="309" totalsRowDxfId="634"/>
    <tableColumn id="24" name="сод-е в получении услуг в пр.торговли, КБО" totalsRowFunction="sum" dataDxfId="308" totalsRowDxfId="633"/>
    <tableColumn id="25" name="сод-е в организации ритуальных услуг" totalsRowFunction="sum" dataDxfId="307" totalsRowDxfId="632"/>
    <tableColumn id="26" name="присмотр за детьми" totalsRowFunction="sum" dataDxfId="306" totalsRowDxfId="631"/>
    <tableColumn id="27" name="письма" totalsRowFunction="sum" dataDxfId="305" totalsRowDxfId="630"/>
    <tableColumn id="28" name="снег" totalsRowFunction="sum" dataDxfId="304" totalsRowDxfId="629"/>
    <tableColumn id="29" name="вып. процедур, связанных с сохранением здоровья" totalsRowFunction="sum" dataDxfId="303" totalsRowDxfId="628"/>
    <tableColumn id="30" name="покупка лекарств, выписка рецептов" totalsRowFunction="sum" dataDxfId="302" totalsRowDxfId="627"/>
    <tableColumn id="31" name="сиделка" totalsRowFunction="sum" dataDxfId="301" totalsRowDxfId="626"/>
    <tableColumn id="32" name="сод-е в госпитализации" totalsRowFunction="sum" dataDxfId="300" totalsRowDxfId="625"/>
    <tableColumn id="33" name="сод-е сан-кур. лечение" totalsRowFunction="sum" dataDxfId="299" totalsRowDxfId="624"/>
    <tableColumn id="34" name="содействие в получ. тех. средств" totalsRowFunction="sum" dataDxfId="298" totalsRowDxfId="623"/>
    <tableColumn id="35" name="сод-е в провед. мед. обслед. (запись)" totalsRowFunction="sum" dataDxfId="297" totalsRowDxfId="622"/>
    <tableColumn id="36" name="консультирование по соц-мед.вопросам" totalsRowFunction="sum" dataDxfId="296" totalsRowDxfId="621"/>
    <tableColumn id="37" name="сод-е в прохождении МСЭ" totalsRowFunction="sum" dataDxfId="295" totalsRowDxfId="620"/>
    <tableColumn id="38" name="вызов врача на дом по телефону" totalsRowFunction="sum" dataDxfId="294" totalsRowDxfId="619"/>
    <tableColumn id="39" name="беседа" totalsRowFunction="sum" dataDxfId="293" totalsRowDxfId="618"/>
    <tableColumn id="40" name="соц-пед.услуги" totalsRowFunction="sum" dataDxfId="292" totalsRowDxfId="617"/>
    <tableColumn id="41" name="оказание помощи в оформлении документов" totalsRowFunction="sum" dataDxfId="291" totalsRowDxfId="616"/>
    <tableColumn id="42" name="помощь в получении юр.услуг" totalsRowFunction="sum" dataDxfId="290" totalsRowDxfId="615"/>
  </tableColumns>
  <tableStyleInfo name="Social" showFirstColumn="0" showLastColumn="0" showRowStripes="1" showColumnStripes="1"/>
</table>
</file>

<file path=xl/tables/table35.xml><?xml version="1.0" encoding="utf-8"?>
<table xmlns="http://schemas.openxmlformats.org/spreadsheetml/2006/main" id="34" name="ИюльТипСчета" displayName="ИюльТипСчета" ref="C1:C2" totalsRowShown="0" headerRowDxfId="614" dataDxfId="613">
  <autoFilter ref="C1:C2">
    <filterColumn colId="0" hiddenButton="1"/>
  </autoFilter>
  <tableColumns count="1">
    <tableColumn id="1" name="Тип Счета" dataDxfId="612"/>
  </tableColumns>
  <tableStyleInfo name="TableStyleLight16" showFirstColumn="0" showLastColumn="0" showRowStripes="1" showColumnStripes="0"/>
</table>
</file>

<file path=xl/tables/table36.xml><?xml version="1.0" encoding="utf-8"?>
<table xmlns="http://schemas.openxmlformats.org/spreadsheetml/2006/main" id="32" name="ИюльСиделка" displayName="ИюльСиделка" ref="E4:G5" totalsRowShown="0">
  <autoFilter ref="E4:G5">
    <filterColumn colId="0" hiddenButton="1"/>
    <filterColumn colId="1" hiddenButton="1"/>
    <filterColumn colId="2" hiddenButton="1"/>
  </autoFilter>
  <tableColumns count="3">
    <tableColumn id="1" name="Услуги" dataDxfId="611"/>
    <tableColumn id="2" name="б/пл."/>
    <tableColumn id="3" name="пл." dataDxfId="610"/>
  </tableColumns>
  <tableStyleInfo name="TableStyleLight15" showFirstColumn="0" showLastColumn="0" showRowStripes="1" showColumnStripes="0"/>
</table>
</file>

<file path=xl/tables/table37.xml><?xml version="1.0" encoding="utf-8"?>
<table xmlns="http://schemas.openxmlformats.org/spreadsheetml/2006/main" id="57" name="ИюльУслугиБС" displayName="ИюльУслугиБС" ref="I4:K9" totalsRowShown="0" headerRowDxfId="609" headerRowBorderDxfId="608" tableBorderDxfId="607" totalsRowBorderDxfId="606">
  <autoFilter ref="I4:K9">
    <filterColumn colId="0" hiddenButton="1"/>
    <filterColumn colId="1" hiddenButton="1"/>
    <filterColumn colId="2" hiddenButton="1"/>
  </autoFilter>
  <tableColumns count="3">
    <tableColumn id="1" name="Услуги" dataDxfId="605">
      <calculatedColumnFormula>ИюльУслуги[[#This Row],[Услуги]]</calculatedColumnFormula>
    </tableColumn>
    <tableColumn id="2" name="б/пл." dataDxfId="604">
      <calculatedColumnFormula>ИюльУслуги[[#This Row],[б/пл.]]</calculatedColumnFormula>
    </tableColumn>
    <tableColumn id="3" name="пл." dataDxfId="603">
      <calculatedColumnFormula>ИюльУслуги[[#This Row],[пл.]]</calculatedColumnFormula>
    </tableColumn>
  </tableColumns>
  <tableStyleInfo name="TableStyleLight15" showFirstColumn="0" showLastColumn="0" showRowStripes="1" showColumnStripes="0"/>
</table>
</file>

<file path=xl/tables/table38.xml><?xml version="1.0" encoding="utf-8"?>
<table xmlns="http://schemas.openxmlformats.org/spreadsheetml/2006/main" id="9" name="АвгустУслуги" displayName="АвгустУслуги" ref="A4:C9" totalsRowShown="0" headerRowDxfId="602" dataDxfId="601">
  <autoFilter ref="A4:C9">
    <filterColumn colId="0" hiddenButton="1"/>
    <filterColumn colId="1" hiddenButton="1"/>
    <filterColumn colId="2" hiddenButton="1"/>
  </autoFilter>
  <tableColumns count="3">
    <tableColumn id="1" name="Услуги" dataDxfId="600"/>
    <tableColumn id="2" name="б/пл." dataDxfId="599"/>
    <tableColumn id="3" name="пл." dataDxfId="598"/>
  </tableColumns>
  <tableStyleInfo name="TableStyleLight15" showFirstColumn="0" showLastColumn="0" showRowStripes="1" showColumnStripes="0"/>
</table>
</file>

<file path=xl/tables/table39.xml><?xml version="1.0" encoding="utf-8"?>
<table xmlns="http://schemas.openxmlformats.org/spreadsheetml/2006/main" id="10" name="АвгустДанные" displayName="АвгустДанные" ref="A11:AN12" headerRowDxfId="597" dataDxfId="596" totalsRowDxfId="595">
  <autoFilter ref="A11:AN12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</autoFilter>
  <tableColumns count="40">
    <tableColumn id="1" name="Соц. Работник" totalsRowLabel="Итог" dataDxfId="594" totalsRowDxfId="593"/>
    <tableColumn id="2" name="Получатели ФИО" dataDxfId="592" totalsRowDxfId="591"/>
    <tableColumn id="3" name="Признак учета" dataDxfId="590" totalsRowDxfId="589"/>
    <tableColumn id="5" name="Итого" totalsRowFunction="sum" dataDxfId="588" totalsRowDxfId="587">
      <calculatedColumnFormula>SUM(INDIRECT(ADDRESS(ROW(АвгустДанные[[#This Row],[Итого]]),COLUMN(АвгустДанные[[#This Row],[Итого]])+2)):INDIRECT(ADDRESS(ROW(АвгустДанные[[#This Row],[Итого]]),COUNTA(АвгустДанные[#Headers]))))</calculatedColumnFormula>
    </tableColumn>
    <tableColumn id="6" name="Среднее кол-во услуг на 1 получ. Усл." totalsRowFunction="sum" dataDxfId="448" totalsRowDxfId="586">
      <calculatedColumnFormula>АвгустДанные[[#This Row],[Итого]]/COUNTIFS(АвгустДанные[Соц. Работник],АвгустДанные[[#This Row],[Соц. Работник]])</calculatedColumnFormula>
    </tableColumn>
    <tableColumn id="7" name="покупка продуктов" totalsRowFunction="sum" dataDxfId="359" totalsRowDxfId="585"/>
    <tableColumn id="9" name="помощь в приготовлении пищи" totalsRowFunction="sum" dataDxfId="358" totalsRowDxfId="584"/>
    <tableColumn id="10" name="кормление" totalsRowFunction="sum" dataDxfId="357" totalsRowDxfId="583"/>
    <tableColumn id="11" name="оплата коммунальныхи услуг и связи" totalsRowFunction="sum" dataDxfId="356" totalsRowDxfId="582"/>
    <tableColumn id="12" name="вынос мусора" totalsRowFunction="sum" dataDxfId="355" totalsRowDxfId="581"/>
    <tableColumn id="13" name="смена штор" totalsRowFunction="sum" dataDxfId="354" totalsRowDxfId="580"/>
    <tableColumn id="14" name="уборка б/у" totalsRowFunction="sum" dataDxfId="353" totalsRowDxfId="579"/>
    <tableColumn id="15" name="уборка с/у" totalsRowFunction="sum" dataDxfId="352" totalsRowDxfId="578"/>
    <tableColumn id="16" name="помывка в ванной" totalsRowFunction="sum" dataDxfId="351" totalsRowDxfId="577"/>
    <tableColumn id="17" name="смена постельного белья" totalsRowFunction="sum" dataDxfId="350" totalsRowDxfId="576"/>
    <tableColumn id="18" name="смена нательного белья" totalsRowFunction="sum" dataDxfId="349" totalsRowDxfId="575"/>
    <tableColumn id="19" name="обработка ногтей" totalsRowFunction="sum" dataDxfId="348" totalsRowDxfId="574"/>
    <tableColumn id="20" name="оказание помощи при стирке вещей" totalsRowFunction="sum" dataDxfId="347" totalsRowDxfId="573"/>
    <tableColumn id="21" name="стирка вещей" totalsRowFunction="sum" dataDxfId="346" totalsRowDxfId="572"/>
    <tableColumn id="22" name="доставка воды" totalsRowFunction="sum" dataDxfId="345" totalsRowDxfId="571"/>
    <tableColumn id="23" name="покупка топлива, топка печей" totalsRowFunction="sum" dataDxfId="344" totalsRowDxfId="570"/>
    <tableColumn id="24" name="сод-е в получении услуг в пр.торговли, КБО" totalsRowFunction="sum" dataDxfId="343" totalsRowDxfId="569"/>
    <tableColumn id="25" name="сод-е в организации ритуальных услуг" totalsRowFunction="sum" dataDxfId="342" totalsRowDxfId="568"/>
    <tableColumn id="26" name="присмотр за детьми" totalsRowFunction="sum" dataDxfId="341" totalsRowDxfId="567"/>
    <tableColumn id="27" name="письма" totalsRowFunction="sum" dataDxfId="340" totalsRowDxfId="566"/>
    <tableColumn id="28" name="снег" totalsRowFunction="sum" dataDxfId="339" totalsRowDxfId="565"/>
    <tableColumn id="29" name="вып. процедур, связанных с сохранением здоровья" totalsRowFunction="sum" dataDxfId="338" totalsRowDxfId="564"/>
    <tableColumn id="30" name="покупка лекарств, выписка рецептов" totalsRowFunction="sum" dataDxfId="337" totalsRowDxfId="563"/>
    <tableColumn id="31" name="сиделка" totalsRowFunction="sum" dataDxfId="336" totalsRowDxfId="562"/>
    <tableColumn id="32" name="сод-е в госпитализации" totalsRowFunction="sum" dataDxfId="335" totalsRowDxfId="561"/>
    <tableColumn id="33" name="сод-е сан-кур. лечение" totalsRowFunction="sum" dataDxfId="334" totalsRowDxfId="560"/>
    <tableColumn id="34" name="содействие в получ. тех. средств" totalsRowFunction="sum" dataDxfId="333" totalsRowDxfId="559"/>
    <tableColumn id="35" name="сод-е в провед. мед. обслед. (запись)" totalsRowFunction="sum" dataDxfId="332" totalsRowDxfId="558"/>
    <tableColumn id="36" name="консультирование по соц-мед.вопросам" totalsRowFunction="sum" dataDxfId="331" totalsRowDxfId="557"/>
    <tableColumn id="37" name="сод-е в прохождении МСЭ" totalsRowFunction="sum" dataDxfId="330" totalsRowDxfId="556"/>
    <tableColumn id="38" name="вызов врача на дом по телефону" totalsRowFunction="sum" dataDxfId="329" totalsRowDxfId="555"/>
    <tableColumn id="39" name="беседа" totalsRowFunction="sum" dataDxfId="328" totalsRowDxfId="554"/>
    <tableColumn id="40" name="соц-пед.услуги" totalsRowFunction="sum" dataDxfId="327" totalsRowDxfId="553"/>
    <tableColumn id="41" name="оказание помощи в оформлении документов" totalsRowFunction="sum" dataDxfId="326" totalsRowDxfId="552"/>
    <tableColumn id="42" name="помощь в получении юр.услуг" totalsRowFunction="sum" dataDxfId="325" totalsRowDxfId="551"/>
  </tableColumns>
  <tableStyleInfo name="Social" showFirstColumn="0" showLastColumn="0" showRowStripes="1" showColumnStripes="1"/>
</table>
</file>

<file path=xl/tables/table40.xml><?xml version="1.0" encoding="utf-8"?>
<table xmlns="http://schemas.openxmlformats.org/spreadsheetml/2006/main" id="11" name="АвгустТипСчета" displayName="АвгустТипСчета" ref="C1:C2" totalsRowShown="0" headerRowDxfId="550" dataDxfId="549">
  <autoFilter ref="C1:C2">
    <filterColumn colId="0" hiddenButton="1"/>
  </autoFilter>
  <tableColumns count="1">
    <tableColumn id="1" name="Тип Счета" dataDxfId="548"/>
  </tableColumns>
  <tableStyleInfo name="TableStyleLight16" showFirstColumn="0" showLastColumn="0" showRowStripes="1" showColumnStripes="0"/>
</table>
</file>

<file path=xl/tables/table41.xml><?xml version="1.0" encoding="utf-8"?>
<table xmlns="http://schemas.openxmlformats.org/spreadsheetml/2006/main" id="33" name="АвгустСиделка" displayName="АвгустСиделка" ref="E4:G5" totalsRowShown="0">
  <autoFilter ref="E4:G5">
    <filterColumn colId="0" hiddenButton="1"/>
    <filterColumn colId="1" hiddenButton="1"/>
    <filterColumn colId="2" hiddenButton="1"/>
  </autoFilter>
  <tableColumns count="3">
    <tableColumn id="1" name="Услуги" dataDxfId="547"/>
    <tableColumn id="2" name="б/пл."/>
    <tableColumn id="3" name="пл." dataDxfId="546"/>
  </tableColumns>
  <tableStyleInfo name="TableStyleLight15" showFirstColumn="0" showLastColumn="0" showRowStripes="1" showColumnStripes="0"/>
</table>
</file>

<file path=xl/tables/table42.xml><?xml version="1.0" encoding="utf-8"?>
<table xmlns="http://schemas.openxmlformats.org/spreadsheetml/2006/main" id="58" name="АвгустУслугиБС" displayName="АвгустУслугиБС" ref="I4:K9" totalsRowShown="0" headerRowDxfId="545" headerRowBorderDxfId="544" tableBorderDxfId="543" totalsRowBorderDxfId="542">
  <autoFilter ref="I4:K9">
    <filterColumn colId="0" hiddenButton="1"/>
    <filterColumn colId="1" hiddenButton="1"/>
    <filterColumn colId="2" hiddenButton="1"/>
  </autoFilter>
  <tableColumns count="3">
    <tableColumn id="1" name="Услуги" dataDxfId="541">
      <calculatedColumnFormula>АвгустУслуги[[#This Row],[Услуги]]</calculatedColumnFormula>
    </tableColumn>
    <tableColumn id="2" name="б/пл." dataDxfId="540">
      <calculatedColumnFormula>АвгустУслуги[[#This Row],[б/пл.]]</calculatedColumnFormula>
    </tableColumn>
    <tableColumn id="3" name="пл." dataDxfId="539">
      <calculatedColumnFormula>АвгустУслуги[[#This Row],[пл.]]</calculatedColumnFormula>
    </tableColumn>
  </tableColumns>
  <tableStyleInfo name="TableStyleLight15" showFirstColumn="0" showLastColumn="0" showRowStripes="1" showColumnStripes="0"/>
</table>
</file>

<file path=xl/tables/table43.xml><?xml version="1.0" encoding="utf-8"?>
<table xmlns="http://schemas.openxmlformats.org/spreadsheetml/2006/main" id="19" name="СентябрьУслуги" displayName="СентябрьУслуги" ref="A4:C9" totalsRowShown="0" headerRowDxfId="538" dataDxfId="537">
  <autoFilter ref="A4:C9">
    <filterColumn colId="0" hiddenButton="1"/>
    <filterColumn colId="1" hiddenButton="1"/>
    <filterColumn colId="2" hiddenButton="1"/>
  </autoFilter>
  <tableColumns count="3">
    <tableColumn id="1" name="Услуги" dataDxfId="536"/>
    <tableColumn id="2" name="б/пл." dataDxfId="535"/>
    <tableColumn id="3" name="пл." dataDxfId="534"/>
  </tableColumns>
  <tableStyleInfo name="TableStyleLight15" showFirstColumn="0" showLastColumn="0" showRowStripes="1" showColumnStripes="0"/>
</table>
</file>

<file path=xl/tables/table44.xml><?xml version="1.0" encoding="utf-8"?>
<table xmlns="http://schemas.openxmlformats.org/spreadsheetml/2006/main" id="20" name="СентябрьДанные" displayName="СентябрьДанные" ref="A11:AN12" totalsRowShown="0" headerRowDxfId="533" dataDxfId="532">
  <autoFilter ref="A11:AN12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</autoFilter>
  <tableColumns count="40">
    <tableColumn id="1" name="Соц. Работник" dataDxfId="531"/>
    <tableColumn id="2" name="Получатели ФИО" dataDxfId="530"/>
    <tableColumn id="3" name="Признак учета" dataDxfId="529"/>
    <tableColumn id="5" name="Итого" dataDxfId="528">
      <calculatedColumnFormula>SUM(INDIRECT(ADDRESS(ROW(АвгустДанные[[#This Row],[Итого]]),COLUMN(АвгустДанные[[#This Row],[Итого]])+2)):INDIRECT(ADDRESS(ROW(АвгустДанные[[#This Row],[Итого]]),COUNTA(АвгустДанные[#Headers]))))</calculatedColumnFormula>
    </tableColumn>
    <tableColumn id="6" name="Среднее кол-во услуг на 1 получ. Усл." dataDxfId="435">
      <calculatedColumnFormula>АвгустДанные[[#This Row],[Итого]]/COUNTIFS(АвгустДанные[Соц. Работник],АвгустДанные[[#This Row],[Соц. Работник]])</calculatedColumnFormula>
    </tableColumn>
    <tableColumn id="7" name="покупка продуктов" dataDxfId="394"/>
    <tableColumn id="9" name="помощь в приготовлении пищи" dataDxfId="393"/>
    <tableColumn id="10" name="кормление" dataDxfId="392"/>
    <tableColumn id="11" name="оплата коммунальныхи услуг и связи" dataDxfId="391"/>
    <tableColumn id="12" name="вынос мусора" dataDxfId="390"/>
    <tableColumn id="13" name="смена штор" dataDxfId="389"/>
    <tableColumn id="14" name="уборка б/у" dataDxfId="388"/>
    <tableColumn id="15" name="уборка с/у" dataDxfId="387"/>
    <tableColumn id="16" name="помывка в ванной" dataDxfId="386"/>
    <tableColumn id="17" name="смена постельного белья" dataDxfId="385"/>
    <tableColumn id="18" name="смена нательного белья" dataDxfId="384"/>
    <tableColumn id="19" name="обработка ногтей" dataDxfId="383"/>
    <tableColumn id="20" name="оказание помощи при стирке вещей" dataDxfId="382"/>
    <tableColumn id="21" name="стирка вещей" dataDxfId="381"/>
    <tableColumn id="22" name="доставка воды" dataDxfId="380"/>
    <tableColumn id="23" name="покупка топлива, топка печей" dataDxfId="379"/>
    <tableColumn id="24" name="сод-е в получении услуг в пр.торговли, КБО" dataDxfId="378"/>
    <tableColumn id="25" name="сод-е в организации ритуальных услуг" dataDxfId="377"/>
    <tableColumn id="26" name="присмотр за детьми" dataDxfId="376"/>
    <tableColumn id="27" name="письма" dataDxfId="375"/>
    <tableColumn id="28" name="снег" dataDxfId="374"/>
    <tableColumn id="29" name="вып. процедур, связанных с сохранением здоровья" dataDxfId="373"/>
    <tableColumn id="30" name="покупка лекарств, выписка рецептов" dataDxfId="372"/>
    <tableColumn id="31" name="сиделка" dataDxfId="371"/>
    <tableColumn id="32" name="сод-е в госпитализации" dataDxfId="370"/>
    <tableColumn id="33" name="сод-е сан-кур. лечение" dataDxfId="369"/>
    <tableColumn id="34" name="содействие в получ. тех. средств" dataDxfId="368"/>
    <tableColumn id="35" name="сод-е в провед. мед. обслед. (запись)" dataDxfId="367"/>
    <tableColumn id="36" name="консультирование по соц-мед.вопросам" dataDxfId="366"/>
    <tableColumn id="37" name="сод-е в прохождении МСЭ" dataDxfId="365"/>
    <tableColumn id="38" name="вызов врача на дом по телефону" dataDxfId="364"/>
    <tableColumn id="39" name="беседа" dataDxfId="363"/>
    <tableColumn id="40" name="соц-пед.услуги" dataDxfId="362"/>
    <tableColumn id="41" name="оказание помощи в оформлении документов" dataDxfId="361"/>
    <tableColumn id="42" name="помощь в получении юр.услуг" dataDxfId="360"/>
  </tableColumns>
  <tableStyleInfo name="Social" showFirstColumn="0" showLastColumn="0" showRowStripes="1" showColumnStripes="1"/>
</table>
</file>

<file path=xl/tables/table45.xml><?xml version="1.0" encoding="utf-8"?>
<table xmlns="http://schemas.openxmlformats.org/spreadsheetml/2006/main" id="36" name="СентябрьТипСчета" displayName="СентябрьТипСчета" ref="C1:C2" totalsRowShown="0" headerRowDxfId="527" dataDxfId="526">
  <autoFilter ref="C1:C2">
    <filterColumn colId="0" hiddenButton="1"/>
  </autoFilter>
  <tableColumns count="1">
    <tableColumn id="1" name="Тип Счета" dataDxfId="525"/>
  </tableColumns>
  <tableStyleInfo name="TableStyleLight16" showFirstColumn="0" showLastColumn="0" showRowStripes="1" showColumnStripes="0"/>
</table>
</file>

<file path=xl/tables/table46.xml><?xml version="1.0" encoding="utf-8"?>
<table xmlns="http://schemas.openxmlformats.org/spreadsheetml/2006/main" id="35" name="СентябрьСиделка" displayName="СентябрьСиделка" ref="E4:G5" totalsRowShown="0">
  <autoFilter ref="E4:G5">
    <filterColumn colId="0" hiddenButton="1"/>
    <filterColumn colId="1" hiddenButton="1"/>
    <filterColumn colId="2" hiddenButton="1"/>
  </autoFilter>
  <tableColumns count="3">
    <tableColumn id="1" name="Услуги" dataDxfId="524"/>
    <tableColumn id="2" name="б/пл."/>
    <tableColumn id="3" name="пл." dataDxfId="523"/>
  </tableColumns>
  <tableStyleInfo name="TableStyleLight15" showFirstColumn="0" showLastColumn="0" showRowStripes="1" showColumnStripes="0"/>
</table>
</file>

<file path=xl/tables/table47.xml><?xml version="1.0" encoding="utf-8"?>
<table xmlns="http://schemas.openxmlformats.org/spreadsheetml/2006/main" id="59" name="СентябрьУслугиБС" displayName="СентябрьУслугиБС" ref="I4:K9" totalsRowShown="0" headerRowDxfId="522" headerRowBorderDxfId="521" tableBorderDxfId="520" totalsRowBorderDxfId="519">
  <autoFilter ref="I4:K9">
    <filterColumn colId="0" hiddenButton="1"/>
    <filterColumn colId="1" hiddenButton="1"/>
    <filterColumn colId="2" hiddenButton="1"/>
  </autoFilter>
  <tableColumns count="3">
    <tableColumn id="1" name="Услуги" dataDxfId="518">
      <calculatedColumnFormula>СентябрьУслуги[[#This Row],[Услуги]]</calculatedColumnFormula>
    </tableColumn>
    <tableColumn id="2" name="б/пл." dataDxfId="517">
      <calculatedColumnFormula>СентябрьУслуги[[#This Row],[б/пл.]]</calculatedColumnFormula>
    </tableColumn>
    <tableColumn id="3" name="пл." dataDxfId="516">
      <calculatedColumnFormula>СентябрьУслуги[[#This Row],[пл.]]</calculatedColumnFormula>
    </tableColumn>
  </tableColumns>
  <tableStyleInfo name="TableStyleLight15" showFirstColumn="0" showLastColumn="0" showRowStripes="1" showColumnStripes="0"/>
</table>
</file>

<file path=xl/tables/table48.xml><?xml version="1.0" encoding="utf-8"?>
<table xmlns="http://schemas.openxmlformats.org/spreadsheetml/2006/main" id="21" name="ОктябрьУслуги" displayName="ОктябрьУслуги" ref="A4:C9" totalsRowShown="0" headerRowDxfId="515" dataDxfId="514">
  <autoFilter ref="A4:C9">
    <filterColumn colId="0" hiddenButton="1"/>
    <filterColumn colId="1" hiddenButton="1"/>
    <filterColumn colId="2" hiddenButton="1"/>
  </autoFilter>
  <tableColumns count="3">
    <tableColumn id="1" name="Услуги" dataDxfId="513"/>
    <tableColumn id="2" name="б/пл." dataDxfId="512"/>
    <tableColumn id="3" name="пл." dataDxfId="511"/>
  </tableColumns>
  <tableStyleInfo name="TableStyleLight15" showFirstColumn="0" showLastColumn="0" showRowStripes="1" showColumnStripes="0"/>
</table>
</file>

<file path=xl/tables/table49.xml><?xml version="1.0" encoding="utf-8"?>
<table xmlns="http://schemas.openxmlformats.org/spreadsheetml/2006/main" id="22" name="ОктябрьДанные" displayName="ОктябрьДанные" ref="A11:AN12" totalsRowShown="0" headerRowDxfId="510" dataDxfId="509">
  <autoFilter ref="A11:AN12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</autoFilter>
  <tableColumns count="40">
    <tableColumn id="1" name="Соц. Работник" dataDxfId="433"/>
    <tableColumn id="2" name="Получатели ФИО" dataDxfId="432"/>
    <tableColumn id="3" name="Признак учета" dataDxfId="431"/>
    <tableColumn id="5" name="Итого" dataDxfId="508">
      <calculatedColumnFormula>SUM(INDIRECT(ADDRESS(ROW(ОктябрьДанные[[#This Row],[Итого]]),COLUMN(ОктябрьДанные[[#This Row],[Итого]])+2)):INDIRECT(ADDRESS(ROW(ОктябрьДанные[[#This Row],[Итого]]),COUNTA(ОктябрьДанные[#Headers]))))</calculatedColumnFormula>
    </tableColumn>
    <tableColumn id="6" name="Среднее кол-во услуг на 1 получ. Усл." dataDxfId="430">
      <calculatedColumnFormula>ОктябрьДанные[[#This Row],[Итого]]/COUNTIFS(ОктябрьДанные[Соц. Работник],ОктябрьДанные[[#This Row],[Соц. Работник]])</calculatedColumnFormula>
    </tableColumn>
    <tableColumn id="7" name="покупка продуктов" dataDxfId="429"/>
    <tableColumn id="9" name="помощь в приготовлении пищи" dataDxfId="428"/>
    <tableColumn id="10" name="кормление" dataDxfId="427"/>
    <tableColumn id="11" name="оплата коммунальныхи услуг и связи" dataDxfId="426"/>
    <tableColumn id="12" name="вынос мусора" dataDxfId="425"/>
    <tableColumn id="13" name="смена штор" dataDxfId="424"/>
    <tableColumn id="14" name="уборка б/у" dataDxfId="423"/>
    <tableColumn id="15" name="уборка с/у" dataDxfId="422"/>
    <tableColumn id="16" name="помывка в ванной" dataDxfId="421"/>
    <tableColumn id="17" name="смена постельного белья" dataDxfId="420"/>
    <tableColumn id="18" name="смена нательного белья" dataDxfId="419"/>
    <tableColumn id="19" name="обработка ногтей" dataDxfId="418"/>
    <tableColumn id="20" name="оказание помощи при стирке вещей" dataDxfId="417"/>
    <tableColumn id="21" name="стирка вещей" dataDxfId="416"/>
    <tableColumn id="22" name="доставка воды" dataDxfId="415"/>
    <tableColumn id="23" name="покупка топлива, топка печей" dataDxfId="414"/>
    <tableColumn id="24" name="сод-е в получении услуг в пр.торговли, КБО" dataDxfId="413"/>
    <tableColumn id="25" name="сод-е в организации ритуальных услуг" dataDxfId="412"/>
    <tableColumn id="26" name="присмотр за детьми" dataDxfId="411"/>
    <tableColumn id="27" name="письма" dataDxfId="410"/>
    <tableColumn id="28" name="снег" dataDxfId="409"/>
    <tableColumn id="29" name="вып. процедур, связанных с сохранением здоровья" dataDxfId="408"/>
    <tableColumn id="30" name="покупка лекарств, выписка рецептов" dataDxfId="407"/>
    <tableColumn id="31" name="сиделка" dataDxfId="406"/>
    <tableColumn id="32" name="сод-е в госпитализации" dataDxfId="405"/>
    <tableColumn id="33" name="сод-е сан-кур. лечение" dataDxfId="404"/>
    <tableColumn id="34" name="содействие в получ. тех. средств" dataDxfId="403"/>
    <tableColumn id="35" name="сод-е в провед. мед. обслед. (запись)" dataDxfId="402"/>
    <tableColumn id="36" name="консультирование по соц-мед.вопросам" dataDxfId="401"/>
    <tableColumn id="37" name="сод-е в прохождении МСЭ" dataDxfId="400"/>
    <tableColumn id="38" name="вызов врача на дом по телефону" dataDxfId="399"/>
    <tableColumn id="39" name="беседа" dataDxfId="398"/>
    <tableColumn id="40" name="соц-пед.услуги" dataDxfId="397"/>
    <tableColumn id="41" name="оказание помощи в оформлении документов" dataDxfId="396"/>
    <tableColumn id="42" name="помощь в получении юр.услуг" dataDxfId="395"/>
  </tableColumns>
  <tableStyleInfo name="Social" showFirstColumn="0" showLastColumn="0" showRowStripes="1" showColumnStripes="1"/>
</table>
</file>

<file path=xl/tables/table50.xml><?xml version="1.0" encoding="utf-8"?>
<table xmlns="http://schemas.openxmlformats.org/spreadsheetml/2006/main" id="37" name="ОктябрьТипСчета" displayName="ОктябрьТипСчета" ref="C1:C2" totalsRowShown="0" headerRowDxfId="507" dataDxfId="506">
  <autoFilter ref="C1:C2">
    <filterColumn colId="0" hiddenButton="1"/>
  </autoFilter>
  <tableColumns count="1">
    <tableColumn id="1" name="Тип Счета" dataDxfId="505"/>
  </tableColumns>
  <tableStyleInfo name="TableStyleLight16" showFirstColumn="0" showLastColumn="0" showRowStripes="1" showColumnStripes="0"/>
</table>
</file>

<file path=xl/tables/table51.xml><?xml version="1.0" encoding="utf-8"?>
<table xmlns="http://schemas.openxmlformats.org/spreadsheetml/2006/main" id="48" name="ОктябрьСиделка" displayName="ОктябрьСиделка" ref="E4:G5" totalsRowShown="0">
  <autoFilter ref="E4:G5">
    <filterColumn colId="0" hiddenButton="1"/>
    <filterColumn colId="1" hiddenButton="1"/>
    <filterColumn colId="2" hiddenButton="1"/>
  </autoFilter>
  <tableColumns count="3">
    <tableColumn id="1" name="Услуги" dataDxfId="504"/>
    <tableColumn id="2" name="б/пл."/>
    <tableColumn id="3" name="пл." dataDxfId="503"/>
  </tableColumns>
  <tableStyleInfo name="TableStyleLight15" showFirstColumn="0" showLastColumn="0" showRowStripes="1" showColumnStripes="0"/>
</table>
</file>

<file path=xl/tables/table52.xml><?xml version="1.0" encoding="utf-8"?>
<table xmlns="http://schemas.openxmlformats.org/spreadsheetml/2006/main" id="60" name="ОктябрьУслугиБС" displayName="ОктябрьУслугиБС" ref="I4:K9" totalsRowShown="0" headerRowDxfId="502" headerRowBorderDxfId="501" tableBorderDxfId="500" totalsRowBorderDxfId="499">
  <autoFilter ref="I4:K9">
    <filterColumn colId="0" hiddenButton="1"/>
    <filterColumn colId="1" hiddenButton="1"/>
    <filterColumn colId="2" hiddenButton="1"/>
  </autoFilter>
  <tableColumns count="3">
    <tableColumn id="1" name="Услуги" dataDxfId="498">
      <calculatedColumnFormula>ОктябрьУслуги[[#This Row],[Услуги]]</calculatedColumnFormula>
    </tableColumn>
    <tableColumn id="2" name="б/пл." dataDxfId="497">
      <calculatedColumnFormula>ОктябрьУслуги[[#This Row],[б/пл.]]</calculatedColumnFormula>
    </tableColumn>
    <tableColumn id="3" name="пл." dataDxfId="496">
      <calculatedColumnFormula>ОктябрьУслуги[[#This Row],[пл.]]</calculatedColumnFormula>
    </tableColumn>
  </tableColumns>
  <tableStyleInfo name="TableStyleLight15" showFirstColumn="0" showLastColumn="0" showRowStripes="1" showColumnStripes="0"/>
</table>
</file>

<file path=xl/tables/table53.xml><?xml version="1.0" encoding="utf-8"?>
<table xmlns="http://schemas.openxmlformats.org/spreadsheetml/2006/main" id="23" name="НоябрьУслуги" displayName="НоябрьУслуги" ref="A4:C9" totalsRowShown="0" headerRowDxfId="495" dataDxfId="494">
  <autoFilter ref="A4:C9">
    <filterColumn colId="0" hiddenButton="1"/>
    <filterColumn colId="1" hiddenButton="1"/>
    <filterColumn colId="2" hiddenButton="1"/>
  </autoFilter>
  <tableColumns count="3">
    <tableColumn id="1" name="Услуги" dataDxfId="493"/>
    <tableColumn id="2" name="б/пл." dataDxfId="492"/>
    <tableColumn id="3" name="пл." dataDxfId="491"/>
  </tableColumns>
  <tableStyleInfo name="TableStyleLight15" showFirstColumn="0" showLastColumn="0" showRowStripes="1" showColumnStripes="0"/>
</table>
</file>

<file path=xl/tables/table54.xml><?xml version="1.0" encoding="utf-8"?>
<table xmlns="http://schemas.openxmlformats.org/spreadsheetml/2006/main" id="24" name="НоябрьДанные" displayName="НоябрьДанные" ref="A11:AN12" totalsRowShown="0" headerRowDxfId="490" dataDxfId="489">
  <autoFilter ref="A11:AN12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</autoFilter>
  <tableColumns count="40">
    <tableColumn id="1" name="Соц. Работник" dataDxfId="78"/>
    <tableColumn id="2" name="Получатели ФИО" dataDxfId="77"/>
    <tableColumn id="3" name="Признак учета" dataDxfId="76"/>
    <tableColumn id="5" name="Итого" dataDxfId="488">
      <calculatedColumnFormula>SUM(INDIRECT(ADDRESS(ROW(НоябрьДанные[[#This Row],[Итого]]),COLUMN(НоябрьДанные[[#This Row],[Итого]])+2)):INDIRECT(ADDRESS(ROW(НоябрьДанные[[#This Row],[Итого]]),COUNTA(НоябрьДанные[#Headers]))))</calculatedColumnFormula>
    </tableColumn>
    <tableColumn id="6" name="Среднее кол-во услуг на 1 получ. Усл." dataDxfId="75">
      <calculatedColumnFormula>НоябрьДанные[[#This Row],[Итого]]/COUNTIFS(НоябрьДанные[Соц. Работник],НоябрьДанные[[#This Row],[Соц. Работник]])</calculatedColumnFormula>
    </tableColumn>
    <tableColumn id="7" name="покупка продуктов" dataDxfId="74"/>
    <tableColumn id="9" name="помощь в приготовлении пищи" dataDxfId="73"/>
    <tableColumn id="10" name="кормление" dataDxfId="72"/>
    <tableColumn id="11" name="оплата коммунальныхи услуг и связи" dataDxfId="71"/>
    <tableColumn id="12" name="вынос мусора" dataDxfId="70"/>
    <tableColumn id="13" name="смена штор" dataDxfId="69"/>
    <tableColumn id="14" name="уборка б/у" dataDxfId="68"/>
    <tableColumn id="15" name="уборка с/у" dataDxfId="67"/>
    <tableColumn id="16" name="помывка в ванной" dataDxfId="66"/>
    <tableColumn id="17" name="смена постельного белья" dataDxfId="65"/>
    <tableColumn id="18" name="смена нательного белья" dataDxfId="64"/>
    <tableColumn id="19" name="обработка ногтей" dataDxfId="63"/>
    <tableColumn id="20" name="оказание помощи при стирке вещей" dataDxfId="62"/>
    <tableColumn id="21" name="стирка вещей" dataDxfId="61"/>
    <tableColumn id="22" name="доставка воды" dataDxfId="60"/>
    <tableColumn id="23" name="покупка топлива, топка печей" dataDxfId="59"/>
    <tableColumn id="24" name="сод-е в получении услуг в пр.торговли, КБО" dataDxfId="58"/>
    <tableColumn id="25" name="сод-е в организации ритуальных услуг" dataDxfId="57"/>
    <tableColumn id="26" name="присмотр за детьми" dataDxfId="56"/>
    <tableColumn id="27" name="письма" dataDxfId="55"/>
    <tableColumn id="28" name="снег" dataDxfId="54"/>
    <tableColumn id="29" name="вып. процедур, связанных с сохранением здоровья" dataDxfId="53"/>
    <tableColumn id="30" name="покупка лекарств, выписка рецептов" dataDxfId="52"/>
    <tableColumn id="31" name="сиделка" dataDxfId="51"/>
    <tableColumn id="32" name="сод-е в госпитализации" dataDxfId="50"/>
    <tableColumn id="33" name="сод-е сан-кур. лечение" dataDxfId="49"/>
    <tableColumn id="34" name="содействие в получ. тех. средств" dataDxfId="48"/>
    <tableColumn id="35" name="сод-е в провед. мед. обслед. (запись)" dataDxfId="47"/>
    <tableColumn id="36" name="консультирование по соц-мед.вопросам" dataDxfId="46"/>
    <tableColumn id="37" name="сод-е в прохождении МСЭ" dataDxfId="45"/>
    <tableColumn id="38" name="вызов врача на дом по телефону" dataDxfId="44"/>
    <tableColumn id="39" name="беседа" dataDxfId="43"/>
    <tableColumn id="40" name="соц-пед.услуги" dataDxfId="42"/>
    <tableColumn id="41" name="оказание помощи в оформлении документов" dataDxfId="41"/>
    <tableColumn id="42" name="помощь в получении юр.услуг" dataDxfId="40"/>
  </tableColumns>
  <tableStyleInfo name="Social" showFirstColumn="0" showLastColumn="0" showRowStripes="1" showColumnStripes="1"/>
</table>
</file>

<file path=xl/tables/table55.xml><?xml version="1.0" encoding="utf-8"?>
<table xmlns="http://schemas.openxmlformats.org/spreadsheetml/2006/main" id="38" name="НоябрьТипСчета" displayName="НоябрьТипСчета" ref="C1:C2" totalsRowShown="0" headerRowDxfId="487" dataDxfId="486">
  <autoFilter ref="C1:C2">
    <filterColumn colId="0" hiddenButton="1"/>
  </autoFilter>
  <tableColumns count="1">
    <tableColumn id="1" name="Тип Счета" dataDxfId="485"/>
  </tableColumns>
  <tableStyleInfo name="TableStyleLight16" showFirstColumn="0" showLastColumn="0" showRowStripes="1" showColumnStripes="0"/>
</table>
</file>

<file path=xl/tables/table56.xml><?xml version="1.0" encoding="utf-8"?>
<table xmlns="http://schemas.openxmlformats.org/spreadsheetml/2006/main" id="49" name="НоябрьСиделка" displayName="НоябрьСиделка" ref="E4:G5" totalsRowShown="0">
  <autoFilter ref="E4:G5">
    <filterColumn colId="0" hiddenButton="1"/>
    <filterColumn colId="1" hiddenButton="1"/>
    <filterColumn colId="2" hiddenButton="1"/>
  </autoFilter>
  <tableColumns count="3">
    <tableColumn id="1" name="Услуги" dataDxfId="484"/>
    <tableColumn id="2" name="б/пл."/>
    <tableColumn id="3" name="пл." dataDxfId="483"/>
  </tableColumns>
  <tableStyleInfo name="TableStyleLight15" showFirstColumn="0" showLastColumn="0" showRowStripes="1" showColumnStripes="0"/>
</table>
</file>

<file path=xl/tables/table57.xml><?xml version="1.0" encoding="utf-8"?>
<table xmlns="http://schemas.openxmlformats.org/spreadsheetml/2006/main" id="61" name="НоябрьУслугиБС" displayName="НоябрьУслугиБС" ref="I4:K9" totalsRowShown="0" headerRowDxfId="482" headerRowBorderDxfId="481" tableBorderDxfId="480" totalsRowBorderDxfId="479">
  <autoFilter ref="I4:K9">
    <filterColumn colId="0" hiddenButton="1"/>
    <filterColumn colId="1" hiddenButton="1"/>
    <filterColumn colId="2" hiddenButton="1"/>
  </autoFilter>
  <tableColumns count="3">
    <tableColumn id="1" name="Услуги" dataDxfId="478">
      <calculatedColumnFormula>НоябрьУслуги[[#This Row],[Услуги]]</calculatedColumnFormula>
    </tableColumn>
    <tableColumn id="2" name="б/пл." dataDxfId="477">
      <calculatedColumnFormula>НоябрьУслуги[[#This Row],[б/пл.]]</calculatedColumnFormula>
    </tableColumn>
    <tableColumn id="3" name="пл." dataDxfId="476">
      <calculatedColumnFormula>НоябрьУслуги[[#This Row],[пл.]]</calculatedColumnFormula>
    </tableColumn>
  </tableColumns>
  <tableStyleInfo name="TableStyleLight15" showFirstColumn="0" showLastColumn="0" showRowStripes="1" showColumnStripes="0"/>
</table>
</file>

<file path=xl/tables/table58.xml><?xml version="1.0" encoding="utf-8"?>
<table xmlns="http://schemas.openxmlformats.org/spreadsheetml/2006/main" id="25" name="ДекабрьУслуги" displayName="ДекабрьУслуги" ref="A4:C9" totalsRowShown="0" headerRowDxfId="475" dataDxfId="474">
  <autoFilter ref="A4:C9">
    <filterColumn colId="0" hiddenButton="1"/>
    <filterColumn colId="1" hiddenButton="1"/>
    <filterColumn colId="2" hiddenButton="1"/>
  </autoFilter>
  <tableColumns count="3">
    <tableColumn id="1" name="Услуги" dataDxfId="473"/>
    <tableColumn id="2" name="б/пл." dataDxfId="472"/>
    <tableColumn id="3" name="пл." dataDxfId="471"/>
  </tableColumns>
  <tableStyleInfo name="TableStyleLight15" showFirstColumn="0" showLastColumn="0" showRowStripes="1" showColumnStripes="0"/>
</table>
</file>

<file path=xl/tables/table59.xml><?xml version="1.0" encoding="utf-8"?>
<table xmlns="http://schemas.openxmlformats.org/spreadsheetml/2006/main" id="26" name="ДекабрьДанные" displayName="ДекабрьДанные" ref="A11:AN12" totalsRowShown="0" headerRowDxfId="470" dataDxfId="469">
  <autoFilter ref="A11:AN12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</autoFilter>
  <tableColumns count="40">
    <tableColumn id="1" name="Соц. Работник" dataDxfId="38"/>
    <tableColumn id="2" name="Получатели ФИО" dataDxfId="37"/>
    <tableColumn id="3" name="Признак учета" dataDxfId="36"/>
    <tableColumn id="5" name="Итого" dataDxfId="468">
      <calculatedColumnFormula>SUM(INDIRECT(ADDRESS(ROW(ДекабрьДанные[[#This Row],[Итого]]),COLUMN(ДекабрьДанные[[#This Row],[Итого]])+2)):INDIRECT(ADDRESS(ROW(ДекабрьДанные[[#This Row],[Итого]]),COUNTA(ДекабрьДанные[#Headers]))))</calculatedColumnFormula>
    </tableColumn>
    <tableColumn id="6" name="Среднее кол-во услуг на 1 получ. Усл." dataDxfId="35">
      <calculatedColumnFormula>ДекабрьДанные[[#This Row],[Итого]]/COUNTIFS(ДекабрьДанные[Соц. Работник],ДекабрьДанные[[#This Row],[Соц. Работник]])</calculatedColumnFormula>
    </tableColumn>
    <tableColumn id="7" name="покупка продуктов" dataDxfId="34"/>
    <tableColumn id="9" name="помощь в приготовлении пищи" dataDxfId="33"/>
    <tableColumn id="10" name="кормление" dataDxfId="32"/>
    <tableColumn id="11" name="оплата коммунальныхи услуг и связи" dataDxfId="31"/>
    <tableColumn id="12" name="вынос мусора" dataDxfId="30"/>
    <tableColumn id="13" name="смена штор" dataDxfId="29"/>
    <tableColumn id="14" name="уборка б/у" dataDxfId="28"/>
    <tableColumn id="15" name="уборка с/у" dataDxfId="27"/>
    <tableColumn id="16" name="помывка в ванной" dataDxfId="26"/>
    <tableColumn id="17" name="смена постельного белья" dataDxfId="25"/>
    <tableColumn id="18" name="смена нательного белья" dataDxfId="24"/>
    <tableColumn id="19" name="обработка ногтей" dataDxfId="23"/>
    <tableColumn id="20" name="оказание помощи при стирке вещей" dataDxfId="22"/>
    <tableColumn id="21" name="стирка вещей" dataDxfId="21"/>
    <tableColumn id="22" name="доставка воды" dataDxfId="20"/>
    <tableColumn id="23" name="покупка топлива, топка печей" dataDxfId="19"/>
    <tableColumn id="24" name="сод-е в получении услуг в пр.торговли, КБО" dataDxfId="18"/>
    <tableColumn id="25" name="сод-е в организации ритуальных услуг" dataDxfId="17"/>
    <tableColumn id="26" name="присмотр за детьми" dataDxfId="16"/>
    <tableColumn id="27" name="письма" dataDxfId="15"/>
    <tableColumn id="28" name="снег" dataDxfId="14"/>
    <tableColumn id="29" name="вып. процедур, связанных с сохранением здоровья" dataDxfId="13"/>
    <tableColumn id="30" name="покупка лекарств, выписка рецептов" dataDxfId="12"/>
    <tableColumn id="31" name="сиделка" dataDxfId="11"/>
    <tableColumn id="32" name="сод-е в госпитализации" dataDxfId="10"/>
    <tableColumn id="33" name="сод-е сан-кур. лечение" dataDxfId="9"/>
    <tableColumn id="34" name="содействие в получ. тех. средств" dataDxfId="8"/>
    <tableColumn id="35" name="сод-е в провед. мед. обслед. (запись)" dataDxfId="7"/>
    <tableColumn id="36" name="консультирование по соц-мед.вопросам" dataDxfId="6"/>
    <tableColumn id="37" name="сод-е в прохождении МСЭ" dataDxfId="5"/>
    <tableColumn id="38" name="вызов врача на дом по телефону" dataDxfId="4"/>
    <tableColumn id="39" name="беседа" dataDxfId="3"/>
    <tableColumn id="40" name="соц-пед.услуги" dataDxfId="2"/>
    <tableColumn id="41" name="оказание помощи в оформлении документов" dataDxfId="1"/>
    <tableColumn id="42" name="помощь в получении юр.услуг" dataDxfId="0"/>
  </tableColumns>
  <tableStyleInfo name="Social" showFirstColumn="0" showLastColumn="0" showRowStripes="1" showColumnStripes="1"/>
</table>
</file>

<file path=xl/tables/table60.xml><?xml version="1.0" encoding="utf-8"?>
<table xmlns="http://schemas.openxmlformats.org/spreadsheetml/2006/main" id="39" name="ДекабрьТипСчета" displayName="ДекабрьТипСчета" ref="C1:C2" totalsRowShown="0" headerRowDxfId="467" dataDxfId="466">
  <autoFilter ref="C1:C2">
    <filterColumn colId="0" hiddenButton="1"/>
  </autoFilter>
  <tableColumns count="1">
    <tableColumn id="1" name="Тип Счета" dataDxfId="465"/>
  </tableColumns>
  <tableStyleInfo name="TableStyleLight16" showFirstColumn="0" showLastColumn="0" showRowStripes="1" showColumnStripes="0"/>
</table>
</file>

<file path=xl/tables/table61.xml><?xml version="1.0" encoding="utf-8"?>
<table xmlns="http://schemas.openxmlformats.org/spreadsheetml/2006/main" id="50" name="ДекабрьСиделка" displayName="ДекабрьСиделка" ref="E4:G5" totalsRowShown="0">
  <autoFilter ref="E4:G5">
    <filterColumn colId="0" hiddenButton="1"/>
    <filterColumn colId="1" hiddenButton="1"/>
    <filterColumn colId="2" hiddenButton="1"/>
  </autoFilter>
  <tableColumns count="3">
    <tableColumn id="1" name="Услуги" dataDxfId="464"/>
    <tableColumn id="2" name="б/пл."/>
    <tableColumn id="3" name="пл." dataDxfId="463"/>
  </tableColumns>
  <tableStyleInfo name="TableStyleLight15" showFirstColumn="0" showLastColumn="0" showRowStripes="1" showColumnStripes="0"/>
</table>
</file>

<file path=xl/tables/table62.xml><?xml version="1.0" encoding="utf-8"?>
<table xmlns="http://schemas.openxmlformats.org/spreadsheetml/2006/main" id="62" name="ДекабрьУслугиБС" displayName="ДекабрьУслугиБС" ref="I4:K9" totalsRowShown="0" headerRowDxfId="462" headerRowBorderDxfId="461" tableBorderDxfId="460" totalsRowBorderDxfId="459">
  <autoFilter ref="I4:K9">
    <filterColumn colId="0" hiddenButton="1"/>
    <filterColumn colId="1" hiddenButton="1"/>
    <filterColumn colId="2" hiddenButton="1"/>
  </autoFilter>
  <tableColumns count="3">
    <tableColumn id="1" name="Услуги" dataDxfId="458">
      <calculatedColumnFormula>ДекабрьУслуги[[#This Row],[Услуги]]</calculatedColumnFormula>
    </tableColumn>
    <tableColumn id="2" name="б/пл." dataDxfId="457">
      <calculatedColumnFormula>ДекабрьУслуги[[#This Row],[б/пл.]]</calculatedColumnFormula>
    </tableColumn>
    <tableColumn id="3" name="пл." dataDxfId="456">
      <calculatedColumnFormula>ДекабрьУслуги[[#This Row],[пл.]]</calculatedColumnFormula>
    </tableColumn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8" Type="http://schemas.microsoft.com/office/2007/relationships/slicer" Target="../slicers/slicer1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8" Type="http://schemas.microsoft.com/office/2007/relationships/slicer" Target="../slicers/slicer2.xml"/><Relationship Id="rId3" Type="http://schemas.openxmlformats.org/officeDocument/2006/relationships/table" Target="../tables/table8.xml"/><Relationship Id="rId7" Type="http://schemas.openxmlformats.org/officeDocument/2006/relationships/table" Target="../tables/table1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1.xml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8" Type="http://schemas.microsoft.com/office/2007/relationships/slicer" Target="../slicers/slicer3.xml"/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_rels/sheet11.xml.rels><?xml version="1.0" encoding="UTF-8" standalone="yes"?>
<Relationships xmlns="http://schemas.openxmlformats.org/package/2006/relationships"><Relationship Id="rId8" Type="http://schemas.microsoft.com/office/2007/relationships/slicer" Target="../slicers/slicer4.xml"/><Relationship Id="rId3" Type="http://schemas.openxmlformats.org/officeDocument/2006/relationships/table" Target="../tables/table18.xml"/><Relationship Id="rId7" Type="http://schemas.openxmlformats.org/officeDocument/2006/relationships/table" Target="../tables/table2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21.xml"/><Relationship Id="rId5" Type="http://schemas.openxmlformats.org/officeDocument/2006/relationships/table" Target="../tables/table20.xml"/><Relationship Id="rId4" Type="http://schemas.openxmlformats.org/officeDocument/2006/relationships/table" Target="../tables/table19.xml"/></Relationships>
</file>

<file path=xl/worksheets/_rels/sheet12.xml.rels><?xml version="1.0" encoding="UTF-8" standalone="yes"?>
<Relationships xmlns="http://schemas.openxmlformats.org/package/2006/relationships"><Relationship Id="rId8" Type="http://schemas.microsoft.com/office/2007/relationships/slicer" Target="../slicers/slicer5.xml"/><Relationship Id="rId3" Type="http://schemas.openxmlformats.org/officeDocument/2006/relationships/table" Target="../tables/table23.xml"/><Relationship Id="rId7" Type="http://schemas.openxmlformats.org/officeDocument/2006/relationships/table" Target="../tables/table27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26.xml"/><Relationship Id="rId5" Type="http://schemas.openxmlformats.org/officeDocument/2006/relationships/table" Target="../tables/table25.xml"/><Relationship Id="rId4" Type="http://schemas.openxmlformats.org/officeDocument/2006/relationships/table" Target="../tables/table24.xml"/></Relationships>
</file>

<file path=xl/worksheets/_rels/sheet13.xml.rels><?xml version="1.0" encoding="UTF-8" standalone="yes"?>
<Relationships xmlns="http://schemas.openxmlformats.org/package/2006/relationships"><Relationship Id="rId8" Type="http://schemas.microsoft.com/office/2007/relationships/slicer" Target="../slicers/slicer6.xml"/><Relationship Id="rId3" Type="http://schemas.openxmlformats.org/officeDocument/2006/relationships/table" Target="../tables/table28.xml"/><Relationship Id="rId7" Type="http://schemas.openxmlformats.org/officeDocument/2006/relationships/table" Target="../tables/table32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31.xml"/><Relationship Id="rId5" Type="http://schemas.openxmlformats.org/officeDocument/2006/relationships/table" Target="../tables/table30.xml"/><Relationship Id="rId4" Type="http://schemas.openxmlformats.org/officeDocument/2006/relationships/table" Target="../tables/table29.xml"/></Relationships>
</file>

<file path=xl/worksheets/_rels/sheet14.xml.rels><?xml version="1.0" encoding="UTF-8" standalone="yes"?>
<Relationships xmlns="http://schemas.openxmlformats.org/package/2006/relationships"><Relationship Id="rId8" Type="http://schemas.microsoft.com/office/2007/relationships/slicer" Target="../slicers/slicer7.xml"/><Relationship Id="rId3" Type="http://schemas.openxmlformats.org/officeDocument/2006/relationships/table" Target="../tables/table33.xml"/><Relationship Id="rId7" Type="http://schemas.openxmlformats.org/officeDocument/2006/relationships/table" Target="../tables/table3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Relationship Id="rId6" Type="http://schemas.openxmlformats.org/officeDocument/2006/relationships/table" Target="../tables/table36.xml"/><Relationship Id="rId5" Type="http://schemas.openxmlformats.org/officeDocument/2006/relationships/table" Target="../tables/table35.xml"/><Relationship Id="rId4" Type="http://schemas.openxmlformats.org/officeDocument/2006/relationships/table" Target="../tables/table34.xml"/></Relationships>
</file>

<file path=xl/worksheets/_rels/sheet15.xml.rels><?xml version="1.0" encoding="UTF-8" standalone="yes"?>
<Relationships xmlns="http://schemas.openxmlformats.org/package/2006/relationships"><Relationship Id="rId8" Type="http://schemas.microsoft.com/office/2007/relationships/slicer" Target="../slicers/slicer8.xml"/><Relationship Id="rId3" Type="http://schemas.openxmlformats.org/officeDocument/2006/relationships/table" Target="../tables/table38.xml"/><Relationship Id="rId7" Type="http://schemas.openxmlformats.org/officeDocument/2006/relationships/table" Target="../tables/table42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2.bin"/><Relationship Id="rId6" Type="http://schemas.openxmlformats.org/officeDocument/2006/relationships/table" Target="../tables/table41.xml"/><Relationship Id="rId5" Type="http://schemas.openxmlformats.org/officeDocument/2006/relationships/table" Target="../tables/table40.xml"/><Relationship Id="rId4" Type="http://schemas.openxmlformats.org/officeDocument/2006/relationships/table" Target="../tables/table39.xml"/></Relationships>
</file>

<file path=xl/worksheets/_rels/sheet16.xml.rels><?xml version="1.0" encoding="UTF-8" standalone="yes"?>
<Relationships xmlns="http://schemas.openxmlformats.org/package/2006/relationships"><Relationship Id="rId8" Type="http://schemas.microsoft.com/office/2007/relationships/slicer" Target="../slicers/slicer9.xml"/><Relationship Id="rId3" Type="http://schemas.openxmlformats.org/officeDocument/2006/relationships/table" Target="../tables/table43.xml"/><Relationship Id="rId7" Type="http://schemas.openxmlformats.org/officeDocument/2006/relationships/table" Target="../tables/table47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3.bin"/><Relationship Id="rId6" Type="http://schemas.openxmlformats.org/officeDocument/2006/relationships/table" Target="../tables/table46.xml"/><Relationship Id="rId5" Type="http://schemas.openxmlformats.org/officeDocument/2006/relationships/table" Target="../tables/table45.xml"/><Relationship Id="rId4" Type="http://schemas.openxmlformats.org/officeDocument/2006/relationships/table" Target="../tables/table44.xml"/></Relationships>
</file>

<file path=xl/worksheets/_rels/sheet17.xml.rels><?xml version="1.0" encoding="UTF-8" standalone="yes"?>
<Relationships xmlns="http://schemas.openxmlformats.org/package/2006/relationships"><Relationship Id="rId8" Type="http://schemas.microsoft.com/office/2007/relationships/slicer" Target="../slicers/slicer10.xml"/><Relationship Id="rId3" Type="http://schemas.openxmlformats.org/officeDocument/2006/relationships/table" Target="../tables/table48.xml"/><Relationship Id="rId7" Type="http://schemas.openxmlformats.org/officeDocument/2006/relationships/table" Target="../tables/table5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4.bin"/><Relationship Id="rId6" Type="http://schemas.openxmlformats.org/officeDocument/2006/relationships/table" Target="../tables/table51.xml"/><Relationship Id="rId5" Type="http://schemas.openxmlformats.org/officeDocument/2006/relationships/table" Target="../tables/table50.xml"/><Relationship Id="rId4" Type="http://schemas.openxmlformats.org/officeDocument/2006/relationships/table" Target="../tables/table49.xml"/></Relationships>
</file>

<file path=xl/worksheets/_rels/sheet18.xml.rels><?xml version="1.0" encoding="UTF-8" standalone="yes"?>
<Relationships xmlns="http://schemas.openxmlformats.org/package/2006/relationships"><Relationship Id="rId8" Type="http://schemas.microsoft.com/office/2007/relationships/slicer" Target="../slicers/slicer11.xml"/><Relationship Id="rId3" Type="http://schemas.openxmlformats.org/officeDocument/2006/relationships/table" Target="../tables/table53.xml"/><Relationship Id="rId7" Type="http://schemas.openxmlformats.org/officeDocument/2006/relationships/table" Target="../tables/table57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5.bin"/><Relationship Id="rId6" Type="http://schemas.openxmlformats.org/officeDocument/2006/relationships/table" Target="../tables/table56.xml"/><Relationship Id="rId5" Type="http://schemas.openxmlformats.org/officeDocument/2006/relationships/table" Target="../tables/table55.xml"/><Relationship Id="rId4" Type="http://schemas.openxmlformats.org/officeDocument/2006/relationships/table" Target="../tables/table54.xml"/></Relationships>
</file>

<file path=xl/worksheets/_rels/sheet19.xml.rels><?xml version="1.0" encoding="UTF-8" standalone="yes"?>
<Relationships xmlns="http://schemas.openxmlformats.org/package/2006/relationships"><Relationship Id="rId8" Type="http://schemas.microsoft.com/office/2007/relationships/slicer" Target="../slicers/slicer12.xml"/><Relationship Id="rId3" Type="http://schemas.openxmlformats.org/officeDocument/2006/relationships/table" Target="../tables/table58.xml"/><Relationship Id="rId7" Type="http://schemas.openxmlformats.org/officeDocument/2006/relationships/table" Target="../tables/table62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6.bin"/><Relationship Id="rId6" Type="http://schemas.openxmlformats.org/officeDocument/2006/relationships/table" Target="../tables/table61.xml"/><Relationship Id="rId5" Type="http://schemas.openxmlformats.org/officeDocument/2006/relationships/table" Target="../tables/table60.xml"/><Relationship Id="rId4" Type="http://schemas.openxmlformats.org/officeDocument/2006/relationships/table" Target="../tables/table5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F36"/>
  <sheetViews>
    <sheetView topLeftCell="A21" workbookViewId="0">
      <selection activeCell="B25" sqref="B25"/>
    </sheetView>
  </sheetViews>
  <sheetFormatPr defaultColWidth="9.140625" defaultRowHeight="15.75" x14ac:dyDescent="0.25"/>
  <cols>
    <col min="1" max="1" width="54.5703125" style="1" customWidth="1"/>
    <col min="2" max="2" width="27.42578125" style="1" customWidth="1"/>
    <col min="3" max="5" width="9.140625" style="1"/>
    <col min="6" max="6" width="38.85546875" style="1" customWidth="1"/>
    <col min="7" max="16384" width="9.140625" style="1"/>
  </cols>
  <sheetData>
    <row r="1" spans="1:6" x14ac:dyDescent="0.25">
      <c r="A1" s="2" t="s">
        <v>0</v>
      </c>
      <c r="B1" s="17" t="s">
        <v>98</v>
      </c>
      <c r="F1" s="2" t="s">
        <v>99</v>
      </c>
    </row>
    <row r="2" spans="1:6" x14ac:dyDescent="0.25">
      <c r="A2" s="1" t="s">
        <v>1</v>
      </c>
      <c r="B2" s="1" t="s">
        <v>89</v>
      </c>
      <c r="F2" s="1" t="s">
        <v>89</v>
      </c>
    </row>
    <row r="3" spans="1:6" x14ac:dyDescent="0.25">
      <c r="A3" s="1" t="s">
        <v>2</v>
      </c>
      <c r="B3" s="1" t="s">
        <v>89</v>
      </c>
      <c r="F3" s="1" t="s">
        <v>90</v>
      </c>
    </row>
    <row r="4" spans="1:6" x14ac:dyDescent="0.25">
      <c r="A4" s="1" t="s">
        <v>3</v>
      </c>
      <c r="B4" s="1" t="s">
        <v>89</v>
      </c>
      <c r="F4" s="1" t="s">
        <v>91</v>
      </c>
    </row>
    <row r="5" spans="1:6" x14ac:dyDescent="0.25">
      <c r="A5" s="1" t="s">
        <v>4</v>
      </c>
      <c r="B5" s="1" t="s">
        <v>89</v>
      </c>
      <c r="F5" s="1" t="s">
        <v>92</v>
      </c>
    </row>
    <row r="6" spans="1:6" x14ac:dyDescent="0.25">
      <c r="A6" s="1" t="s">
        <v>5</v>
      </c>
      <c r="B6" s="1" t="s">
        <v>89</v>
      </c>
      <c r="F6" s="1" t="s">
        <v>93</v>
      </c>
    </row>
    <row r="7" spans="1:6" x14ac:dyDescent="0.25">
      <c r="A7" s="1" t="s">
        <v>6</v>
      </c>
      <c r="B7" s="1" t="s">
        <v>89</v>
      </c>
    </row>
    <row r="8" spans="1:6" x14ac:dyDescent="0.25">
      <c r="A8" s="1" t="s">
        <v>7</v>
      </c>
      <c r="B8" s="1" t="s">
        <v>89</v>
      </c>
    </row>
    <row r="9" spans="1:6" x14ac:dyDescent="0.25">
      <c r="A9" s="1" t="s">
        <v>8</v>
      </c>
      <c r="B9" s="1" t="s">
        <v>89</v>
      </c>
    </row>
    <row r="10" spans="1:6" x14ac:dyDescent="0.25">
      <c r="A10" s="1" t="s">
        <v>9</v>
      </c>
      <c r="B10" s="1" t="s">
        <v>89</v>
      </c>
    </row>
    <row r="11" spans="1:6" x14ac:dyDescent="0.25">
      <c r="A11" s="1" t="s">
        <v>10</v>
      </c>
      <c r="B11" s="1" t="s">
        <v>89</v>
      </c>
    </row>
    <row r="12" spans="1:6" x14ac:dyDescent="0.25">
      <c r="A12" s="1" t="s">
        <v>11</v>
      </c>
      <c r="B12" s="1" t="s">
        <v>89</v>
      </c>
    </row>
    <row r="13" spans="1:6" x14ac:dyDescent="0.25">
      <c r="A13" s="1" t="s">
        <v>12</v>
      </c>
      <c r="B13" s="1" t="s">
        <v>89</v>
      </c>
    </row>
    <row r="14" spans="1:6" x14ac:dyDescent="0.25">
      <c r="A14" s="1" t="s">
        <v>13</v>
      </c>
      <c r="B14" s="1" t="s">
        <v>89</v>
      </c>
    </row>
    <row r="15" spans="1:6" x14ac:dyDescent="0.25">
      <c r="A15" s="1" t="s">
        <v>14</v>
      </c>
      <c r="B15" s="1" t="s">
        <v>89</v>
      </c>
    </row>
    <row r="16" spans="1:6" x14ac:dyDescent="0.25">
      <c r="A16" s="1" t="s">
        <v>15</v>
      </c>
      <c r="B16" s="1" t="s">
        <v>89</v>
      </c>
    </row>
    <row r="17" spans="1:2" x14ac:dyDescent="0.25">
      <c r="A17" s="1" t="s">
        <v>16</v>
      </c>
      <c r="B17" s="1" t="s">
        <v>89</v>
      </c>
    </row>
    <row r="18" spans="1:2" x14ac:dyDescent="0.25">
      <c r="A18" s="1" t="s">
        <v>17</v>
      </c>
      <c r="B18" s="1" t="s">
        <v>89</v>
      </c>
    </row>
    <row r="19" spans="1:2" x14ac:dyDescent="0.25">
      <c r="A19" s="1" t="s">
        <v>18</v>
      </c>
      <c r="B19" s="1" t="s">
        <v>89</v>
      </c>
    </row>
    <row r="20" spans="1:2" x14ac:dyDescent="0.25">
      <c r="A20" s="1" t="s">
        <v>19</v>
      </c>
      <c r="B20" s="1" t="s">
        <v>89</v>
      </c>
    </row>
    <row r="21" spans="1:2" x14ac:dyDescent="0.25">
      <c r="A21" s="1" t="s">
        <v>20</v>
      </c>
      <c r="B21" s="1" t="s">
        <v>89</v>
      </c>
    </row>
    <row r="22" spans="1:2" x14ac:dyDescent="0.25">
      <c r="A22" s="1" t="s">
        <v>21</v>
      </c>
      <c r="B22" s="1" t="s">
        <v>89</v>
      </c>
    </row>
    <row r="23" spans="1:2" x14ac:dyDescent="0.25">
      <c r="A23" s="1" t="s">
        <v>22</v>
      </c>
      <c r="B23" s="1" t="s">
        <v>90</v>
      </c>
    </row>
    <row r="24" spans="1:2" x14ac:dyDescent="0.25">
      <c r="A24" s="1" t="s">
        <v>23</v>
      </c>
      <c r="B24" s="1" t="s">
        <v>90</v>
      </c>
    </row>
    <row r="25" spans="1:2" x14ac:dyDescent="0.25">
      <c r="A25" s="1" t="s">
        <v>24</v>
      </c>
      <c r="B25" s="1" t="s">
        <v>90</v>
      </c>
    </row>
    <row r="26" spans="1:2" x14ac:dyDescent="0.25">
      <c r="A26" s="1" t="s">
        <v>25</v>
      </c>
      <c r="B26" s="1" t="s">
        <v>90</v>
      </c>
    </row>
    <row r="27" spans="1:2" x14ac:dyDescent="0.25">
      <c r="A27" s="1" t="s">
        <v>26</v>
      </c>
      <c r="B27" s="1" t="s">
        <v>90</v>
      </c>
    </row>
    <row r="28" spans="1:2" x14ac:dyDescent="0.25">
      <c r="A28" s="1" t="s">
        <v>27</v>
      </c>
      <c r="B28" s="1" t="s">
        <v>90</v>
      </c>
    </row>
    <row r="29" spans="1:2" x14ac:dyDescent="0.25">
      <c r="A29" s="1" t="s">
        <v>28</v>
      </c>
      <c r="B29" s="1" t="s">
        <v>90</v>
      </c>
    </row>
    <row r="30" spans="1:2" x14ac:dyDescent="0.25">
      <c r="A30" s="1" t="s">
        <v>29</v>
      </c>
      <c r="B30" s="1" t="s">
        <v>90</v>
      </c>
    </row>
    <row r="31" spans="1:2" x14ac:dyDescent="0.25">
      <c r="A31" s="1" t="s">
        <v>30</v>
      </c>
      <c r="B31" s="1" t="s">
        <v>90</v>
      </c>
    </row>
    <row r="32" spans="1:2" x14ac:dyDescent="0.25">
      <c r="A32" s="1" t="s">
        <v>31</v>
      </c>
      <c r="B32" s="1" t="s">
        <v>90</v>
      </c>
    </row>
    <row r="33" spans="1:2" x14ac:dyDescent="0.25">
      <c r="A33" s="1" t="s">
        <v>32</v>
      </c>
      <c r="B33" s="1" t="s">
        <v>91</v>
      </c>
    </row>
    <row r="34" spans="1:2" x14ac:dyDescent="0.25">
      <c r="A34" s="1" t="s">
        <v>33</v>
      </c>
      <c r="B34" s="1" t="s">
        <v>92</v>
      </c>
    </row>
    <row r="35" spans="1:2" x14ac:dyDescent="0.25">
      <c r="A35" s="1" t="s">
        <v>34</v>
      </c>
      <c r="B35" s="1" t="s">
        <v>93</v>
      </c>
    </row>
    <row r="36" spans="1:2" x14ac:dyDescent="0.25">
      <c r="A36" s="1" t="s">
        <v>35</v>
      </c>
      <c r="B36" s="1" t="s">
        <v>93</v>
      </c>
    </row>
  </sheetData>
  <dataValidations count="1">
    <dataValidation type="list" allowBlank="1" showInputMessage="1" showErrorMessage="1" sqref="B2:B100">
      <formula1>ТипУслуги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A119"/>
  <sheetViews>
    <sheetView topLeftCell="A106" workbookViewId="0">
      <selection activeCell="A119" sqref="A119"/>
    </sheetView>
  </sheetViews>
  <sheetFormatPr defaultColWidth="9.140625" defaultRowHeight="15.75" x14ac:dyDescent="0.25"/>
  <cols>
    <col min="1" max="1" width="30" style="1" customWidth="1"/>
    <col min="2" max="16384" width="9.140625" style="1"/>
  </cols>
  <sheetData>
    <row r="1" spans="1:1" x14ac:dyDescent="0.25">
      <c r="A1" s="2" t="s">
        <v>36</v>
      </c>
    </row>
    <row r="2" spans="1:1" x14ac:dyDescent="0.25">
      <c r="A2" s="1" t="s">
        <v>108</v>
      </c>
    </row>
    <row r="3" spans="1:1" x14ac:dyDescent="0.25">
      <c r="A3" s="1" t="s">
        <v>109</v>
      </c>
    </row>
    <row r="4" spans="1:1" x14ac:dyDescent="0.25">
      <c r="A4" s="1" t="s">
        <v>110</v>
      </c>
    </row>
    <row r="5" spans="1:1" x14ac:dyDescent="0.25">
      <c r="A5" s="1" t="s">
        <v>111</v>
      </c>
    </row>
    <row r="6" spans="1:1" x14ac:dyDescent="0.25">
      <c r="A6" s="1" t="s">
        <v>37</v>
      </c>
    </row>
    <row r="7" spans="1:1" x14ac:dyDescent="0.25">
      <c r="A7" s="1" t="s">
        <v>112</v>
      </c>
    </row>
    <row r="8" spans="1:1" x14ac:dyDescent="0.25">
      <c r="A8" s="1" t="s">
        <v>38</v>
      </c>
    </row>
    <row r="9" spans="1:1" x14ac:dyDescent="0.25">
      <c r="A9" s="1" t="s">
        <v>113</v>
      </c>
    </row>
    <row r="10" spans="1:1" x14ac:dyDescent="0.25">
      <c r="A10" s="1" t="s">
        <v>114</v>
      </c>
    </row>
    <row r="11" spans="1:1" x14ac:dyDescent="0.25">
      <c r="A11" s="1" t="s">
        <v>115</v>
      </c>
    </row>
    <row r="12" spans="1:1" x14ac:dyDescent="0.25">
      <c r="A12" s="1" t="s">
        <v>116</v>
      </c>
    </row>
    <row r="13" spans="1:1" x14ac:dyDescent="0.25">
      <c r="A13" s="1" t="s">
        <v>39</v>
      </c>
    </row>
    <row r="14" spans="1:1" x14ac:dyDescent="0.25">
      <c r="A14" s="1" t="s">
        <v>40</v>
      </c>
    </row>
    <row r="15" spans="1:1" x14ac:dyDescent="0.25">
      <c r="A15" s="1" t="s">
        <v>41</v>
      </c>
    </row>
    <row r="16" spans="1:1" x14ac:dyDescent="0.25">
      <c r="A16" s="1" t="s">
        <v>42</v>
      </c>
    </row>
    <row r="17" spans="1:1" x14ac:dyDescent="0.25">
      <c r="A17" s="1" t="s">
        <v>43</v>
      </c>
    </row>
    <row r="18" spans="1:1" x14ac:dyDescent="0.25">
      <c r="A18" s="1" t="s">
        <v>44</v>
      </c>
    </row>
    <row r="19" spans="1:1" x14ac:dyDescent="0.25">
      <c r="A19" s="1" t="s">
        <v>117</v>
      </c>
    </row>
    <row r="20" spans="1:1" x14ac:dyDescent="0.25">
      <c r="A20" s="1" t="s">
        <v>45</v>
      </c>
    </row>
    <row r="21" spans="1:1" x14ac:dyDescent="0.25">
      <c r="A21" s="1" t="s">
        <v>46</v>
      </c>
    </row>
    <row r="22" spans="1:1" x14ac:dyDescent="0.25">
      <c r="A22" s="1" t="s">
        <v>47</v>
      </c>
    </row>
    <row r="23" spans="1:1" x14ac:dyDescent="0.25">
      <c r="A23" s="1" t="s">
        <v>48</v>
      </c>
    </row>
    <row r="24" spans="1:1" x14ac:dyDescent="0.25">
      <c r="A24" s="1" t="s">
        <v>49</v>
      </c>
    </row>
    <row r="25" spans="1:1" x14ac:dyDescent="0.25">
      <c r="A25" s="1" t="s">
        <v>50</v>
      </c>
    </row>
    <row r="26" spans="1:1" x14ac:dyDescent="0.25">
      <c r="A26" s="1" t="s">
        <v>51</v>
      </c>
    </row>
    <row r="27" spans="1:1" x14ac:dyDescent="0.25">
      <c r="A27" s="1" t="s">
        <v>52</v>
      </c>
    </row>
    <row r="28" spans="1:1" x14ac:dyDescent="0.25">
      <c r="A28" s="1" t="s">
        <v>53</v>
      </c>
    </row>
    <row r="29" spans="1:1" x14ac:dyDescent="0.25">
      <c r="A29" s="1" t="s">
        <v>54</v>
      </c>
    </row>
    <row r="30" spans="1:1" x14ac:dyDescent="0.25">
      <c r="A30" s="1" t="s">
        <v>55</v>
      </c>
    </row>
    <row r="31" spans="1:1" x14ac:dyDescent="0.25">
      <c r="A31" s="1" t="s">
        <v>56</v>
      </c>
    </row>
    <row r="32" spans="1:1" x14ac:dyDescent="0.25">
      <c r="A32" s="1" t="s">
        <v>57</v>
      </c>
    </row>
    <row r="33" spans="1:1" x14ac:dyDescent="0.25">
      <c r="A33" s="1" t="s">
        <v>58</v>
      </c>
    </row>
    <row r="34" spans="1:1" x14ac:dyDescent="0.25">
      <c r="A34" s="1" t="s">
        <v>107</v>
      </c>
    </row>
    <row r="35" spans="1:1" x14ac:dyDescent="0.25">
      <c r="A35" s="1" t="s">
        <v>59</v>
      </c>
    </row>
    <row r="36" spans="1:1" x14ac:dyDescent="0.25">
      <c r="A36" s="1" t="s">
        <v>60</v>
      </c>
    </row>
    <row r="37" spans="1:1" x14ac:dyDescent="0.25">
      <c r="A37" s="1" t="s">
        <v>61</v>
      </c>
    </row>
    <row r="38" spans="1:1" x14ac:dyDescent="0.25">
      <c r="A38" s="1" t="s">
        <v>62</v>
      </c>
    </row>
    <row r="39" spans="1:1" x14ac:dyDescent="0.25">
      <c r="A39" s="1" t="s">
        <v>63</v>
      </c>
    </row>
    <row r="40" spans="1:1" x14ac:dyDescent="0.25">
      <c r="A40" s="1" t="s">
        <v>64</v>
      </c>
    </row>
    <row r="41" spans="1:1" x14ac:dyDescent="0.25">
      <c r="A41" s="1" t="s">
        <v>65</v>
      </c>
    </row>
    <row r="42" spans="1:1" x14ac:dyDescent="0.25">
      <c r="A42" s="1" t="s">
        <v>66</v>
      </c>
    </row>
    <row r="43" spans="1:1" x14ac:dyDescent="0.25">
      <c r="A43" s="1" t="s">
        <v>67</v>
      </c>
    </row>
    <row r="44" spans="1:1" x14ac:dyDescent="0.25">
      <c r="A44" s="1" t="s">
        <v>103</v>
      </c>
    </row>
    <row r="45" spans="1:1" x14ac:dyDescent="0.25">
      <c r="A45" s="1" t="s">
        <v>104</v>
      </c>
    </row>
    <row r="46" spans="1:1" x14ac:dyDescent="0.25">
      <c r="A46" s="1" t="s">
        <v>106</v>
      </c>
    </row>
    <row r="47" spans="1:1" x14ac:dyDescent="0.25">
      <c r="A47" s="1" t="s">
        <v>105</v>
      </c>
    </row>
    <row r="48" spans="1:1" x14ac:dyDescent="0.25">
      <c r="A48" s="1" t="s">
        <v>118</v>
      </c>
    </row>
    <row r="49" spans="1:1" x14ac:dyDescent="0.25">
      <c r="A49" s="1" t="s">
        <v>119</v>
      </c>
    </row>
    <row r="50" spans="1:1" x14ac:dyDescent="0.25">
      <c r="A50" s="1" t="s">
        <v>120</v>
      </c>
    </row>
    <row r="51" spans="1:1" x14ac:dyDescent="0.25">
      <c r="A51" s="1" t="s">
        <v>121</v>
      </c>
    </row>
    <row r="52" spans="1:1" x14ac:dyDescent="0.25">
      <c r="A52" s="1" t="s">
        <v>128</v>
      </c>
    </row>
    <row r="53" spans="1:1" x14ac:dyDescent="0.25">
      <c r="A53" s="1" t="s">
        <v>129</v>
      </c>
    </row>
    <row r="54" spans="1:1" x14ac:dyDescent="0.25">
      <c r="A54" s="1" t="s">
        <v>130</v>
      </c>
    </row>
    <row r="55" spans="1:1" x14ac:dyDescent="0.25">
      <c r="A55" s="1" t="s">
        <v>135</v>
      </c>
    </row>
    <row r="56" spans="1:1" x14ac:dyDescent="0.25">
      <c r="A56" s="1" t="s">
        <v>131</v>
      </c>
    </row>
    <row r="57" spans="1:1" x14ac:dyDescent="0.25">
      <c r="A57" s="1" t="s">
        <v>127</v>
      </c>
    </row>
    <row r="58" spans="1:1" x14ac:dyDescent="0.25">
      <c r="A58" s="1" t="s">
        <v>126</v>
      </c>
    </row>
    <row r="59" spans="1:1" x14ac:dyDescent="0.25">
      <c r="A59" s="1" t="s">
        <v>132</v>
      </c>
    </row>
    <row r="60" spans="1:1" x14ac:dyDescent="0.25">
      <c r="A60" s="1" t="s">
        <v>133</v>
      </c>
    </row>
    <row r="61" spans="1:1" x14ac:dyDescent="0.25">
      <c r="A61" s="1" t="s">
        <v>134</v>
      </c>
    </row>
    <row r="62" spans="1:1" x14ac:dyDescent="0.25">
      <c r="A62" s="1" t="s">
        <v>131</v>
      </c>
    </row>
    <row r="63" spans="1:1" x14ac:dyDescent="0.25">
      <c r="A63" s="1" t="s">
        <v>136</v>
      </c>
    </row>
    <row r="64" spans="1:1" x14ac:dyDescent="0.25">
      <c r="A64" s="1" t="s">
        <v>137</v>
      </c>
    </row>
    <row r="65" spans="1:1" x14ac:dyDescent="0.25">
      <c r="A65" s="1" t="s">
        <v>138</v>
      </c>
    </row>
    <row r="66" spans="1:1" x14ac:dyDescent="0.25">
      <c r="A66" s="1" t="s">
        <v>139</v>
      </c>
    </row>
    <row r="67" spans="1:1" x14ac:dyDescent="0.25">
      <c r="A67" s="1" t="s">
        <v>140</v>
      </c>
    </row>
    <row r="68" spans="1:1" x14ac:dyDescent="0.25">
      <c r="A68" s="1" t="s">
        <v>141</v>
      </c>
    </row>
    <row r="69" spans="1:1" x14ac:dyDescent="0.25">
      <c r="A69" s="1" t="s">
        <v>142</v>
      </c>
    </row>
    <row r="70" spans="1:1" x14ac:dyDescent="0.25">
      <c r="A70" s="1" t="s">
        <v>143</v>
      </c>
    </row>
    <row r="71" spans="1:1" x14ac:dyDescent="0.25">
      <c r="A71" s="1" t="s">
        <v>144</v>
      </c>
    </row>
    <row r="72" spans="1:1" x14ac:dyDescent="0.25">
      <c r="A72" s="1" t="s">
        <v>145</v>
      </c>
    </row>
    <row r="73" spans="1:1" x14ac:dyDescent="0.25">
      <c r="A73" s="1" t="s">
        <v>146</v>
      </c>
    </row>
    <row r="74" spans="1:1" x14ac:dyDescent="0.25">
      <c r="A74" s="1" t="s">
        <v>147</v>
      </c>
    </row>
    <row r="75" spans="1:1" x14ac:dyDescent="0.25">
      <c r="A75" s="1" t="s">
        <v>148</v>
      </c>
    </row>
    <row r="76" spans="1:1" x14ac:dyDescent="0.25">
      <c r="A76" s="1" t="s">
        <v>149</v>
      </c>
    </row>
    <row r="77" spans="1:1" x14ac:dyDescent="0.25">
      <c r="A77" s="1" t="s">
        <v>150</v>
      </c>
    </row>
    <row r="78" spans="1:1" x14ac:dyDescent="0.25">
      <c r="A78" s="1" t="s">
        <v>151</v>
      </c>
    </row>
    <row r="79" spans="1:1" x14ac:dyDescent="0.25">
      <c r="A79" s="1" t="s">
        <v>152</v>
      </c>
    </row>
    <row r="80" spans="1:1" x14ac:dyDescent="0.25">
      <c r="A80" s="1" t="s">
        <v>153</v>
      </c>
    </row>
    <row r="81" spans="1:1" x14ac:dyDescent="0.25">
      <c r="A81" s="1" t="s">
        <v>154</v>
      </c>
    </row>
    <row r="82" spans="1:1" x14ac:dyDescent="0.25">
      <c r="A82" s="1" t="s">
        <v>155</v>
      </c>
    </row>
    <row r="83" spans="1:1" x14ac:dyDescent="0.25">
      <c r="A83" s="1" t="s">
        <v>156</v>
      </c>
    </row>
    <row r="84" spans="1:1" x14ac:dyDescent="0.25">
      <c r="A84" s="1" t="s">
        <v>157</v>
      </c>
    </row>
    <row r="85" spans="1:1" x14ac:dyDescent="0.25">
      <c r="A85" s="1" t="s">
        <v>158</v>
      </c>
    </row>
    <row r="86" spans="1:1" x14ac:dyDescent="0.25">
      <c r="A86" s="1" t="s">
        <v>159</v>
      </c>
    </row>
    <row r="87" spans="1:1" x14ac:dyDescent="0.25">
      <c r="A87" s="1" t="s">
        <v>160</v>
      </c>
    </row>
    <row r="88" spans="1:1" x14ac:dyDescent="0.25">
      <c r="A88" s="1" t="s">
        <v>161</v>
      </c>
    </row>
    <row r="89" spans="1:1" x14ac:dyDescent="0.25">
      <c r="A89" s="1" t="s">
        <v>162</v>
      </c>
    </row>
    <row r="90" spans="1:1" x14ac:dyDescent="0.25">
      <c r="A90" s="1" t="s">
        <v>163</v>
      </c>
    </row>
    <row r="91" spans="1:1" x14ac:dyDescent="0.25">
      <c r="A91" s="1" t="s">
        <v>164</v>
      </c>
    </row>
    <row r="92" spans="1:1" x14ac:dyDescent="0.25">
      <c r="A92" s="1" t="s">
        <v>165</v>
      </c>
    </row>
    <row r="93" spans="1:1" x14ac:dyDescent="0.25">
      <c r="A93" s="1" t="s">
        <v>166</v>
      </c>
    </row>
    <row r="94" spans="1:1" x14ac:dyDescent="0.25">
      <c r="A94" s="1" t="s">
        <v>167</v>
      </c>
    </row>
    <row r="95" spans="1:1" x14ac:dyDescent="0.25">
      <c r="A95" s="1" t="s">
        <v>168</v>
      </c>
    </row>
    <row r="96" spans="1:1" x14ac:dyDescent="0.25">
      <c r="A96" s="1" t="s">
        <v>169</v>
      </c>
    </row>
    <row r="97" spans="1:1" x14ac:dyDescent="0.25">
      <c r="A97" s="1" t="s">
        <v>170</v>
      </c>
    </row>
    <row r="98" spans="1:1" x14ac:dyDescent="0.25">
      <c r="A98" s="1" t="s">
        <v>171</v>
      </c>
    </row>
    <row r="99" spans="1:1" x14ac:dyDescent="0.25">
      <c r="A99" s="1" t="s">
        <v>172</v>
      </c>
    </row>
    <row r="100" spans="1:1" x14ac:dyDescent="0.25">
      <c r="A100" s="1" t="s">
        <v>173</v>
      </c>
    </row>
    <row r="101" spans="1:1" x14ac:dyDescent="0.25">
      <c r="A101" s="1" t="s">
        <v>174</v>
      </c>
    </row>
    <row r="102" spans="1:1" x14ac:dyDescent="0.25">
      <c r="A102" s="1" t="s">
        <v>175</v>
      </c>
    </row>
    <row r="103" spans="1:1" x14ac:dyDescent="0.25">
      <c r="A103" s="1" t="s">
        <v>176</v>
      </c>
    </row>
    <row r="104" spans="1:1" x14ac:dyDescent="0.25">
      <c r="A104" s="1" t="s">
        <v>177</v>
      </c>
    </row>
    <row r="105" spans="1:1" x14ac:dyDescent="0.25">
      <c r="A105" s="1" t="s">
        <v>178</v>
      </c>
    </row>
    <row r="106" spans="1:1" x14ac:dyDescent="0.25">
      <c r="A106" s="1" t="s">
        <v>179</v>
      </c>
    </row>
    <row r="107" spans="1:1" x14ac:dyDescent="0.25">
      <c r="A107" s="1" t="s">
        <v>180</v>
      </c>
    </row>
    <row r="108" spans="1:1" x14ac:dyDescent="0.25">
      <c r="A108" s="1" t="s">
        <v>181</v>
      </c>
    </row>
    <row r="109" spans="1:1" x14ac:dyDescent="0.25">
      <c r="A109" s="1" t="s">
        <v>182</v>
      </c>
    </row>
    <row r="110" spans="1:1" x14ac:dyDescent="0.25">
      <c r="A110" s="1" t="s">
        <v>183</v>
      </c>
    </row>
    <row r="111" spans="1:1" x14ac:dyDescent="0.25">
      <c r="A111" s="1" t="s">
        <v>184</v>
      </c>
    </row>
    <row r="112" spans="1:1" x14ac:dyDescent="0.25">
      <c r="A112" s="1" t="s">
        <v>185</v>
      </c>
    </row>
    <row r="113" spans="1:1" x14ac:dyDescent="0.25">
      <c r="A113" s="1" t="s">
        <v>186</v>
      </c>
    </row>
    <row r="114" spans="1:1" x14ac:dyDescent="0.25">
      <c r="A114" s="1" t="s">
        <v>187</v>
      </c>
    </row>
    <row r="115" spans="1:1" x14ac:dyDescent="0.25">
      <c r="A115" s="1" t="s">
        <v>188</v>
      </c>
    </row>
    <row r="116" spans="1:1" x14ac:dyDescent="0.25">
      <c r="A116" s="1" t="s">
        <v>189</v>
      </c>
    </row>
    <row r="117" spans="1:1" x14ac:dyDescent="0.25">
      <c r="A117" s="1" t="s">
        <v>190</v>
      </c>
    </row>
    <row r="118" spans="1:1" x14ac:dyDescent="0.25">
      <c r="A118" s="1" t="s">
        <v>191</v>
      </c>
    </row>
    <row r="119" spans="1:1" x14ac:dyDescent="0.25">
      <c r="A119" s="1" t="s">
        <v>192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3"/>
  <sheetViews>
    <sheetView workbookViewId="0">
      <selection activeCell="A4" sqref="A4"/>
    </sheetView>
  </sheetViews>
  <sheetFormatPr defaultColWidth="9.140625" defaultRowHeight="15.75" x14ac:dyDescent="0.25"/>
  <cols>
    <col min="1" max="1" width="18.7109375" style="1" customWidth="1"/>
    <col min="2" max="16384" width="9.140625" style="1"/>
  </cols>
  <sheetData>
    <row r="1" spans="1:1" x14ac:dyDescent="0.25">
      <c r="A1" s="2" t="s">
        <v>68</v>
      </c>
    </row>
    <row r="2" spans="1:1" x14ac:dyDescent="0.25">
      <c r="A2" s="1" t="s">
        <v>69</v>
      </c>
    </row>
    <row r="3" spans="1:1" x14ac:dyDescent="0.25">
      <c r="A3" s="1" t="s">
        <v>70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13"/>
  <sheetViews>
    <sheetView workbookViewId="0">
      <selection activeCell="A14" sqref="A14"/>
    </sheetView>
  </sheetViews>
  <sheetFormatPr defaultColWidth="9.140625" defaultRowHeight="15.75" x14ac:dyDescent="0.25"/>
  <cols>
    <col min="1" max="1" width="17.7109375" style="1" customWidth="1"/>
    <col min="2" max="16384" width="9.140625" style="1"/>
  </cols>
  <sheetData>
    <row r="1" spans="1:1" x14ac:dyDescent="0.25">
      <c r="A1" s="2" t="s">
        <v>71</v>
      </c>
    </row>
    <row r="2" spans="1:1" x14ac:dyDescent="0.25">
      <c r="A2" s="1" t="s">
        <v>72</v>
      </c>
    </row>
    <row r="3" spans="1:1" x14ac:dyDescent="0.25">
      <c r="A3" s="1" t="s">
        <v>73</v>
      </c>
    </row>
    <row r="4" spans="1:1" x14ac:dyDescent="0.25">
      <c r="A4" s="1" t="s">
        <v>74</v>
      </c>
    </row>
    <row r="5" spans="1:1" x14ac:dyDescent="0.25">
      <c r="A5" s="1" t="s">
        <v>75</v>
      </c>
    </row>
    <row r="6" spans="1:1" x14ac:dyDescent="0.25">
      <c r="A6" s="1" t="s">
        <v>76</v>
      </c>
    </row>
    <row r="7" spans="1:1" x14ac:dyDescent="0.25">
      <c r="A7" s="1" t="s">
        <v>77</v>
      </c>
    </row>
    <row r="8" spans="1:1" x14ac:dyDescent="0.25">
      <c r="A8" s="1" t="s">
        <v>78</v>
      </c>
    </row>
    <row r="9" spans="1:1" x14ac:dyDescent="0.25">
      <c r="A9" s="1" t="s">
        <v>79</v>
      </c>
    </row>
    <row r="10" spans="1:1" x14ac:dyDescent="0.25">
      <c r="A10" s="1" t="s">
        <v>80</v>
      </c>
    </row>
    <row r="11" spans="1:1" x14ac:dyDescent="0.25">
      <c r="A11" s="1" t="s">
        <v>81</v>
      </c>
    </row>
    <row r="12" spans="1:1" x14ac:dyDescent="0.25">
      <c r="A12" s="1" t="s">
        <v>82</v>
      </c>
    </row>
    <row r="13" spans="1:1" x14ac:dyDescent="0.25">
      <c r="A13" s="1" t="s">
        <v>83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F4"/>
  <sheetViews>
    <sheetView workbookViewId="0">
      <selection activeCell="D6" sqref="D6"/>
    </sheetView>
  </sheetViews>
  <sheetFormatPr defaultColWidth="9.140625" defaultRowHeight="15.75" x14ac:dyDescent="0.25"/>
  <cols>
    <col min="1" max="1" width="9.140625" style="1" customWidth="1"/>
    <col min="2" max="2" width="15.5703125" style="1" customWidth="1"/>
    <col min="3" max="16384" width="9.140625" style="1"/>
  </cols>
  <sheetData>
    <row r="1" spans="1:6" ht="18.75" x14ac:dyDescent="0.3">
      <c r="A1" s="29" t="s">
        <v>101</v>
      </c>
      <c r="B1" s="29"/>
      <c r="C1" s="29"/>
      <c r="D1" s="29"/>
      <c r="E1" s="29"/>
      <c r="F1" s="29"/>
    </row>
    <row r="3" spans="1:6" x14ac:dyDescent="0.25">
      <c r="B3" s="1" t="s">
        <v>102</v>
      </c>
    </row>
    <row r="4" spans="1:6" x14ac:dyDescent="0.25">
      <c r="A4" s="28"/>
      <c r="B4" s="27"/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A3"/>
  <sheetViews>
    <sheetView workbookViewId="0">
      <selection activeCell="C2" sqref="C2"/>
    </sheetView>
  </sheetViews>
  <sheetFormatPr defaultColWidth="9.140625" defaultRowHeight="15.75" x14ac:dyDescent="0.25"/>
  <cols>
    <col min="1" max="1" width="11.28515625" style="1" bestFit="1" customWidth="1"/>
    <col min="2" max="16384" width="9.140625" style="1"/>
  </cols>
  <sheetData>
    <row r="1" spans="1:1" x14ac:dyDescent="0.25">
      <c r="A1" s="2" t="s">
        <v>124</v>
      </c>
    </row>
    <row r="2" spans="1:1" x14ac:dyDescent="0.25">
      <c r="A2" s="1" t="s">
        <v>122</v>
      </c>
    </row>
    <row r="3" spans="1:1" x14ac:dyDescent="0.25">
      <c r="A3" s="1" t="s">
        <v>123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B1:E11"/>
  <sheetViews>
    <sheetView workbookViewId="0">
      <selection activeCell="D5" sqref="D5"/>
    </sheetView>
  </sheetViews>
  <sheetFormatPr defaultColWidth="9.140625" defaultRowHeight="18.75" x14ac:dyDescent="0.3"/>
  <cols>
    <col min="1" max="1" width="9.140625" style="3"/>
    <col min="2" max="4" width="28.5703125" style="3" customWidth="1"/>
    <col min="5" max="5" width="28.7109375" style="3" customWidth="1"/>
    <col min="6" max="16384" width="9.140625" style="3"/>
  </cols>
  <sheetData>
    <row r="1" spans="2:5" ht="25.5" x14ac:dyDescent="0.3">
      <c r="B1" s="43" t="s">
        <v>84</v>
      </c>
      <c r="C1" s="43"/>
      <c r="D1" s="43"/>
      <c r="E1" s="43"/>
    </row>
    <row r="2" spans="2:5" x14ac:dyDescent="0.3">
      <c r="B2" s="44" t="s">
        <v>85</v>
      </c>
      <c r="C2" s="44"/>
      <c r="D2" s="44"/>
      <c r="E2" s="44"/>
    </row>
    <row r="3" spans="2:5" ht="19.5" thickBot="1" x14ac:dyDescent="0.35">
      <c r="B3"/>
      <c r="C3"/>
      <c r="D3"/>
      <c r="E3"/>
    </row>
    <row r="4" spans="2:5" x14ac:dyDescent="0.3">
      <c r="B4" s="6" t="s">
        <v>72</v>
      </c>
      <c r="C4" s="7" t="s">
        <v>73</v>
      </c>
      <c r="D4" s="9" t="s">
        <v>74</v>
      </c>
      <c r="E4" s="10" t="s">
        <v>75</v>
      </c>
    </row>
    <row r="5" spans="2:5" x14ac:dyDescent="0.3">
      <c r="B5" s="11" t="s">
        <v>76</v>
      </c>
      <c r="C5" s="12" t="s">
        <v>77</v>
      </c>
      <c r="D5" s="12" t="s">
        <v>78</v>
      </c>
      <c r="E5" s="13" t="s">
        <v>79</v>
      </c>
    </row>
    <row r="6" spans="2:5" x14ac:dyDescent="0.3">
      <c r="B6" s="14" t="s">
        <v>80</v>
      </c>
      <c r="C6" s="15" t="s">
        <v>81</v>
      </c>
      <c r="D6" s="15" t="s">
        <v>82</v>
      </c>
      <c r="E6" s="8" t="s">
        <v>83</v>
      </c>
    </row>
    <row r="7" spans="2:5" x14ac:dyDescent="0.3">
      <c r="B7" s="4"/>
      <c r="C7" s="4"/>
      <c r="D7" s="4"/>
      <c r="E7" s="4"/>
    </row>
    <row r="8" spans="2:5" x14ac:dyDescent="0.3">
      <c r="B8" s="4"/>
      <c r="C8" s="4"/>
      <c r="D8" s="4"/>
      <c r="E8" s="4"/>
    </row>
    <row r="9" spans="2:5" x14ac:dyDescent="0.3">
      <c r="B9" s="4"/>
      <c r="C9" s="4"/>
      <c r="D9" s="4"/>
      <c r="E9" s="4"/>
    </row>
    <row r="10" spans="2:5" x14ac:dyDescent="0.3">
      <c r="B10" s="4"/>
      <c r="C10" s="4"/>
      <c r="D10" s="4"/>
      <c r="E10" s="4"/>
    </row>
    <row r="11" spans="2:5" x14ac:dyDescent="0.3">
      <c r="B11" s="4"/>
      <c r="C11" s="4"/>
      <c r="D11" s="4"/>
      <c r="E11" s="4"/>
    </row>
  </sheetData>
  <mergeCells count="2">
    <mergeCell ref="B1:E1"/>
    <mergeCell ref="B2:E2"/>
  </mergeCells>
  <hyperlinks>
    <hyperlink ref="B4" location="Январь!A1" display="Январь"/>
    <hyperlink ref="C4" location="Февраль!A1" display="Февраль"/>
    <hyperlink ref="D4" location="Март!A1" display="Март"/>
    <hyperlink ref="E4" location="Апрель!A1" display="Апрель"/>
    <hyperlink ref="B5" location="Май!A1" display="Май"/>
    <hyperlink ref="C5" location="Июнь!A1" display="Июнь"/>
    <hyperlink ref="D5" location="Июль!A1" display="Июль"/>
    <hyperlink ref="E5" location="Август!A1" display="Август"/>
    <hyperlink ref="B6" location="Сентябрь!A1" display="Сентябрь"/>
    <hyperlink ref="C6" location="Октябрь!A1" display="Октябрь"/>
    <hyperlink ref="D6" location="Ноябрь!A1" display="Ноябрь"/>
    <hyperlink ref="E6" location="Декабрь!A1" display="Декабрь"/>
  </hyperlinks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AN12"/>
  <sheetViews>
    <sheetView tabSelected="1" zoomScale="80" zoomScaleNormal="80" workbookViewId="0">
      <selection activeCell="B2" sqref="B2"/>
    </sheetView>
  </sheetViews>
  <sheetFormatPr defaultColWidth="9.140625" defaultRowHeight="15.75" x14ac:dyDescent="0.25"/>
  <cols>
    <col min="1" max="1" width="26" style="1" bestFit="1" customWidth="1"/>
    <col min="2" max="2" width="22.7109375" style="1" bestFit="1" customWidth="1"/>
    <col min="3" max="3" width="16.28515625" style="1" bestFit="1" customWidth="1"/>
    <col min="4" max="4" width="4.42578125" style="1" bestFit="1" customWidth="1"/>
    <col min="5" max="5" width="9.28515625" style="1" bestFit="1" customWidth="1"/>
    <col min="6" max="6" width="6.5703125" style="1" bestFit="1" customWidth="1"/>
    <col min="7" max="7" width="7.140625" style="1" bestFit="1" customWidth="1"/>
    <col min="8" max="8" width="4.140625" style="1" bestFit="1" customWidth="1"/>
    <col min="9" max="9" width="23.42578125" style="1" bestFit="1" customWidth="1"/>
    <col min="10" max="10" width="6" style="1" bestFit="1" customWidth="1"/>
    <col min="11" max="11" width="5.5703125" style="1" bestFit="1" customWidth="1"/>
    <col min="12" max="14" width="4.140625" style="1" bestFit="1" customWidth="1"/>
    <col min="15" max="16" width="7.140625" style="1" bestFit="1" customWidth="1"/>
    <col min="17" max="17" width="4.140625" style="1" bestFit="1" customWidth="1"/>
    <col min="18" max="18" width="7.140625" style="1" bestFit="1" customWidth="1"/>
    <col min="19" max="20" width="4.140625" style="1" bestFit="1" customWidth="1"/>
    <col min="21" max="21" width="7.140625" style="1" bestFit="1" customWidth="1"/>
    <col min="22" max="22" width="10.140625" style="1" bestFit="1" customWidth="1"/>
    <col min="23" max="23" width="7.140625" style="1" bestFit="1" customWidth="1"/>
    <col min="24" max="26" width="4.140625" style="1" bestFit="1" customWidth="1"/>
    <col min="27" max="27" width="10.140625" style="1" bestFit="1" customWidth="1"/>
    <col min="28" max="28" width="7.140625" style="1" bestFit="1" customWidth="1"/>
    <col min="29" max="29" width="4.42578125" style="1" bestFit="1" customWidth="1"/>
    <col min="30" max="31" width="4.140625" style="1" bestFit="1" customWidth="1"/>
    <col min="32" max="36" width="7.140625" style="1" bestFit="1" customWidth="1"/>
    <col min="37" max="38" width="4.140625" style="1" bestFit="1" customWidth="1"/>
    <col min="39" max="39" width="10.140625" style="1" bestFit="1" customWidth="1"/>
    <col min="40" max="41" width="7.140625" style="1" bestFit="1" customWidth="1"/>
    <col min="42" max="42" width="32.5703125" style="1" customWidth="1"/>
    <col min="43" max="16384" width="9.140625" style="1"/>
  </cols>
  <sheetData>
    <row r="1" spans="1:40" ht="26.25" x14ac:dyDescent="0.4">
      <c r="A1" s="5" t="s">
        <v>0</v>
      </c>
      <c r="B1" s="5" t="s">
        <v>72</v>
      </c>
      <c r="C1" s="33" t="s">
        <v>124</v>
      </c>
      <c r="G1"/>
    </row>
    <row r="2" spans="1:40" ht="26.25" x14ac:dyDescent="0.4">
      <c r="A2" s="5" t="s">
        <v>86</v>
      </c>
      <c r="B2" s="31"/>
      <c r="C2" s="32" t="s">
        <v>123</v>
      </c>
      <c r="G2"/>
    </row>
    <row r="3" spans="1:40" x14ac:dyDescent="0.25">
      <c r="A3" s="45" t="s">
        <v>195</v>
      </c>
      <c r="B3" s="46"/>
      <c r="C3" s="46"/>
      <c r="E3" s="45" t="s">
        <v>193</v>
      </c>
      <c r="F3" s="46"/>
      <c r="G3" s="46"/>
      <c r="I3" s="45" t="s">
        <v>194</v>
      </c>
      <c r="J3" s="46"/>
      <c r="K3" s="46"/>
    </row>
    <row r="4" spans="1:40" x14ac:dyDescent="0.25">
      <c r="A4" s="1" t="s">
        <v>0</v>
      </c>
      <c r="B4" s="1" t="s">
        <v>87</v>
      </c>
      <c r="C4" s="1" t="s">
        <v>88</v>
      </c>
      <c r="E4" s="1" t="s">
        <v>0</v>
      </c>
      <c r="F4" t="s">
        <v>87</v>
      </c>
      <c r="G4" s="1" t="s">
        <v>88</v>
      </c>
      <c r="I4" s="39" t="s">
        <v>0</v>
      </c>
      <c r="J4" s="40" t="s">
        <v>87</v>
      </c>
      <c r="K4" s="41" t="s">
        <v>88</v>
      </c>
    </row>
    <row r="5" spans="1:40" x14ac:dyDescent="0.25">
      <c r="A5" s="1" t="s">
        <v>89</v>
      </c>
      <c r="B5" s="1">
        <v>0</v>
      </c>
      <c r="C5" s="1">
        <v>0</v>
      </c>
      <c r="E5" s="1" t="s">
        <v>193</v>
      </c>
      <c r="F5">
        <v>0</v>
      </c>
      <c r="G5" s="1">
        <v>0</v>
      </c>
      <c r="I5" s="37" t="str">
        <f>ЯнварьУслуги[[#This Row],[Услуги]]</f>
        <v>Соц-бытовые</v>
      </c>
      <c r="J5" s="36">
        <f>ЯнварьУслуги[[#This Row],[б/пл.]]</f>
        <v>0</v>
      </c>
      <c r="K5" s="38">
        <f>ЯнварьУслуги[[#This Row],[пл.]]</f>
        <v>0</v>
      </c>
    </row>
    <row r="6" spans="1:40" x14ac:dyDescent="0.25">
      <c r="A6" s="1" t="s">
        <v>90</v>
      </c>
      <c r="B6" s="1">
        <v>0</v>
      </c>
      <c r="C6" s="1">
        <v>0</v>
      </c>
      <c r="F6"/>
      <c r="I6" s="37" t="str">
        <f>ЯнварьУслуги[[#This Row],[Услуги]]</f>
        <v>Соц-медицинские</v>
      </c>
      <c r="J6" s="36">
        <f>ЯнварьУслуги[[#This Row],[б/пл.]]-ЯнварьСиделка[б/пл.]</f>
        <v>0</v>
      </c>
      <c r="K6" s="38">
        <f>ЯнварьУслуги[[#This Row],[пл.]]-ЯнварьСиделка[пл.]</f>
        <v>0</v>
      </c>
    </row>
    <row r="7" spans="1:40" x14ac:dyDescent="0.25">
      <c r="A7" s="1" t="s">
        <v>91</v>
      </c>
      <c r="B7" s="1">
        <v>0</v>
      </c>
      <c r="C7" s="1">
        <v>0</v>
      </c>
      <c r="F7"/>
      <c r="I7" s="37" t="str">
        <f>ЯнварьУслуги[[#This Row],[Услуги]]</f>
        <v>Соц-психологические</v>
      </c>
      <c r="J7" s="36">
        <f>ЯнварьУслуги[[#This Row],[б/пл.]]</f>
        <v>0</v>
      </c>
      <c r="K7" s="38">
        <f>ЯнварьУслуги[[#This Row],[пл.]]</f>
        <v>0</v>
      </c>
    </row>
    <row r="8" spans="1:40" x14ac:dyDescent="0.25">
      <c r="A8" s="1" t="s">
        <v>92</v>
      </c>
      <c r="B8" s="1">
        <v>0</v>
      </c>
      <c r="C8" s="1">
        <v>0</v>
      </c>
      <c r="F8"/>
      <c r="I8" s="37" t="str">
        <f>ЯнварьУслуги[[#This Row],[Услуги]]</f>
        <v>Соц-педагогические</v>
      </c>
      <c r="J8" s="36">
        <f>ЯнварьУслуги[[#This Row],[б/пл.]]</f>
        <v>0</v>
      </c>
      <c r="K8" s="38">
        <f>ЯнварьУслуги[[#This Row],[пл.]]</f>
        <v>0</v>
      </c>
    </row>
    <row r="9" spans="1:40" x14ac:dyDescent="0.25">
      <c r="A9" s="1" t="s">
        <v>93</v>
      </c>
      <c r="B9" s="1">
        <v>0</v>
      </c>
      <c r="C9" s="1">
        <v>0</v>
      </c>
      <c r="F9"/>
      <c r="I9" s="42" t="str">
        <f>ЯнварьУслуги[[#This Row],[Услуги]]</f>
        <v>Соц-правовые</v>
      </c>
      <c r="J9" s="36">
        <f>ЯнварьУслуги[[#This Row],[б/пл.]]</f>
        <v>0</v>
      </c>
      <c r="K9" s="38">
        <f>ЯнварьУслуги[[#This Row],[пл.]]</f>
        <v>0</v>
      </c>
    </row>
    <row r="10" spans="1:40" x14ac:dyDescent="0.25">
      <c r="G10"/>
    </row>
    <row r="11" spans="1:40" s="18" customFormat="1" ht="134.25" x14ac:dyDescent="0.25">
      <c r="A11" s="20" t="s">
        <v>94</v>
      </c>
      <c r="B11" s="20" t="s">
        <v>95</v>
      </c>
      <c r="C11" s="20" t="s">
        <v>68</v>
      </c>
      <c r="D11" s="19" t="s">
        <v>96</v>
      </c>
      <c r="E11" s="19" t="s">
        <v>97</v>
      </c>
      <c r="F11" s="19" t="s">
        <v>1</v>
      </c>
      <c r="G11" s="19" t="s">
        <v>2</v>
      </c>
      <c r="H11" s="19" t="s">
        <v>3</v>
      </c>
      <c r="I11" s="19" t="s">
        <v>4</v>
      </c>
      <c r="J11" s="19" t="s">
        <v>5</v>
      </c>
      <c r="K11" s="19" t="s">
        <v>6</v>
      </c>
      <c r="L11" s="19" t="s">
        <v>7</v>
      </c>
      <c r="M11" s="19" t="s">
        <v>8</v>
      </c>
      <c r="N11" s="19" t="s">
        <v>9</v>
      </c>
      <c r="O11" s="19" t="s">
        <v>10</v>
      </c>
      <c r="P11" s="19" t="s">
        <v>11</v>
      </c>
      <c r="Q11" s="19" t="s">
        <v>12</v>
      </c>
      <c r="R11" s="19" t="s">
        <v>13</v>
      </c>
      <c r="S11" s="19" t="s">
        <v>14</v>
      </c>
      <c r="T11" s="19" t="s">
        <v>15</v>
      </c>
      <c r="U11" s="19" t="s">
        <v>16</v>
      </c>
      <c r="V11" s="19" t="s">
        <v>17</v>
      </c>
      <c r="W11" s="19" t="s">
        <v>18</v>
      </c>
      <c r="X11" s="19" t="s">
        <v>19</v>
      </c>
      <c r="Y11" s="19" t="s">
        <v>20</v>
      </c>
      <c r="Z11" s="19" t="s">
        <v>21</v>
      </c>
      <c r="AA11" s="19" t="s">
        <v>22</v>
      </c>
      <c r="AB11" s="19" t="s">
        <v>23</v>
      </c>
      <c r="AC11" s="19" t="s">
        <v>24</v>
      </c>
      <c r="AD11" s="19" t="s">
        <v>25</v>
      </c>
      <c r="AE11" s="19" t="s">
        <v>26</v>
      </c>
      <c r="AF11" s="19" t="s">
        <v>27</v>
      </c>
      <c r="AG11" s="19" t="s">
        <v>28</v>
      </c>
      <c r="AH11" s="19" t="s">
        <v>29</v>
      </c>
      <c r="AI11" s="19" t="s">
        <v>30</v>
      </c>
      <c r="AJ11" s="19" t="s">
        <v>31</v>
      </c>
      <c r="AK11" s="19" t="s">
        <v>32</v>
      </c>
      <c r="AL11" s="19" t="s">
        <v>33</v>
      </c>
      <c r="AM11" s="19" t="s">
        <v>34</v>
      </c>
      <c r="AN11" s="19" t="s">
        <v>35</v>
      </c>
    </row>
    <row r="12" spans="1:40" x14ac:dyDescent="0.25">
      <c r="A12" s="24" t="s">
        <v>108</v>
      </c>
      <c r="B12" s="24" t="s">
        <v>100</v>
      </c>
      <c r="C12" s="24" t="s">
        <v>69</v>
      </c>
      <c r="D12" s="23">
        <f ca="1">SUM(INDIRECT(ADDRESS(ROW(ЯнварьДанные[[#This Row],[Итого]]),COLUMN(ЯнварьДанные[[#This Row],[Итого]])+2)):INDIRECT(ADDRESS(ROW(ЯнварьДанные[[#This Row],[Итого]]),COUNTA(ЯнварьДанные[#Headers]))))</f>
        <v>0</v>
      </c>
      <c r="E12" s="25">
        <f ca="1">ЯнварьДанные[[#This Row],[Итого]]/COUNTIFS(ЯнварьДанные[Соц. Работник],ЯнварьДанные[[#This Row],[Соц. Работник]])</f>
        <v>0</v>
      </c>
      <c r="F12" s="26">
        <v>0</v>
      </c>
      <c r="G12" s="26">
        <v>0</v>
      </c>
      <c r="H12" s="26">
        <v>0</v>
      </c>
      <c r="I12" s="26">
        <v>0</v>
      </c>
      <c r="J12" s="26">
        <v>0</v>
      </c>
      <c r="K12" s="26">
        <v>0</v>
      </c>
      <c r="L12" s="26">
        <v>0</v>
      </c>
      <c r="M12" s="26">
        <v>0</v>
      </c>
      <c r="N12" s="26">
        <v>0</v>
      </c>
      <c r="O12" s="26">
        <v>0</v>
      </c>
      <c r="P12" s="26">
        <v>0</v>
      </c>
      <c r="Q12" s="26">
        <v>0</v>
      </c>
      <c r="R12" s="26">
        <v>0</v>
      </c>
      <c r="S12" s="26">
        <v>0</v>
      </c>
      <c r="T12" s="26">
        <v>0</v>
      </c>
      <c r="U12" s="26">
        <v>0</v>
      </c>
      <c r="V12" s="26">
        <v>0</v>
      </c>
      <c r="W12" s="26">
        <v>0</v>
      </c>
      <c r="X12" s="26">
        <v>0</v>
      </c>
      <c r="Y12" s="26">
        <v>0</v>
      </c>
      <c r="Z12" s="26">
        <v>0</v>
      </c>
      <c r="AA12" s="26">
        <v>0</v>
      </c>
      <c r="AB12" s="26">
        <v>0</v>
      </c>
      <c r="AC12" s="26">
        <v>0</v>
      </c>
      <c r="AD12" s="26">
        <v>0</v>
      </c>
      <c r="AE12" s="26">
        <v>0</v>
      </c>
      <c r="AF12" s="26">
        <v>0</v>
      </c>
      <c r="AG12" s="26">
        <v>0</v>
      </c>
      <c r="AH12" s="26">
        <v>0</v>
      </c>
      <c r="AI12" s="26">
        <v>0</v>
      </c>
      <c r="AJ12" s="26">
        <v>0</v>
      </c>
      <c r="AK12" s="26">
        <v>0</v>
      </c>
      <c r="AL12" s="26">
        <v>0</v>
      </c>
      <c r="AM12" s="26">
        <v>0</v>
      </c>
      <c r="AN12" s="26">
        <v>0</v>
      </c>
    </row>
  </sheetData>
  <mergeCells count="3">
    <mergeCell ref="I3:K3"/>
    <mergeCell ref="E3:G3"/>
    <mergeCell ref="A3:C3"/>
  </mergeCells>
  <conditionalFormatting sqref="B12">
    <cfRule type="duplicateValues" dxfId="447" priority="89"/>
  </conditionalFormatting>
  <dataValidations count="6">
    <dataValidation type="list" allowBlank="1" showInputMessage="1" showErrorMessage="1" sqref="B1">
      <formula1>Месяц</formula1>
    </dataValidation>
    <dataValidation type="list" allowBlank="1" showInputMessage="1" showErrorMessage="1" sqref="F11:AN11">
      <formula1>Услуга</formula1>
    </dataValidation>
    <dataValidation type="list" allowBlank="1" showInputMessage="1" showErrorMessage="1" sqref="A5:A9">
      <formula1>ТипУслуги</formula1>
    </dataValidation>
    <dataValidation type="list" allowBlank="1" showInputMessage="1" showErrorMessage="1" sqref="C2">
      <formula1>СчетУслуги</formula1>
    </dataValidation>
    <dataValidation type="list" allowBlank="1" showInputMessage="1" showErrorMessage="1" sqref="A12">
      <formula1>СоцРаботник</formula1>
    </dataValidation>
    <dataValidation type="list" allowBlank="1" showInputMessage="1" showErrorMessage="1" sqref="C12">
      <formula1>Учет</formula1>
    </dataValidation>
  </dataValidations>
  <pageMargins left="0.7" right="0.7" top="0.75" bottom="0.75" header="0.3" footer="0.3"/>
  <pageSetup paperSize="9" orientation="portrait" horizontalDpi="300" verticalDpi="300" r:id="rId1"/>
  <ignoredErrors>
    <ignoredError sqref="J6:K6" calculatedColumn="1"/>
  </ignoredErrors>
  <drawing r:id="rId2"/>
  <tableParts count="5">
    <tablePart r:id="rId3"/>
    <tablePart r:id="rId4"/>
    <tablePart r:id="rId5"/>
    <tablePart r:id="rId6"/>
    <tablePart r:id="rId7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8"/>
      </x14:slicerList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AN12"/>
  <sheetViews>
    <sheetView zoomScale="80" zoomScaleNormal="80" workbookViewId="0">
      <selection activeCell="B2" sqref="B2"/>
    </sheetView>
  </sheetViews>
  <sheetFormatPr defaultColWidth="9.140625" defaultRowHeight="15.75" x14ac:dyDescent="0.25"/>
  <cols>
    <col min="1" max="1" width="26" style="1" bestFit="1" customWidth="1"/>
    <col min="2" max="2" width="22.7109375" style="1" bestFit="1" customWidth="1"/>
    <col min="3" max="3" width="16.28515625" style="1" bestFit="1" customWidth="1"/>
    <col min="4" max="4" width="4.42578125" style="1" bestFit="1" customWidth="1"/>
    <col min="5" max="5" width="9.28515625" style="1" bestFit="1" customWidth="1"/>
    <col min="6" max="6" width="6.5703125" style="1" bestFit="1" customWidth="1"/>
    <col min="7" max="7" width="7.140625" style="1" bestFit="1" customWidth="1"/>
    <col min="8" max="8" width="4.140625" style="1" bestFit="1" customWidth="1"/>
    <col min="9" max="9" width="23.42578125" style="1" bestFit="1" customWidth="1"/>
    <col min="10" max="10" width="6" style="1" bestFit="1" customWidth="1"/>
    <col min="11" max="11" width="5.5703125" style="1" bestFit="1" customWidth="1"/>
    <col min="12" max="14" width="4.140625" style="1" bestFit="1" customWidth="1"/>
    <col min="15" max="16" width="7.140625" style="1" bestFit="1" customWidth="1"/>
    <col min="17" max="17" width="4.140625" style="1" bestFit="1" customWidth="1"/>
    <col min="18" max="18" width="7.140625" style="1" bestFit="1" customWidth="1"/>
    <col min="19" max="20" width="4.140625" style="1" bestFit="1" customWidth="1"/>
    <col min="21" max="21" width="7.140625" style="1" bestFit="1" customWidth="1"/>
    <col min="22" max="22" width="10.140625" style="1" bestFit="1" customWidth="1"/>
    <col min="23" max="23" width="7.140625" style="1" bestFit="1" customWidth="1"/>
    <col min="24" max="26" width="4.140625" style="1" bestFit="1" customWidth="1"/>
    <col min="27" max="27" width="10.140625" style="1" bestFit="1" customWidth="1"/>
    <col min="28" max="28" width="7.140625" style="1" bestFit="1" customWidth="1"/>
    <col min="29" max="29" width="4.42578125" style="1" bestFit="1" customWidth="1"/>
    <col min="30" max="31" width="4.140625" style="1" bestFit="1" customWidth="1"/>
    <col min="32" max="36" width="7.140625" style="1" bestFit="1" customWidth="1"/>
    <col min="37" max="38" width="4.140625" style="1" bestFit="1" customWidth="1"/>
    <col min="39" max="39" width="10.140625" style="1" bestFit="1" customWidth="1"/>
    <col min="40" max="41" width="7.140625" style="1" bestFit="1" customWidth="1"/>
    <col min="42" max="42" width="32.5703125" style="1" customWidth="1"/>
    <col min="43" max="16384" width="9.140625" style="1"/>
  </cols>
  <sheetData>
    <row r="1" spans="1:40" ht="26.25" x14ac:dyDescent="0.4">
      <c r="A1" s="5" t="s">
        <v>0</v>
      </c>
      <c r="B1" s="5" t="s">
        <v>73</v>
      </c>
      <c r="C1" s="1" t="s">
        <v>125</v>
      </c>
    </row>
    <row r="2" spans="1:40" ht="26.25" x14ac:dyDescent="0.4">
      <c r="A2" s="5" t="s">
        <v>86</v>
      </c>
      <c r="B2" s="16"/>
      <c r="C2" s="1" t="s">
        <v>123</v>
      </c>
    </row>
    <row r="3" spans="1:40" x14ac:dyDescent="0.25">
      <c r="A3" s="45" t="s">
        <v>195</v>
      </c>
      <c r="B3" s="46"/>
      <c r="C3" s="46"/>
      <c r="E3" s="45" t="s">
        <v>193</v>
      </c>
      <c r="F3" s="46"/>
      <c r="G3" s="46"/>
      <c r="I3" s="45" t="s">
        <v>194</v>
      </c>
      <c r="J3" s="46"/>
      <c r="K3" s="46"/>
    </row>
    <row r="4" spans="1:40" x14ac:dyDescent="0.25">
      <c r="A4" s="1" t="s">
        <v>0</v>
      </c>
      <c r="B4" s="1" t="s">
        <v>87</v>
      </c>
      <c r="C4" s="1" t="s">
        <v>88</v>
      </c>
      <c r="E4" s="1" t="s">
        <v>0</v>
      </c>
      <c r="F4" t="s">
        <v>87</v>
      </c>
      <c r="G4" s="1" t="s">
        <v>88</v>
      </c>
      <c r="I4" s="39" t="s">
        <v>0</v>
      </c>
      <c r="J4" s="40" t="s">
        <v>87</v>
      </c>
      <c r="K4" s="41" t="s">
        <v>88</v>
      </c>
    </row>
    <row r="5" spans="1:40" x14ac:dyDescent="0.25">
      <c r="A5" s="1" t="s">
        <v>89</v>
      </c>
      <c r="B5" s="1">
        <v>0</v>
      </c>
      <c r="C5" s="1">
        <v>0</v>
      </c>
      <c r="E5" s="1" t="s">
        <v>193</v>
      </c>
      <c r="F5">
        <v>0</v>
      </c>
      <c r="G5" s="1">
        <v>0</v>
      </c>
      <c r="I5" s="37" t="str">
        <f>ФевральУслуги[[#This Row],[Услуги]]</f>
        <v>Соц-бытовые</v>
      </c>
      <c r="J5" s="36">
        <f>ФевральУслуги[[#This Row],[б/пл.]]</f>
        <v>0</v>
      </c>
      <c r="K5" s="38">
        <f>ФевральУслуги[[#This Row],[пл.]]</f>
        <v>0</v>
      </c>
    </row>
    <row r="6" spans="1:40" x14ac:dyDescent="0.25">
      <c r="A6" s="1" t="s">
        <v>90</v>
      </c>
      <c r="B6" s="1">
        <v>0</v>
      </c>
      <c r="C6" s="1">
        <v>0</v>
      </c>
      <c r="I6" s="37" t="str">
        <f>ФевральУслуги[[#This Row],[Услуги]]</f>
        <v>Соц-медицинские</v>
      </c>
      <c r="J6" s="36">
        <f>ФевральУслуги[[#This Row],[б/пл.]]-ФевральСиделка[б/пл.]</f>
        <v>0</v>
      </c>
      <c r="K6" s="38">
        <f>ФевральУслуги[[#This Row],[пл.]]-ФевральСиделка[пл.]</f>
        <v>0</v>
      </c>
    </row>
    <row r="7" spans="1:40" x14ac:dyDescent="0.25">
      <c r="A7" s="1" t="s">
        <v>91</v>
      </c>
      <c r="B7" s="1">
        <v>0</v>
      </c>
      <c r="C7" s="1">
        <v>0</v>
      </c>
      <c r="I7" s="37" t="str">
        <f>ФевральУслуги[[#This Row],[Услуги]]</f>
        <v>Соц-психологические</v>
      </c>
      <c r="J7" s="36">
        <f>ФевральУслуги[[#This Row],[б/пл.]]</f>
        <v>0</v>
      </c>
      <c r="K7" s="38">
        <f>ФевральУслуги[[#This Row],[пл.]]</f>
        <v>0</v>
      </c>
    </row>
    <row r="8" spans="1:40" x14ac:dyDescent="0.25">
      <c r="A8" s="1" t="s">
        <v>92</v>
      </c>
      <c r="B8" s="1">
        <v>0</v>
      </c>
      <c r="C8" s="1">
        <v>0</v>
      </c>
      <c r="I8" s="37" t="str">
        <f>ФевральУслуги[[#This Row],[Услуги]]</f>
        <v>Соц-педагогические</v>
      </c>
      <c r="J8" s="36">
        <f>ФевральУслуги[[#This Row],[б/пл.]]</f>
        <v>0</v>
      </c>
      <c r="K8" s="38">
        <f>ФевральУслуги[[#This Row],[пл.]]</f>
        <v>0</v>
      </c>
    </row>
    <row r="9" spans="1:40" x14ac:dyDescent="0.25">
      <c r="A9" s="1" t="s">
        <v>93</v>
      </c>
      <c r="B9" s="1">
        <v>0</v>
      </c>
      <c r="C9" s="1">
        <v>0</v>
      </c>
      <c r="I9" s="42" t="str">
        <f>ФевральУслуги[[#This Row],[Услуги]]</f>
        <v>Соц-правовые</v>
      </c>
      <c r="J9" s="36">
        <f>ФевральУслуги[[#This Row],[б/пл.]]</f>
        <v>0</v>
      </c>
      <c r="K9" s="38">
        <f>ФевральУслуги[[#This Row],[пл.]]</f>
        <v>0</v>
      </c>
    </row>
    <row r="11" spans="1:40" s="18" customFormat="1" ht="134.25" x14ac:dyDescent="0.25">
      <c r="A11" s="20" t="s">
        <v>94</v>
      </c>
      <c r="B11" s="20" t="s">
        <v>95</v>
      </c>
      <c r="C11" s="20" t="s">
        <v>68</v>
      </c>
      <c r="D11" s="19" t="s">
        <v>96</v>
      </c>
      <c r="E11" s="19" t="s">
        <v>97</v>
      </c>
      <c r="F11" s="19" t="s">
        <v>1</v>
      </c>
      <c r="G11" s="19" t="s">
        <v>2</v>
      </c>
      <c r="H11" s="19" t="s">
        <v>3</v>
      </c>
      <c r="I11" s="19" t="s">
        <v>4</v>
      </c>
      <c r="J11" s="19" t="s">
        <v>5</v>
      </c>
      <c r="K11" s="19" t="s">
        <v>6</v>
      </c>
      <c r="L11" s="19" t="s">
        <v>7</v>
      </c>
      <c r="M11" s="19" t="s">
        <v>8</v>
      </c>
      <c r="N11" s="19" t="s">
        <v>9</v>
      </c>
      <c r="O11" s="19" t="s">
        <v>10</v>
      </c>
      <c r="P11" s="19" t="s">
        <v>11</v>
      </c>
      <c r="Q11" s="19" t="s">
        <v>12</v>
      </c>
      <c r="R11" s="19" t="s">
        <v>13</v>
      </c>
      <c r="S11" s="19" t="s">
        <v>14</v>
      </c>
      <c r="T11" s="19" t="s">
        <v>15</v>
      </c>
      <c r="U11" s="19" t="s">
        <v>16</v>
      </c>
      <c r="V11" s="19" t="s">
        <v>17</v>
      </c>
      <c r="W11" s="19" t="s">
        <v>18</v>
      </c>
      <c r="X11" s="19" t="s">
        <v>19</v>
      </c>
      <c r="Y11" s="19" t="s">
        <v>20</v>
      </c>
      <c r="Z11" s="19" t="s">
        <v>21</v>
      </c>
      <c r="AA11" s="19" t="s">
        <v>22</v>
      </c>
      <c r="AB11" s="19" t="s">
        <v>23</v>
      </c>
      <c r="AC11" s="19" t="s">
        <v>24</v>
      </c>
      <c r="AD11" s="19" t="s">
        <v>25</v>
      </c>
      <c r="AE11" s="19" t="s">
        <v>26</v>
      </c>
      <c r="AF11" s="19" t="s">
        <v>27</v>
      </c>
      <c r="AG11" s="19" t="s">
        <v>28</v>
      </c>
      <c r="AH11" s="19" t="s">
        <v>29</v>
      </c>
      <c r="AI11" s="19" t="s">
        <v>30</v>
      </c>
      <c r="AJ11" s="19" t="s">
        <v>31</v>
      </c>
      <c r="AK11" s="19" t="s">
        <v>32</v>
      </c>
      <c r="AL11" s="19" t="s">
        <v>33</v>
      </c>
      <c r="AM11" s="19" t="s">
        <v>34</v>
      </c>
      <c r="AN11" s="19" t="s">
        <v>35</v>
      </c>
    </row>
    <row r="12" spans="1:40" x14ac:dyDescent="0.25">
      <c r="A12" s="24" t="s">
        <v>108</v>
      </c>
      <c r="B12" s="24" t="s">
        <v>100</v>
      </c>
      <c r="C12" s="24" t="s">
        <v>69</v>
      </c>
      <c r="D12" s="21">
        <f ca="1">SUM(INDIRECT(ADDRESS(ROW(ФевральДанные[[#This Row],[Итого]]),COLUMN(ФевральДанные[[#This Row],[Итого]])+2)):INDIRECT(ADDRESS(ROW(ФевральДанные[[#This Row],[Итого]]),COUNTA(ФевральДанные[#Headers]))))</f>
        <v>0</v>
      </c>
      <c r="E12" s="30">
        <f ca="1">ФевральДанные[[#This Row],[Итого]]/COUNTIFS(ФевральДанные[Соц. Работник],ФевральДанные[[#This Row],[Соц. Работник]])</f>
        <v>0</v>
      </c>
      <c r="F12" s="26">
        <v>0</v>
      </c>
      <c r="G12" s="26">
        <v>0</v>
      </c>
      <c r="H12" s="26">
        <v>0</v>
      </c>
      <c r="I12" s="26">
        <v>0</v>
      </c>
      <c r="J12" s="26">
        <v>0</v>
      </c>
      <c r="K12" s="26">
        <v>0</v>
      </c>
      <c r="L12" s="26">
        <v>0</v>
      </c>
      <c r="M12" s="26">
        <v>0</v>
      </c>
      <c r="N12" s="26">
        <v>0</v>
      </c>
      <c r="O12" s="26">
        <v>0</v>
      </c>
      <c r="P12" s="26">
        <v>0</v>
      </c>
      <c r="Q12" s="26">
        <v>0</v>
      </c>
      <c r="R12" s="26">
        <v>0</v>
      </c>
      <c r="S12" s="26">
        <v>0</v>
      </c>
      <c r="T12" s="26">
        <v>0</v>
      </c>
      <c r="U12" s="26">
        <v>0</v>
      </c>
      <c r="V12" s="26">
        <v>0</v>
      </c>
      <c r="W12" s="26">
        <v>0</v>
      </c>
      <c r="X12" s="26">
        <v>0</v>
      </c>
      <c r="Y12" s="26">
        <v>0</v>
      </c>
      <c r="Z12" s="26">
        <v>0</v>
      </c>
      <c r="AA12" s="26">
        <v>0</v>
      </c>
      <c r="AB12" s="26">
        <v>0</v>
      </c>
      <c r="AC12" s="26">
        <v>0</v>
      </c>
      <c r="AD12" s="26">
        <v>0</v>
      </c>
      <c r="AE12" s="26">
        <v>0</v>
      </c>
      <c r="AF12" s="26">
        <v>0</v>
      </c>
      <c r="AG12" s="26">
        <v>0</v>
      </c>
      <c r="AH12" s="26">
        <v>0</v>
      </c>
      <c r="AI12" s="26">
        <v>0</v>
      </c>
      <c r="AJ12" s="26">
        <v>0</v>
      </c>
      <c r="AK12" s="26">
        <v>0</v>
      </c>
      <c r="AL12" s="26">
        <v>0</v>
      </c>
      <c r="AM12" s="26">
        <v>0</v>
      </c>
      <c r="AN12" s="26">
        <v>0</v>
      </c>
    </row>
  </sheetData>
  <mergeCells count="3">
    <mergeCell ref="I3:K3"/>
    <mergeCell ref="E3:G3"/>
    <mergeCell ref="A3:C3"/>
  </mergeCells>
  <conditionalFormatting sqref="B12">
    <cfRule type="duplicateValues" dxfId="446" priority="90"/>
  </conditionalFormatting>
  <dataValidations count="6">
    <dataValidation type="list" allowBlank="1" showInputMessage="1" showErrorMessage="1" sqref="B1">
      <formula1>Месяц</formula1>
    </dataValidation>
    <dataValidation type="list" allowBlank="1" showInputMessage="1" showErrorMessage="1" sqref="F11:AN11">
      <formula1>Услуга</formula1>
    </dataValidation>
    <dataValidation type="list" allowBlank="1" showInputMessage="1" showErrorMessage="1" sqref="A5:A9">
      <formula1>ТипУслуги</formula1>
    </dataValidation>
    <dataValidation type="list" allowBlank="1" showInputMessage="1" showErrorMessage="1" sqref="C12">
      <formula1>Учет</formula1>
    </dataValidation>
    <dataValidation type="list" allowBlank="1" showInputMessage="1" showErrorMessage="1" sqref="A12">
      <formula1>СоцРаботник</formula1>
    </dataValidation>
    <dataValidation type="list" allowBlank="1" showInputMessage="1" showErrorMessage="1" sqref="C2">
      <formula1>СчетУслуги</formula1>
    </dataValidation>
  </dataValidations>
  <pageMargins left="0.7" right="0.7" top="0.75" bottom="0.75" header="0.3" footer="0.3"/>
  <pageSetup paperSize="9" orientation="portrait" horizontalDpi="0" verticalDpi="0" r:id="rId1"/>
  <ignoredErrors>
    <ignoredError sqref="J6:K6" calculatedColumn="1"/>
  </ignoredErrors>
  <drawing r:id="rId2"/>
  <tableParts count="5">
    <tablePart r:id="rId3"/>
    <tablePart r:id="rId4"/>
    <tablePart r:id="rId5"/>
    <tablePart r:id="rId6"/>
    <tablePart r:id="rId7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8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AN12"/>
  <sheetViews>
    <sheetView zoomScale="90" zoomScaleNormal="90" workbookViewId="0">
      <selection activeCell="B2" sqref="B2"/>
    </sheetView>
  </sheetViews>
  <sheetFormatPr defaultColWidth="9.140625" defaultRowHeight="15.75" x14ac:dyDescent="0.25"/>
  <cols>
    <col min="1" max="1" width="24.85546875" style="1" bestFit="1" customWidth="1"/>
    <col min="2" max="2" width="22.140625" style="1" bestFit="1" customWidth="1"/>
    <col min="3" max="3" width="16.28515625" style="1" bestFit="1" customWidth="1"/>
    <col min="4" max="4" width="4.42578125" style="1" bestFit="1" customWidth="1"/>
    <col min="5" max="5" width="9.140625" style="1" bestFit="1" customWidth="1"/>
    <col min="6" max="6" width="6.7109375" style="1" bestFit="1" customWidth="1"/>
    <col min="7" max="7" width="7" style="1" bestFit="1" customWidth="1"/>
    <col min="8" max="8" width="4" style="1" bestFit="1" customWidth="1"/>
    <col min="9" max="9" width="22.85546875" style="1" bestFit="1" customWidth="1"/>
    <col min="10" max="10" width="6" style="1" bestFit="1" customWidth="1"/>
    <col min="11" max="11" width="5.5703125" style="1" bestFit="1" customWidth="1"/>
    <col min="12" max="14" width="4" style="1" bestFit="1" customWidth="1"/>
    <col min="15" max="16" width="7" style="1" bestFit="1" customWidth="1"/>
    <col min="17" max="17" width="4" style="1" bestFit="1" customWidth="1"/>
    <col min="18" max="18" width="7" style="1" bestFit="1" customWidth="1"/>
    <col min="19" max="20" width="4" style="1" bestFit="1" customWidth="1"/>
    <col min="21" max="21" width="7" style="1" bestFit="1" customWidth="1"/>
    <col min="22" max="22" width="10" style="1" bestFit="1" customWidth="1"/>
    <col min="23" max="23" width="7" style="1" bestFit="1" customWidth="1"/>
    <col min="24" max="26" width="4" style="1" bestFit="1" customWidth="1"/>
    <col min="27" max="27" width="10" style="1" bestFit="1" customWidth="1"/>
    <col min="28" max="28" width="7" style="1" bestFit="1" customWidth="1"/>
    <col min="29" max="29" width="4.42578125" style="1" bestFit="1" customWidth="1"/>
    <col min="30" max="31" width="4" style="1" bestFit="1" customWidth="1"/>
    <col min="32" max="36" width="7" style="1" bestFit="1" customWidth="1"/>
    <col min="37" max="38" width="4" style="1" bestFit="1" customWidth="1"/>
    <col min="39" max="39" width="10" style="1" bestFit="1" customWidth="1"/>
    <col min="40" max="40" width="7" style="1" bestFit="1" customWidth="1"/>
    <col min="41" max="41" width="7.140625" style="1" bestFit="1" customWidth="1"/>
    <col min="42" max="42" width="32.5703125" style="1" customWidth="1"/>
    <col min="43" max="16384" width="9.140625" style="1"/>
  </cols>
  <sheetData>
    <row r="1" spans="1:40" ht="26.25" x14ac:dyDescent="0.4">
      <c r="A1" s="5" t="s">
        <v>0</v>
      </c>
      <c r="B1" s="5" t="s">
        <v>74</v>
      </c>
      <c r="C1" s="1" t="s">
        <v>125</v>
      </c>
    </row>
    <row r="2" spans="1:40" ht="26.25" x14ac:dyDescent="0.4">
      <c r="A2" s="5" t="s">
        <v>86</v>
      </c>
      <c r="B2" s="16"/>
      <c r="C2" s="1" t="s">
        <v>123</v>
      </c>
    </row>
    <row r="3" spans="1:40" x14ac:dyDescent="0.25">
      <c r="A3" s="45" t="s">
        <v>195</v>
      </c>
      <c r="B3" s="46"/>
      <c r="C3" s="46"/>
      <c r="E3" s="45" t="s">
        <v>193</v>
      </c>
      <c r="F3" s="46"/>
      <c r="G3" s="46"/>
      <c r="I3" s="45" t="s">
        <v>194</v>
      </c>
      <c r="J3" s="46"/>
      <c r="K3" s="46"/>
    </row>
    <row r="4" spans="1:40" x14ac:dyDescent="0.25">
      <c r="A4" s="1" t="s">
        <v>0</v>
      </c>
      <c r="B4" s="1" t="s">
        <v>87</v>
      </c>
      <c r="C4" s="1" t="s">
        <v>88</v>
      </c>
      <c r="E4" s="1" t="s">
        <v>0</v>
      </c>
      <c r="F4" t="s">
        <v>87</v>
      </c>
      <c r="G4" s="1" t="s">
        <v>88</v>
      </c>
      <c r="I4" s="39" t="s">
        <v>0</v>
      </c>
      <c r="J4" s="40" t="s">
        <v>87</v>
      </c>
      <c r="K4" s="41" t="s">
        <v>88</v>
      </c>
    </row>
    <row r="5" spans="1:40" x14ac:dyDescent="0.25">
      <c r="A5" s="1" t="s">
        <v>89</v>
      </c>
      <c r="B5" s="1">
        <v>0</v>
      </c>
      <c r="C5" s="1">
        <v>0</v>
      </c>
      <c r="E5" s="1" t="s">
        <v>193</v>
      </c>
      <c r="F5">
        <v>0</v>
      </c>
      <c r="G5" s="1">
        <v>0</v>
      </c>
      <c r="I5" s="37" t="str">
        <f>МартУслуги[[#This Row],[Услуги]]</f>
        <v>Соц-бытовые</v>
      </c>
      <c r="J5" s="36">
        <f>МартУслуги[[#This Row],[б/пл.]]</f>
        <v>0</v>
      </c>
      <c r="K5" s="38">
        <f>МартУслуги[[#This Row],[пл.]]</f>
        <v>0</v>
      </c>
    </row>
    <row r="6" spans="1:40" x14ac:dyDescent="0.25">
      <c r="A6" s="1" t="s">
        <v>90</v>
      </c>
      <c r="B6" s="1">
        <v>0</v>
      </c>
      <c r="C6" s="1">
        <v>0</v>
      </c>
      <c r="I6" s="37" t="str">
        <f>МартУслуги[[#This Row],[Услуги]]</f>
        <v>Соц-медицинские</v>
      </c>
      <c r="J6" s="36">
        <f>МартУслуги[[#This Row],[б/пл.]]-МартСиделка[б/пл.]</f>
        <v>0</v>
      </c>
      <c r="K6" s="38">
        <f>МартУслуги[[#This Row],[пл.]]-МартСиделка[пл.]</f>
        <v>0</v>
      </c>
    </row>
    <row r="7" spans="1:40" x14ac:dyDescent="0.25">
      <c r="A7" s="1" t="s">
        <v>91</v>
      </c>
      <c r="B7" s="1">
        <v>0</v>
      </c>
      <c r="C7" s="1">
        <v>0</v>
      </c>
      <c r="I7" s="37" t="str">
        <f>МартУслуги[[#This Row],[Услуги]]</f>
        <v>Соц-психологические</v>
      </c>
      <c r="J7" s="36">
        <f>МартУслуги[[#This Row],[б/пл.]]</f>
        <v>0</v>
      </c>
      <c r="K7" s="38">
        <f>МартУслуги[[#This Row],[пл.]]</f>
        <v>0</v>
      </c>
    </row>
    <row r="8" spans="1:40" x14ac:dyDescent="0.25">
      <c r="A8" s="1" t="s">
        <v>92</v>
      </c>
      <c r="B8" s="1">
        <v>0</v>
      </c>
      <c r="C8" s="1">
        <v>0</v>
      </c>
      <c r="I8" s="37" t="str">
        <f>МартУслуги[[#This Row],[Услуги]]</f>
        <v>Соц-педагогические</v>
      </c>
      <c r="J8" s="36">
        <f>МартУслуги[[#This Row],[б/пл.]]</f>
        <v>0</v>
      </c>
      <c r="K8" s="38">
        <f>МартУслуги[[#This Row],[пл.]]</f>
        <v>0</v>
      </c>
    </row>
    <row r="9" spans="1:40" x14ac:dyDescent="0.25">
      <c r="A9" s="1" t="s">
        <v>93</v>
      </c>
      <c r="B9" s="1">
        <v>0</v>
      </c>
      <c r="C9" s="1">
        <v>0</v>
      </c>
      <c r="I9" s="42" t="str">
        <f>МартУслуги[[#This Row],[Услуги]]</f>
        <v>Соц-правовые</v>
      </c>
      <c r="J9" s="36">
        <f>МартУслуги[[#This Row],[б/пл.]]</f>
        <v>0</v>
      </c>
      <c r="K9" s="38">
        <f>МартУслуги[[#This Row],[пл.]]</f>
        <v>0</v>
      </c>
    </row>
    <row r="11" spans="1:40" s="18" customFormat="1" ht="134.25" x14ac:dyDescent="0.25">
      <c r="A11" s="20" t="s">
        <v>94</v>
      </c>
      <c r="B11" s="20" t="s">
        <v>95</v>
      </c>
      <c r="C11" s="20" t="s">
        <v>68</v>
      </c>
      <c r="D11" s="19" t="s">
        <v>96</v>
      </c>
      <c r="E11" s="19" t="s">
        <v>97</v>
      </c>
      <c r="F11" s="19" t="s">
        <v>1</v>
      </c>
      <c r="G11" s="19" t="s">
        <v>2</v>
      </c>
      <c r="H11" s="19" t="s">
        <v>3</v>
      </c>
      <c r="I11" s="19" t="s">
        <v>4</v>
      </c>
      <c r="J11" s="19" t="s">
        <v>5</v>
      </c>
      <c r="K11" s="19" t="s">
        <v>6</v>
      </c>
      <c r="L11" s="19" t="s">
        <v>7</v>
      </c>
      <c r="M11" s="19" t="s">
        <v>8</v>
      </c>
      <c r="N11" s="19" t="s">
        <v>9</v>
      </c>
      <c r="O11" s="19" t="s">
        <v>10</v>
      </c>
      <c r="P11" s="19" t="s">
        <v>11</v>
      </c>
      <c r="Q11" s="19" t="s">
        <v>12</v>
      </c>
      <c r="R11" s="19" t="s">
        <v>13</v>
      </c>
      <c r="S11" s="19" t="s">
        <v>14</v>
      </c>
      <c r="T11" s="19" t="s">
        <v>15</v>
      </c>
      <c r="U11" s="19" t="s">
        <v>16</v>
      </c>
      <c r="V11" s="19" t="s">
        <v>17</v>
      </c>
      <c r="W11" s="19" t="s">
        <v>18</v>
      </c>
      <c r="X11" s="19" t="s">
        <v>19</v>
      </c>
      <c r="Y11" s="19" t="s">
        <v>20</v>
      </c>
      <c r="Z11" s="19" t="s">
        <v>21</v>
      </c>
      <c r="AA11" s="19" t="s">
        <v>22</v>
      </c>
      <c r="AB11" s="19" t="s">
        <v>23</v>
      </c>
      <c r="AC11" s="19" t="s">
        <v>24</v>
      </c>
      <c r="AD11" s="19" t="s">
        <v>25</v>
      </c>
      <c r="AE11" s="19" t="s">
        <v>26</v>
      </c>
      <c r="AF11" s="19" t="s">
        <v>27</v>
      </c>
      <c r="AG11" s="19" t="s">
        <v>28</v>
      </c>
      <c r="AH11" s="19" t="s">
        <v>29</v>
      </c>
      <c r="AI11" s="19" t="s">
        <v>30</v>
      </c>
      <c r="AJ11" s="19" t="s">
        <v>31</v>
      </c>
      <c r="AK11" s="19" t="s">
        <v>32</v>
      </c>
      <c r="AL11" s="19" t="s">
        <v>33</v>
      </c>
      <c r="AM11" s="19" t="s">
        <v>34</v>
      </c>
      <c r="AN11" s="19" t="s">
        <v>35</v>
      </c>
    </row>
    <row r="12" spans="1:40" x14ac:dyDescent="0.25">
      <c r="A12" s="24" t="s">
        <v>108</v>
      </c>
      <c r="B12" s="24" t="s">
        <v>100</v>
      </c>
      <c r="C12" s="24" t="s">
        <v>69</v>
      </c>
      <c r="D12" s="21">
        <f ca="1">SUM(INDIRECT(ADDRESS(ROW(МартДанные[[#This Row],[Итого]]),COLUMN(МартДанные[[#This Row],[Итого]])+2)):INDIRECT(ADDRESS(ROW(МартДанные[[#This Row],[Итого]]),COUNTA(МартДанные[#Headers]))))</f>
        <v>0</v>
      </c>
      <c r="E12" s="30">
        <f ca="1">МартДанные[[#This Row],[Итого]]/COUNTIFS(МартДанные[Соц. Работник],МартДанные[[#This Row],[Соц. Работник]])</f>
        <v>0</v>
      </c>
      <c r="F12" s="26">
        <v>0</v>
      </c>
      <c r="G12" s="26">
        <v>0</v>
      </c>
      <c r="H12" s="26">
        <v>0</v>
      </c>
      <c r="I12" s="26">
        <v>0</v>
      </c>
      <c r="J12" s="26">
        <v>0</v>
      </c>
      <c r="K12" s="26">
        <v>0</v>
      </c>
      <c r="L12" s="26">
        <v>0</v>
      </c>
      <c r="M12" s="26">
        <v>0</v>
      </c>
      <c r="N12" s="26">
        <v>0</v>
      </c>
      <c r="O12" s="26">
        <v>0</v>
      </c>
      <c r="P12" s="26">
        <v>0</v>
      </c>
      <c r="Q12" s="26">
        <v>0</v>
      </c>
      <c r="R12" s="26">
        <v>0</v>
      </c>
      <c r="S12" s="26">
        <v>0</v>
      </c>
      <c r="T12" s="26">
        <v>0</v>
      </c>
      <c r="U12" s="26">
        <v>0</v>
      </c>
      <c r="V12" s="26">
        <v>0</v>
      </c>
      <c r="W12" s="26">
        <v>0</v>
      </c>
      <c r="X12" s="26">
        <v>0</v>
      </c>
      <c r="Y12" s="26">
        <v>0</v>
      </c>
      <c r="Z12" s="26">
        <v>0</v>
      </c>
      <c r="AA12" s="26">
        <v>0</v>
      </c>
      <c r="AB12" s="26">
        <v>0</v>
      </c>
      <c r="AC12" s="26">
        <v>0</v>
      </c>
      <c r="AD12" s="26">
        <v>0</v>
      </c>
      <c r="AE12" s="26">
        <v>0</v>
      </c>
      <c r="AF12" s="26">
        <v>0</v>
      </c>
      <c r="AG12" s="26">
        <v>0</v>
      </c>
      <c r="AH12" s="26">
        <v>0</v>
      </c>
      <c r="AI12" s="26">
        <v>0</v>
      </c>
      <c r="AJ12" s="26">
        <v>0</v>
      </c>
      <c r="AK12" s="26">
        <v>0</v>
      </c>
      <c r="AL12" s="26">
        <v>0</v>
      </c>
      <c r="AM12" s="26">
        <v>0</v>
      </c>
      <c r="AN12" s="26">
        <v>0</v>
      </c>
    </row>
  </sheetData>
  <mergeCells count="3">
    <mergeCell ref="I3:K3"/>
    <mergeCell ref="E3:G3"/>
    <mergeCell ref="A3:C3"/>
  </mergeCells>
  <conditionalFormatting sqref="B12">
    <cfRule type="duplicateValues" dxfId="445" priority="91"/>
  </conditionalFormatting>
  <dataValidations count="6">
    <dataValidation type="list" allowBlank="1" showInputMessage="1" showErrorMessage="1" sqref="A5:A9">
      <formula1>ТипУслуги</formula1>
    </dataValidation>
    <dataValidation type="list" allowBlank="1" showInputMessage="1" showErrorMessage="1" sqref="F11:AN11">
      <formula1>Услуга</formula1>
    </dataValidation>
    <dataValidation type="list" allowBlank="1" showInputMessage="1" showErrorMessage="1" sqref="B1">
      <formula1>Месяц</formula1>
    </dataValidation>
    <dataValidation type="list" allowBlank="1" showInputMessage="1" showErrorMessage="1" sqref="C2">
      <formula1>СчетУслуги</formula1>
    </dataValidation>
    <dataValidation type="list" allowBlank="1" showInputMessage="1" showErrorMessage="1" sqref="A12">
      <formula1>СоцРаботник</formula1>
    </dataValidation>
    <dataValidation type="list" allowBlank="1" showInputMessage="1" showErrorMessage="1" sqref="C12">
      <formula1>Учет</formula1>
    </dataValidation>
  </dataValidations>
  <pageMargins left="0.7" right="0.7" top="0.75" bottom="0.75" header="0.3" footer="0.3"/>
  <pageSetup paperSize="9" orientation="portrait" horizontalDpi="0" verticalDpi="0" r:id="rId1"/>
  <ignoredErrors>
    <ignoredError sqref="J6:K6" calculatedColumn="1"/>
  </ignoredErrors>
  <drawing r:id="rId2"/>
  <tableParts count="5">
    <tablePart r:id="rId3"/>
    <tablePart r:id="rId4"/>
    <tablePart r:id="rId5"/>
    <tablePart r:id="rId6"/>
    <tablePart r:id="rId7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8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/>
  <dimension ref="A1:AN12"/>
  <sheetViews>
    <sheetView zoomScale="89" zoomScaleNormal="89" workbookViewId="0">
      <selection activeCell="B2" sqref="B2"/>
    </sheetView>
  </sheetViews>
  <sheetFormatPr defaultColWidth="9.140625" defaultRowHeight="15.75" x14ac:dyDescent="0.25"/>
  <cols>
    <col min="1" max="1" width="24.85546875" style="1" bestFit="1" customWidth="1"/>
    <col min="2" max="2" width="22.140625" style="1" bestFit="1" customWidth="1"/>
    <col min="3" max="3" width="16.28515625" style="1" customWidth="1"/>
    <col min="4" max="4" width="4.42578125" style="1" bestFit="1" customWidth="1"/>
    <col min="5" max="5" width="9.140625" style="1" bestFit="1" customWidth="1"/>
    <col min="6" max="6" width="6.7109375" style="1" bestFit="1" customWidth="1"/>
    <col min="7" max="7" width="7" style="1" bestFit="1" customWidth="1"/>
    <col min="8" max="8" width="4" style="1" bestFit="1" customWidth="1"/>
    <col min="9" max="9" width="22.85546875" style="1" bestFit="1" customWidth="1"/>
    <col min="10" max="10" width="6.140625" style="1" bestFit="1" customWidth="1"/>
    <col min="11" max="11" width="5.5703125" style="1" bestFit="1" customWidth="1"/>
    <col min="12" max="14" width="4" style="1" bestFit="1" customWidth="1"/>
    <col min="15" max="16" width="7" style="1" bestFit="1" customWidth="1"/>
    <col min="17" max="17" width="4" style="1" bestFit="1" customWidth="1"/>
    <col min="18" max="18" width="7" style="1" bestFit="1" customWidth="1"/>
    <col min="19" max="20" width="4" style="1" bestFit="1" customWidth="1"/>
    <col min="21" max="21" width="7" style="1" bestFit="1" customWidth="1"/>
    <col min="22" max="22" width="10.140625" style="1" bestFit="1" customWidth="1"/>
    <col min="23" max="23" width="7" style="1" bestFit="1" customWidth="1"/>
    <col min="24" max="26" width="4" style="1" bestFit="1" customWidth="1"/>
    <col min="27" max="27" width="10.140625" style="1" bestFit="1" customWidth="1"/>
    <col min="28" max="28" width="7" style="1" bestFit="1" customWidth="1"/>
    <col min="29" max="29" width="4.42578125" style="1" bestFit="1" customWidth="1"/>
    <col min="30" max="30" width="7" style="1" bestFit="1" customWidth="1"/>
    <col min="31" max="31" width="4" style="1" bestFit="1" customWidth="1"/>
    <col min="32" max="36" width="7" style="1" bestFit="1" customWidth="1"/>
    <col min="37" max="38" width="4" style="1" bestFit="1" customWidth="1"/>
    <col min="39" max="39" width="10.140625" style="1" bestFit="1" customWidth="1"/>
    <col min="40" max="40" width="7" style="1" bestFit="1" customWidth="1"/>
    <col min="41" max="41" width="7.140625" style="1" bestFit="1" customWidth="1"/>
    <col min="42" max="42" width="32.5703125" style="1" customWidth="1"/>
    <col min="43" max="16384" width="9.140625" style="1"/>
  </cols>
  <sheetData>
    <row r="1" spans="1:40" ht="26.25" x14ac:dyDescent="0.4">
      <c r="A1" s="5" t="s">
        <v>0</v>
      </c>
      <c r="B1" s="5" t="s">
        <v>75</v>
      </c>
      <c r="C1" s="1" t="s">
        <v>125</v>
      </c>
    </row>
    <row r="2" spans="1:40" ht="26.25" x14ac:dyDescent="0.4">
      <c r="A2" s="5" t="s">
        <v>86</v>
      </c>
      <c r="B2" s="16"/>
      <c r="C2" s="1" t="s">
        <v>123</v>
      </c>
    </row>
    <row r="3" spans="1:40" x14ac:dyDescent="0.25">
      <c r="A3" s="45" t="s">
        <v>195</v>
      </c>
      <c r="B3" s="46"/>
      <c r="C3" s="46"/>
      <c r="E3" s="45" t="s">
        <v>193</v>
      </c>
      <c r="F3" s="46"/>
      <c r="G3" s="46"/>
      <c r="I3" s="45" t="s">
        <v>194</v>
      </c>
      <c r="J3" s="46"/>
      <c r="K3" s="46"/>
    </row>
    <row r="4" spans="1:40" x14ac:dyDescent="0.25">
      <c r="A4" s="1" t="s">
        <v>0</v>
      </c>
      <c r="B4" s="1" t="s">
        <v>87</v>
      </c>
      <c r="C4" s="1" t="s">
        <v>88</v>
      </c>
      <c r="E4" s="1" t="s">
        <v>0</v>
      </c>
      <c r="F4" t="s">
        <v>87</v>
      </c>
      <c r="G4" s="1" t="s">
        <v>88</v>
      </c>
      <c r="I4" s="39" t="s">
        <v>0</v>
      </c>
      <c r="J4" s="40" t="s">
        <v>87</v>
      </c>
      <c r="K4" s="41" t="s">
        <v>88</v>
      </c>
    </row>
    <row r="5" spans="1:40" x14ac:dyDescent="0.25">
      <c r="A5" s="1" t="s">
        <v>89</v>
      </c>
      <c r="B5" s="1">
        <v>0</v>
      </c>
      <c r="C5" s="1">
        <v>0</v>
      </c>
      <c r="E5" s="1" t="s">
        <v>193</v>
      </c>
      <c r="F5">
        <v>0</v>
      </c>
      <c r="G5" s="1">
        <v>0</v>
      </c>
      <c r="I5" s="37" t="str">
        <f>АпрельУслуги[[#This Row],[Услуги]]</f>
        <v>Соц-бытовые</v>
      </c>
      <c r="J5" s="36">
        <f>АпрельУслуги[[#This Row],[б/пл.]]</f>
        <v>0</v>
      </c>
      <c r="K5" s="38">
        <f>АпрельУслуги[[#This Row],[пл.]]</f>
        <v>0</v>
      </c>
    </row>
    <row r="6" spans="1:40" x14ac:dyDescent="0.25">
      <c r="A6" s="1" t="s">
        <v>90</v>
      </c>
      <c r="B6" s="1">
        <v>0</v>
      </c>
      <c r="C6" s="1">
        <v>0</v>
      </c>
      <c r="I6" s="37" t="str">
        <f>АпрельУслуги[[#This Row],[Услуги]]</f>
        <v>Соц-медицинские</v>
      </c>
      <c r="J6" s="36">
        <f>АпрельУслуги[[#This Row],[б/пл.]]-АпрельСиделка[б/пл.]</f>
        <v>0</v>
      </c>
      <c r="K6" s="38">
        <f>АпрельУслуги[[#This Row],[пл.]]-АпрельСиделка[пл.]</f>
        <v>0</v>
      </c>
    </row>
    <row r="7" spans="1:40" x14ac:dyDescent="0.25">
      <c r="A7" s="1" t="s">
        <v>91</v>
      </c>
      <c r="B7" s="1">
        <v>0</v>
      </c>
      <c r="C7" s="1">
        <v>0</v>
      </c>
      <c r="I7" s="37" t="str">
        <f>АпрельУслуги[[#This Row],[Услуги]]</f>
        <v>Соц-психологические</v>
      </c>
      <c r="J7" s="36">
        <f>АпрельУслуги[[#This Row],[б/пл.]]</f>
        <v>0</v>
      </c>
      <c r="K7" s="38">
        <f>АпрельУслуги[[#This Row],[пл.]]</f>
        <v>0</v>
      </c>
    </row>
    <row r="8" spans="1:40" x14ac:dyDescent="0.25">
      <c r="A8" s="1" t="s">
        <v>92</v>
      </c>
      <c r="B8" s="1">
        <v>0</v>
      </c>
      <c r="C8" s="1">
        <v>0</v>
      </c>
      <c r="I8" s="37" t="str">
        <f>АпрельУслуги[[#This Row],[Услуги]]</f>
        <v>Соц-педагогические</v>
      </c>
      <c r="J8" s="36">
        <f>АпрельУслуги[[#This Row],[б/пл.]]</f>
        <v>0</v>
      </c>
      <c r="K8" s="38">
        <f>АпрельУслуги[[#This Row],[пл.]]</f>
        <v>0</v>
      </c>
    </row>
    <row r="9" spans="1:40" x14ac:dyDescent="0.25">
      <c r="A9" s="1" t="s">
        <v>93</v>
      </c>
      <c r="B9" s="1">
        <v>0</v>
      </c>
      <c r="C9" s="1">
        <v>0</v>
      </c>
      <c r="I9" s="42" t="str">
        <f>АпрельУслуги[[#This Row],[Услуги]]</f>
        <v>Соц-правовые</v>
      </c>
      <c r="J9" s="36">
        <f>АпрельУслуги[[#This Row],[б/пл.]]</f>
        <v>0</v>
      </c>
      <c r="K9" s="38">
        <f>АпрельУслуги[[#This Row],[пл.]]</f>
        <v>0</v>
      </c>
    </row>
    <row r="11" spans="1:40" s="18" customFormat="1" ht="134.25" x14ac:dyDescent="0.25">
      <c r="A11" s="20" t="s">
        <v>94</v>
      </c>
      <c r="B11" s="20" t="s">
        <v>95</v>
      </c>
      <c r="C11" s="20" t="s">
        <v>68</v>
      </c>
      <c r="D11" s="19" t="s">
        <v>96</v>
      </c>
      <c r="E11" s="19" t="s">
        <v>97</v>
      </c>
      <c r="F11" s="19" t="s">
        <v>1</v>
      </c>
      <c r="G11" s="19" t="s">
        <v>2</v>
      </c>
      <c r="H11" s="19" t="s">
        <v>3</v>
      </c>
      <c r="I11" s="19" t="s">
        <v>4</v>
      </c>
      <c r="J11" s="19" t="s">
        <v>5</v>
      </c>
      <c r="K11" s="19" t="s">
        <v>6</v>
      </c>
      <c r="L11" s="19" t="s">
        <v>7</v>
      </c>
      <c r="M11" s="19" t="s">
        <v>8</v>
      </c>
      <c r="N11" s="19" t="s">
        <v>9</v>
      </c>
      <c r="O11" s="19" t="s">
        <v>10</v>
      </c>
      <c r="P11" s="19" t="s">
        <v>11</v>
      </c>
      <c r="Q11" s="19" t="s">
        <v>12</v>
      </c>
      <c r="R11" s="19" t="s">
        <v>13</v>
      </c>
      <c r="S11" s="19" t="s">
        <v>14</v>
      </c>
      <c r="T11" s="19" t="s">
        <v>15</v>
      </c>
      <c r="U11" s="19" t="s">
        <v>16</v>
      </c>
      <c r="V11" s="19" t="s">
        <v>17</v>
      </c>
      <c r="W11" s="19" t="s">
        <v>18</v>
      </c>
      <c r="X11" s="19" t="s">
        <v>19</v>
      </c>
      <c r="Y11" s="19" t="s">
        <v>20</v>
      </c>
      <c r="Z11" s="19" t="s">
        <v>21</v>
      </c>
      <c r="AA11" s="19" t="s">
        <v>22</v>
      </c>
      <c r="AB11" s="19" t="s">
        <v>23</v>
      </c>
      <c r="AC11" s="19" t="s">
        <v>24</v>
      </c>
      <c r="AD11" s="19" t="s">
        <v>25</v>
      </c>
      <c r="AE11" s="19" t="s">
        <v>26</v>
      </c>
      <c r="AF11" s="19" t="s">
        <v>27</v>
      </c>
      <c r="AG11" s="19" t="s">
        <v>28</v>
      </c>
      <c r="AH11" s="19" t="s">
        <v>29</v>
      </c>
      <c r="AI11" s="19" t="s">
        <v>30</v>
      </c>
      <c r="AJ11" s="19" t="s">
        <v>31</v>
      </c>
      <c r="AK11" s="19" t="s">
        <v>32</v>
      </c>
      <c r="AL11" s="19" t="s">
        <v>33</v>
      </c>
      <c r="AM11" s="19" t="s">
        <v>34</v>
      </c>
      <c r="AN11" s="19" t="s">
        <v>35</v>
      </c>
    </row>
    <row r="12" spans="1:40" x14ac:dyDescent="0.25">
      <c r="A12" s="24" t="s">
        <v>108</v>
      </c>
      <c r="B12" s="24" t="s">
        <v>100</v>
      </c>
      <c r="C12" s="24" t="s">
        <v>69</v>
      </c>
      <c r="D12" s="21">
        <f ca="1">SUM(INDIRECT(ADDRESS(ROW(АпрельДанные[[#This Row],[Итого]]),COLUMN(АпрельДанные[[#This Row],[Итого]])+2)):INDIRECT(ADDRESS(ROW(АпрельДанные[[#This Row],[Итого]]),COUNTA(АпрельДанные[#Headers]))))</f>
        <v>0</v>
      </c>
      <c r="E12" s="30">
        <f ca="1">АпрельДанные[[#This Row],[Итого]]/COUNTIFS(АпрельДанные[Соц. Работник],АпрельДанные[[#This Row],[Соц. Работник]])</f>
        <v>0</v>
      </c>
      <c r="F12" s="26">
        <v>0</v>
      </c>
      <c r="G12" s="26">
        <v>0</v>
      </c>
      <c r="H12" s="26">
        <v>0</v>
      </c>
      <c r="I12" s="26">
        <v>0</v>
      </c>
      <c r="J12" s="26">
        <v>0</v>
      </c>
      <c r="K12" s="26">
        <v>0</v>
      </c>
      <c r="L12" s="26">
        <v>0</v>
      </c>
      <c r="M12" s="26">
        <v>0</v>
      </c>
      <c r="N12" s="26">
        <v>0</v>
      </c>
      <c r="O12" s="26">
        <v>0</v>
      </c>
      <c r="P12" s="26">
        <v>0</v>
      </c>
      <c r="Q12" s="26">
        <v>0</v>
      </c>
      <c r="R12" s="26">
        <v>0</v>
      </c>
      <c r="S12" s="26">
        <v>0</v>
      </c>
      <c r="T12" s="26">
        <v>0</v>
      </c>
      <c r="U12" s="26">
        <v>0</v>
      </c>
      <c r="V12" s="26">
        <v>0</v>
      </c>
      <c r="W12" s="26">
        <v>0</v>
      </c>
      <c r="X12" s="26">
        <v>0</v>
      </c>
      <c r="Y12" s="26">
        <v>0</v>
      </c>
      <c r="Z12" s="26">
        <v>0</v>
      </c>
      <c r="AA12" s="26">
        <v>0</v>
      </c>
      <c r="AB12" s="26">
        <v>0</v>
      </c>
      <c r="AC12" s="26">
        <v>0</v>
      </c>
      <c r="AD12" s="26">
        <v>0</v>
      </c>
      <c r="AE12" s="26">
        <v>0</v>
      </c>
      <c r="AF12" s="26">
        <v>0</v>
      </c>
      <c r="AG12" s="26">
        <v>0</v>
      </c>
      <c r="AH12" s="26">
        <v>0</v>
      </c>
      <c r="AI12" s="26">
        <v>0</v>
      </c>
      <c r="AJ12" s="26">
        <v>0</v>
      </c>
      <c r="AK12" s="26">
        <v>0</v>
      </c>
      <c r="AL12" s="26">
        <v>0</v>
      </c>
      <c r="AM12" s="26">
        <v>0</v>
      </c>
      <c r="AN12" s="26">
        <v>0</v>
      </c>
    </row>
  </sheetData>
  <mergeCells count="3">
    <mergeCell ref="I3:K3"/>
    <mergeCell ref="E3:G3"/>
    <mergeCell ref="A3:C3"/>
  </mergeCells>
  <conditionalFormatting sqref="B12">
    <cfRule type="duplicateValues" dxfId="444" priority="92"/>
  </conditionalFormatting>
  <dataValidations count="6">
    <dataValidation type="list" allowBlank="1" showInputMessage="1" showErrorMessage="1" sqref="C2">
      <formula1>СчетУслуги</formula1>
    </dataValidation>
    <dataValidation type="list" allowBlank="1" showInputMessage="1" showErrorMessage="1" sqref="B1">
      <formula1>Месяц</formula1>
    </dataValidation>
    <dataValidation type="list" allowBlank="1" showInputMessage="1" showErrorMessage="1" sqref="F11:AN11">
      <formula1>Услуга</formula1>
    </dataValidation>
    <dataValidation type="list" allowBlank="1" showInputMessage="1" showErrorMessage="1" sqref="A5:A9">
      <formula1>ТипУслуги</formula1>
    </dataValidation>
    <dataValidation type="list" allowBlank="1" showInputMessage="1" showErrorMessage="1" sqref="C12">
      <formula1>Учет</formula1>
    </dataValidation>
    <dataValidation type="list" allowBlank="1" showInputMessage="1" showErrorMessage="1" sqref="A12">
      <formula1>СоцРаботник</formula1>
    </dataValidation>
  </dataValidations>
  <pageMargins left="0.7" right="0.7" top="0.75" bottom="0.75" header="0.3" footer="0.3"/>
  <pageSetup paperSize="9" orientation="portrait" horizontalDpi="0" verticalDpi="0" r:id="rId1"/>
  <ignoredErrors>
    <ignoredError sqref="J6:K6" calculatedColumn="1"/>
  </ignoredErrors>
  <drawing r:id="rId2"/>
  <tableParts count="5">
    <tablePart r:id="rId3"/>
    <tablePart r:id="rId4"/>
    <tablePart r:id="rId5"/>
    <tablePart r:id="rId6"/>
    <tablePart r:id="rId7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8"/>
      </x14:slicerList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/>
  <dimension ref="A1:AN12"/>
  <sheetViews>
    <sheetView zoomScale="87" zoomScaleNormal="87" workbookViewId="0">
      <selection activeCell="B2" sqref="B2"/>
    </sheetView>
  </sheetViews>
  <sheetFormatPr defaultColWidth="9.140625" defaultRowHeight="15.75" x14ac:dyDescent="0.25"/>
  <cols>
    <col min="1" max="1" width="25.42578125" style="1" bestFit="1" customWidth="1"/>
    <col min="2" max="2" width="22.140625" style="1" bestFit="1" customWidth="1"/>
    <col min="3" max="3" width="16.7109375" style="1" bestFit="1" customWidth="1"/>
    <col min="4" max="4" width="4.5703125" style="1" bestFit="1" customWidth="1"/>
    <col min="5" max="5" width="9.140625" style="1" bestFit="1" customWidth="1"/>
    <col min="6" max="7" width="6.85546875" style="1" bestFit="1" customWidth="1"/>
    <col min="8" max="8" width="3.85546875" style="1" bestFit="1" customWidth="1"/>
    <col min="9" max="9" width="22.85546875" style="1" bestFit="1" customWidth="1"/>
    <col min="10" max="10" width="6.28515625" style="1" bestFit="1" customWidth="1"/>
    <col min="11" max="11" width="5.7109375" style="1" bestFit="1" customWidth="1"/>
    <col min="12" max="14" width="3.85546875" style="1" bestFit="1" customWidth="1"/>
    <col min="15" max="16" width="6.85546875" style="1" bestFit="1" customWidth="1"/>
    <col min="17" max="17" width="3.85546875" style="1" bestFit="1" customWidth="1"/>
    <col min="18" max="18" width="6.85546875" style="1" bestFit="1" customWidth="1"/>
    <col min="19" max="20" width="3.85546875" style="1" bestFit="1" customWidth="1"/>
    <col min="21" max="21" width="6.85546875" style="1" bestFit="1" customWidth="1"/>
    <col min="22" max="22" width="9.85546875" style="1" bestFit="1" customWidth="1"/>
    <col min="23" max="23" width="6.85546875" style="1" bestFit="1" customWidth="1"/>
    <col min="24" max="26" width="3.85546875" style="1" bestFit="1" customWidth="1"/>
    <col min="27" max="27" width="9.85546875" style="1" bestFit="1" customWidth="1"/>
    <col min="28" max="28" width="6.85546875" style="1" bestFit="1" customWidth="1"/>
    <col min="29" max="29" width="4.5703125" style="1" bestFit="1" customWidth="1"/>
    <col min="30" max="30" width="6.85546875" style="1" bestFit="1" customWidth="1"/>
    <col min="31" max="31" width="3.85546875" style="1" bestFit="1" customWidth="1"/>
    <col min="32" max="36" width="6.85546875" style="1" bestFit="1" customWidth="1"/>
    <col min="37" max="38" width="3.85546875" style="1" bestFit="1" customWidth="1"/>
    <col min="39" max="39" width="9.85546875" style="1" bestFit="1" customWidth="1"/>
    <col min="40" max="40" width="6.85546875" style="1" bestFit="1" customWidth="1"/>
    <col min="41" max="41" width="7.140625" style="1" bestFit="1" customWidth="1"/>
    <col min="42" max="42" width="32.5703125" style="1" customWidth="1"/>
    <col min="43" max="16384" width="9.140625" style="1"/>
  </cols>
  <sheetData>
    <row r="1" spans="1:40" ht="26.25" x14ac:dyDescent="0.4">
      <c r="A1" s="5" t="s">
        <v>0</v>
      </c>
      <c r="B1" s="5" t="s">
        <v>76</v>
      </c>
      <c r="C1" s="1" t="s">
        <v>125</v>
      </c>
    </row>
    <row r="2" spans="1:40" ht="26.25" x14ac:dyDescent="0.4">
      <c r="A2" s="5" t="s">
        <v>86</v>
      </c>
      <c r="B2" s="16"/>
      <c r="C2" s="1" t="s">
        <v>123</v>
      </c>
    </row>
    <row r="3" spans="1:40" x14ac:dyDescent="0.25">
      <c r="A3" s="45" t="s">
        <v>195</v>
      </c>
      <c r="B3" s="46"/>
      <c r="C3" s="46"/>
      <c r="E3" s="45" t="s">
        <v>193</v>
      </c>
      <c r="F3" s="46"/>
      <c r="G3" s="46"/>
      <c r="I3" s="45" t="s">
        <v>194</v>
      </c>
      <c r="J3" s="46"/>
      <c r="K3" s="46"/>
    </row>
    <row r="4" spans="1:40" x14ac:dyDescent="0.25">
      <c r="A4" s="1" t="s">
        <v>0</v>
      </c>
      <c r="B4" s="1" t="s">
        <v>87</v>
      </c>
      <c r="C4" s="1" t="s">
        <v>88</v>
      </c>
      <c r="E4" s="1" t="s">
        <v>0</v>
      </c>
      <c r="F4" t="s">
        <v>87</v>
      </c>
      <c r="G4" s="1" t="s">
        <v>88</v>
      </c>
      <c r="I4" s="39" t="s">
        <v>0</v>
      </c>
      <c r="J4" s="40" t="s">
        <v>87</v>
      </c>
      <c r="K4" s="41" t="s">
        <v>88</v>
      </c>
    </row>
    <row r="5" spans="1:40" x14ac:dyDescent="0.25">
      <c r="A5" s="1" t="s">
        <v>89</v>
      </c>
      <c r="B5" s="1">
        <v>0</v>
      </c>
      <c r="C5" s="1">
        <v>0</v>
      </c>
      <c r="E5" s="1" t="s">
        <v>193</v>
      </c>
      <c r="F5">
        <v>0</v>
      </c>
      <c r="G5" s="1">
        <v>0</v>
      </c>
      <c r="I5" s="37" t="str">
        <f>МайУслуги[[#This Row],[Услуги]]</f>
        <v>Соц-бытовые</v>
      </c>
      <c r="J5" s="36">
        <f>МайУслуги[[#This Row],[б/пл.]]</f>
        <v>0</v>
      </c>
      <c r="K5" s="38">
        <f>МайУслуги[[#This Row],[пл.]]</f>
        <v>0</v>
      </c>
    </row>
    <row r="6" spans="1:40" x14ac:dyDescent="0.25">
      <c r="A6" s="1" t="s">
        <v>90</v>
      </c>
      <c r="B6" s="1">
        <v>0</v>
      </c>
      <c r="C6" s="1">
        <v>0</v>
      </c>
      <c r="I6" s="37" t="str">
        <f>МайУслуги[[#This Row],[Услуги]]</f>
        <v>Соц-медицинские</v>
      </c>
      <c r="J6" s="36">
        <f>МайУслуги[[#This Row],[б/пл.]]-МайСиделка[б/пл.]</f>
        <v>0</v>
      </c>
      <c r="K6" s="38">
        <f>МайУслуги[[#This Row],[пл.]]-МайСиделка[пл.]</f>
        <v>0</v>
      </c>
    </row>
    <row r="7" spans="1:40" x14ac:dyDescent="0.25">
      <c r="A7" s="1" t="s">
        <v>91</v>
      </c>
      <c r="B7" s="1">
        <v>0</v>
      </c>
      <c r="C7" s="1">
        <v>0</v>
      </c>
      <c r="I7" s="37" t="str">
        <f>МайУслуги[[#This Row],[Услуги]]</f>
        <v>Соц-психологические</v>
      </c>
      <c r="J7" s="36">
        <f>МайУслуги[[#This Row],[б/пл.]]</f>
        <v>0</v>
      </c>
      <c r="K7" s="38">
        <f>МайУслуги[[#This Row],[пл.]]</f>
        <v>0</v>
      </c>
    </row>
    <row r="8" spans="1:40" x14ac:dyDescent="0.25">
      <c r="A8" s="1" t="s">
        <v>92</v>
      </c>
      <c r="B8" s="1">
        <v>0</v>
      </c>
      <c r="C8" s="1">
        <v>0</v>
      </c>
      <c r="I8" s="37" t="str">
        <f>МайУслуги[[#This Row],[Услуги]]</f>
        <v>Соц-педагогические</v>
      </c>
      <c r="J8" s="36">
        <f>МайУслуги[[#This Row],[б/пл.]]</f>
        <v>0</v>
      </c>
      <c r="K8" s="38">
        <f>МайУслуги[[#This Row],[пл.]]</f>
        <v>0</v>
      </c>
    </row>
    <row r="9" spans="1:40" x14ac:dyDescent="0.25">
      <c r="A9" s="1" t="s">
        <v>93</v>
      </c>
      <c r="B9" s="1">
        <v>0</v>
      </c>
      <c r="C9" s="1">
        <v>0</v>
      </c>
      <c r="I9" s="42" t="str">
        <f>МайУслуги[[#This Row],[Услуги]]</f>
        <v>Соц-правовые</v>
      </c>
      <c r="J9" s="36">
        <f>МайУслуги[[#This Row],[б/пл.]]</f>
        <v>0</v>
      </c>
      <c r="K9" s="38">
        <f>МайУслуги[[#This Row],[пл.]]</f>
        <v>0</v>
      </c>
    </row>
    <row r="11" spans="1:40" s="18" customFormat="1" ht="134.25" x14ac:dyDescent="0.25">
      <c r="A11" s="20" t="s">
        <v>94</v>
      </c>
      <c r="B11" s="20" t="s">
        <v>95</v>
      </c>
      <c r="C11" s="20" t="s">
        <v>68</v>
      </c>
      <c r="D11" s="19" t="s">
        <v>96</v>
      </c>
      <c r="E11" s="19" t="s">
        <v>97</v>
      </c>
      <c r="F11" s="19" t="s">
        <v>1</v>
      </c>
      <c r="G11" s="19" t="s">
        <v>2</v>
      </c>
      <c r="H11" s="19" t="s">
        <v>3</v>
      </c>
      <c r="I11" s="19" t="s">
        <v>4</v>
      </c>
      <c r="J11" s="19" t="s">
        <v>5</v>
      </c>
      <c r="K11" s="19" t="s">
        <v>6</v>
      </c>
      <c r="L11" s="19" t="s">
        <v>7</v>
      </c>
      <c r="M11" s="19" t="s">
        <v>8</v>
      </c>
      <c r="N11" s="19" t="s">
        <v>9</v>
      </c>
      <c r="O11" s="19" t="s">
        <v>10</v>
      </c>
      <c r="P11" s="19" t="s">
        <v>11</v>
      </c>
      <c r="Q11" s="19" t="s">
        <v>12</v>
      </c>
      <c r="R11" s="19" t="s">
        <v>13</v>
      </c>
      <c r="S11" s="19" t="s">
        <v>14</v>
      </c>
      <c r="T11" s="19" t="s">
        <v>15</v>
      </c>
      <c r="U11" s="19" t="s">
        <v>16</v>
      </c>
      <c r="V11" s="19" t="s">
        <v>17</v>
      </c>
      <c r="W11" s="19" t="s">
        <v>18</v>
      </c>
      <c r="X11" s="19" t="s">
        <v>19</v>
      </c>
      <c r="Y11" s="19" t="s">
        <v>20</v>
      </c>
      <c r="Z11" s="19" t="s">
        <v>21</v>
      </c>
      <c r="AA11" s="19" t="s">
        <v>22</v>
      </c>
      <c r="AB11" s="19" t="s">
        <v>23</v>
      </c>
      <c r="AC11" s="19" t="s">
        <v>24</v>
      </c>
      <c r="AD11" s="19" t="s">
        <v>25</v>
      </c>
      <c r="AE11" s="19" t="s">
        <v>26</v>
      </c>
      <c r="AF11" s="19" t="s">
        <v>27</v>
      </c>
      <c r="AG11" s="19" t="s">
        <v>28</v>
      </c>
      <c r="AH11" s="19" t="s">
        <v>29</v>
      </c>
      <c r="AI11" s="19" t="s">
        <v>30</v>
      </c>
      <c r="AJ11" s="19" t="s">
        <v>31</v>
      </c>
      <c r="AK11" s="19" t="s">
        <v>32</v>
      </c>
      <c r="AL11" s="19" t="s">
        <v>33</v>
      </c>
      <c r="AM11" s="19" t="s">
        <v>34</v>
      </c>
      <c r="AN11" s="19" t="s">
        <v>35</v>
      </c>
    </row>
    <row r="12" spans="1:40" x14ac:dyDescent="0.25">
      <c r="A12" s="24" t="s">
        <v>108</v>
      </c>
      <c r="B12" s="24" t="s">
        <v>100</v>
      </c>
      <c r="C12" s="24" t="s">
        <v>69</v>
      </c>
      <c r="D12" s="21">
        <f ca="1">SUM(INDIRECT(ADDRESS(ROW(МайДанные[[#This Row],[Итого]]),COLUMN(МайДанные[[#This Row],[Итого]])+2)):INDIRECT(ADDRESS(ROW(МайДанные[[#This Row],[Итого]]),COUNTA(МайДанные[#Headers]))))</f>
        <v>0</v>
      </c>
      <c r="E12" s="30">
        <f ca="1">МайДанные[[#This Row],[Итого]]/COUNTIFS(МайДанные[Соц. Работник],МайДанные[[#This Row],[Соц. Работник]])</f>
        <v>0</v>
      </c>
      <c r="F12" s="26">
        <v>0</v>
      </c>
      <c r="G12" s="26">
        <v>0</v>
      </c>
      <c r="H12" s="26">
        <v>0</v>
      </c>
      <c r="I12" s="26">
        <v>0</v>
      </c>
      <c r="J12" s="26">
        <v>0</v>
      </c>
      <c r="K12" s="26">
        <v>0</v>
      </c>
      <c r="L12" s="26">
        <v>0</v>
      </c>
      <c r="M12" s="26">
        <v>0</v>
      </c>
      <c r="N12" s="26">
        <v>0</v>
      </c>
      <c r="O12" s="26">
        <v>0</v>
      </c>
      <c r="P12" s="26">
        <v>0</v>
      </c>
      <c r="Q12" s="26">
        <v>0</v>
      </c>
      <c r="R12" s="26">
        <v>0</v>
      </c>
      <c r="S12" s="26">
        <v>0</v>
      </c>
      <c r="T12" s="26">
        <v>0</v>
      </c>
      <c r="U12" s="26">
        <v>0</v>
      </c>
      <c r="V12" s="26">
        <v>0</v>
      </c>
      <c r="W12" s="26">
        <v>0</v>
      </c>
      <c r="X12" s="26">
        <v>0</v>
      </c>
      <c r="Y12" s="26">
        <v>0</v>
      </c>
      <c r="Z12" s="26">
        <v>0</v>
      </c>
      <c r="AA12" s="26">
        <v>0</v>
      </c>
      <c r="AB12" s="26">
        <v>0</v>
      </c>
      <c r="AC12" s="26">
        <v>0</v>
      </c>
      <c r="AD12" s="26">
        <v>0</v>
      </c>
      <c r="AE12" s="26">
        <v>0</v>
      </c>
      <c r="AF12" s="26">
        <v>0</v>
      </c>
      <c r="AG12" s="26">
        <v>0</v>
      </c>
      <c r="AH12" s="26">
        <v>0</v>
      </c>
      <c r="AI12" s="26">
        <v>0</v>
      </c>
      <c r="AJ12" s="26">
        <v>0</v>
      </c>
      <c r="AK12" s="26">
        <v>0</v>
      </c>
      <c r="AL12" s="26">
        <v>0</v>
      </c>
      <c r="AM12" s="26">
        <v>0</v>
      </c>
      <c r="AN12" s="26">
        <v>0</v>
      </c>
    </row>
  </sheetData>
  <mergeCells count="3">
    <mergeCell ref="E3:G3"/>
    <mergeCell ref="I3:K3"/>
    <mergeCell ref="A3:C3"/>
  </mergeCells>
  <conditionalFormatting sqref="B12">
    <cfRule type="duplicateValues" dxfId="443" priority="93"/>
  </conditionalFormatting>
  <dataValidations count="6">
    <dataValidation type="list" allowBlank="1" showInputMessage="1" showErrorMessage="1" sqref="A5:A9">
      <formula1>ТипУслуги</formula1>
    </dataValidation>
    <dataValidation type="list" allowBlank="1" showInputMessage="1" showErrorMessage="1" sqref="F11:AN11">
      <formula1>Услуга</formula1>
    </dataValidation>
    <dataValidation type="list" allowBlank="1" showInputMessage="1" showErrorMessage="1" sqref="B1">
      <formula1>Месяц</formula1>
    </dataValidation>
    <dataValidation type="list" allowBlank="1" showInputMessage="1" showErrorMessage="1" sqref="C2">
      <formula1>СчетУслуги</formula1>
    </dataValidation>
    <dataValidation type="list" allowBlank="1" showInputMessage="1" showErrorMessage="1" sqref="A12">
      <formula1>СоцРаботник</formula1>
    </dataValidation>
    <dataValidation type="list" allowBlank="1" showInputMessage="1" showErrorMessage="1" sqref="C12">
      <formula1>Учет</formula1>
    </dataValidation>
  </dataValidations>
  <pageMargins left="0.7" right="0.7" top="0.75" bottom="0.75" header="0.3" footer="0.3"/>
  <pageSetup paperSize="9" orientation="portrait" horizontalDpi="0" verticalDpi="0" r:id="rId1"/>
  <ignoredErrors>
    <ignoredError sqref="J6:K6" calculatedColumn="1"/>
  </ignoredErrors>
  <drawing r:id="rId2"/>
  <tableParts count="5">
    <tablePart r:id="rId3"/>
    <tablePart r:id="rId4"/>
    <tablePart r:id="rId5"/>
    <tablePart r:id="rId6"/>
    <tablePart r:id="rId7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8"/>
      </x14:slicerList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2"/>
  <dimension ref="A1:AN12"/>
  <sheetViews>
    <sheetView zoomScale="80" zoomScaleNormal="80" workbookViewId="0">
      <selection activeCell="B2" sqref="B2"/>
    </sheetView>
  </sheetViews>
  <sheetFormatPr defaultColWidth="9.140625" defaultRowHeight="15.75" x14ac:dyDescent="0.25"/>
  <cols>
    <col min="1" max="1" width="26" style="1" bestFit="1" customWidth="1"/>
    <col min="2" max="2" width="22.7109375" style="1" bestFit="1" customWidth="1"/>
    <col min="3" max="3" width="16.28515625" style="1" bestFit="1" customWidth="1"/>
    <col min="4" max="4" width="4.42578125" style="1" bestFit="1" customWidth="1"/>
    <col min="5" max="5" width="9.28515625" style="1" bestFit="1" customWidth="1"/>
    <col min="6" max="6" width="6.5703125" style="1" bestFit="1" customWidth="1"/>
    <col min="7" max="7" width="7.140625" style="1" bestFit="1" customWidth="1"/>
    <col min="8" max="8" width="4.140625" style="1" bestFit="1" customWidth="1"/>
    <col min="9" max="9" width="23.42578125" style="1" bestFit="1" customWidth="1"/>
    <col min="10" max="10" width="6" style="1" bestFit="1" customWidth="1"/>
    <col min="11" max="11" width="5.5703125" style="1" bestFit="1" customWidth="1"/>
    <col min="12" max="17" width="4.140625" style="1" bestFit="1" customWidth="1"/>
    <col min="18" max="18" width="7.140625" style="1" bestFit="1" customWidth="1"/>
    <col min="19" max="20" width="4.140625" style="1" bestFit="1" customWidth="1"/>
    <col min="21" max="23" width="7.140625" style="1" bestFit="1" customWidth="1"/>
    <col min="24" max="26" width="4.140625" style="1" bestFit="1" customWidth="1"/>
    <col min="27" max="28" width="7.140625" style="1" bestFit="1" customWidth="1"/>
    <col min="29" max="29" width="4.42578125" style="1" bestFit="1" customWidth="1"/>
    <col min="30" max="31" width="4.140625" style="1" bestFit="1" customWidth="1"/>
    <col min="32" max="34" width="7.140625" style="1" bestFit="1" customWidth="1"/>
    <col min="35" max="35" width="4.140625" style="1" bestFit="1" customWidth="1"/>
    <col min="36" max="36" width="7.140625" style="1" bestFit="1" customWidth="1"/>
    <col min="37" max="38" width="4.140625" style="1" bestFit="1" customWidth="1"/>
    <col min="39" max="41" width="7.140625" style="1" bestFit="1" customWidth="1"/>
    <col min="42" max="42" width="32.5703125" style="1" customWidth="1"/>
    <col min="43" max="16384" width="9.140625" style="1"/>
  </cols>
  <sheetData>
    <row r="1" spans="1:40" ht="26.25" x14ac:dyDescent="0.4">
      <c r="A1" s="5" t="s">
        <v>0</v>
      </c>
      <c r="B1" s="5" t="s">
        <v>77</v>
      </c>
      <c r="C1" s="1" t="s">
        <v>125</v>
      </c>
    </row>
    <row r="2" spans="1:40" ht="26.25" x14ac:dyDescent="0.4">
      <c r="A2" s="5" t="s">
        <v>86</v>
      </c>
      <c r="B2" s="16"/>
      <c r="C2" s="1" t="s">
        <v>123</v>
      </c>
    </row>
    <row r="3" spans="1:40" x14ac:dyDescent="0.25">
      <c r="A3" s="45" t="s">
        <v>195</v>
      </c>
      <c r="B3" s="46"/>
      <c r="C3" s="46"/>
      <c r="E3" s="45" t="s">
        <v>193</v>
      </c>
      <c r="F3" s="46"/>
      <c r="G3" s="46"/>
      <c r="I3" s="45" t="s">
        <v>194</v>
      </c>
      <c r="J3" s="46"/>
      <c r="K3" s="46"/>
    </row>
    <row r="4" spans="1:40" x14ac:dyDescent="0.25">
      <c r="A4" s="1" t="s">
        <v>0</v>
      </c>
      <c r="B4" s="1" t="s">
        <v>87</v>
      </c>
      <c r="C4" s="1" t="s">
        <v>88</v>
      </c>
      <c r="E4" s="1" t="s">
        <v>0</v>
      </c>
      <c r="F4" t="s">
        <v>87</v>
      </c>
      <c r="G4" s="1" t="s">
        <v>88</v>
      </c>
      <c r="I4" s="39" t="s">
        <v>0</v>
      </c>
      <c r="J4" s="40" t="s">
        <v>87</v>
      </c>
      <c r="K4" s="41" t="s">
        <v>88</v>
      </c>
    </row>
    <row r="5" spans="1:40" x14ac:dyDescent="0.25">
      <c r="A5" s="1" t="s">
        <v>89</v>
      </c>
      <c r="B5" s="1">
        <v>0</v>
      </c>
      <c r="C5" s="1">
        <v>0</v>
      </c>
      <c r="E5" s="1" t="s">
        <v>193</v>
      </c>
      <c r="F5">
        <v>0</v>
      </c>
      <c r="G5" s="1">
        <v>0</v>
      </c>
      <c r="I5" s="37" t="str">
        <f>ИюньУслуги[[#This Row],[Услуги]]</f>
        <v>Соц-бытовые</v>
      </c>
      <c r="J5" s="36">
        <f>ИюньУслуги[[#This Row],[б/пл.]]</f>
        <v>0</v>
      </c>
      <c r="K5" s="38">
        <f>ИюньУслуги[[#This Row],[пл.]]</f>
        <v>0</v>
      </c>
    </row>
    <row r="6" spans="1:40" x14ac:dyDescent="0.25">
      <c r="A6" s="1" t="s">
        <v>90</v>
      </c>
      <c r="B6" s="1">
        <v>0</v>
      </c>
      <c r="C6" s="1">
        <v>0</v>
      </c>
      <c r="I6" s="37" t="str">
        <f>ИюньУслуги[[#This Row],[Услуги]]</f>
        <v>Соц-медицинские</v>
      </c>
      <c r="J6" s="36">
        <f>ИюньУслуги[[#This Row],[б/пл.]]-ИюньСиделка[б/пл.]</f>
        <v>0</v>
      </c>
      <c r="K6" s="38">
        <f>ИюньУслуги[[#This Row],[пл.]]-ИюньСиделка[пл.]</f>
        <v>0</v>
      </c>
    </row>
    <row r="7" spans="1:40" x14ac:dyDescent="0.25">
      <c r="A7" s="1" t="s">
        <v>91</v>
      </c>
      <c r="B7" s="1">
        <v>0</v>
      </c>
      <c r="C7" s="1">
        <v>0</v>
      </c>
      <c r="I7" s="37" t="str">
        <f>ИюньУслуги[[#This Row],[Услуги]]</f>
        <v>Соц-психологические</v>
      </c>
      <c r="J7" s="36">
        <f>ИюньУслуги[[#This Row],[б/пл.]]</f>
        <v>0</v>
      </c>
      <c r="K7" s="38">
        <f>ИюньУслуги[[#This Row],[пл.]]</f>
        <v>0</v>
      </c>
    </row>
    <row r="8" spans="1:40" x14ac:dyDescent="0.25">
      <c r="A8" s="1" t="s">
        <v>92</v>
      </c>
      <c r="B8" s="1">
        <v>0</v>
      </c>
      <c r="C8" s="1">
        <v>0</v>
      </c>
      <c r="I8" s="37" t="str">
        <f>ИюньУслуги[[#This Row],[Услуги]]</f>
        <v>Соц-педагогические</v>
      </c>
      <c r="J8" s="36">
        <f>ИюньУслуги[[#This Row],[б/пл.]]</f>
        <v>0</v>
      </c>
      <c r="K8" s="38">
        <f>ИюньУслуги[[#This Row],[пл.]]</f>
        <v>0</v>
      </c>
    </row>
    <row r="9" spans="1:40" x14ac:dyDescent="0.25">
      <c r="A9" s="1" t="s">
        <v>93</v>
      </c>
      <c r="B9" s="1">
        <v>0</v>
      </c>
      <c r="C9" s="1">
        <v>0</v>
      </c>
      <c r="I9" s="42" t="str">
        <f>ИюньУслуги[[#This Row],[Услуги]]</f>
        <v>Соц-правовые</v>
      </c>
      <c r="J9" s="36">
        <f>ИюньУслуги[[#This Row],[б/пл.]]</f>
        <v>0</v>
      </c>
      <c r="K9" s="38">
        <f>ИюньУслуги[[#This Row],[пл.]]</f>
        <v>0</v>
      </c>
    </row>
    <row r="11" spans="1:40" s="18" customFormat="1" ht="157.5" x14ac:dyDescent="0.25">
      <c r="A11" s="20" t="s">
        <v>94</v>
      </c>
      <c r="B11" s="20" t="s">
        <v>95</v>
      </c>
      <c r="C11" s="20" t="s">
        <v>68</v>
      </c>
      <c r="D11" s="19" t="s">
        <v>96</v>
      </c>
      <c r="E11" s="19" t="s">
        <v>97</v>
      </c>
      <c r="F11" s="19" t="s">
        <v>1</v>
      </c>
      <c r="G11" s="19" t="s">
        <v>2</v>
      </c>
      <c r="H11" s="19" t="s">
        <v>3</v>
      </c>
      <c r="I11" s="19" t="s">
        <v>4</v>
      </c>
      <c r="J11" s="19" t="s">
        <v>5</v>
      </c>
      <c r="K11" s="19" t="s">
        <v>6</v>
      </c>
      <c r="L11" s="19" t="s">
        <v>7</v>
      </c>
      <c r="M11" s="19" t="s">
        <v>8</v>
      </c>
      <c r="N11" s="19" t="s">
        <v>9</v>
      </c>
      <c r="O11" s="19" t="s">
        <v>10</v>
      </c>
      <c r="P11" s="19" t="s">
        <v>11</v>
      </c>
      <c r="Q11" s="19" t="s">
        <v>12</v>
      </c>
      <c r="R11" s="19" t="s">
        <v>13</v>
      </c>
      <c r="S11" s="19" t="s">
        <v>14</v>
      </c>
      <c r="T11" s="19" t="s">
        <v>15</v>
      </c>
      <c r="U11" s="19" t="s">
        <v>16</v>
      </c>
      <c r="V11" s="19" t="s">
        <v>17</v>
      </c>
      <c r="W11" s="19" t="s">
        <v>18</v>
      </c>
      <c r="X11" s="19" t="s">
        <v>19</v>
      </c>
      <c r="Y11" s="19" t="s">
        <v>20</v>
      </c>
      <c r="Z11" s="19" t="s">
        <v>21</v>
      </c>
      <c r="AA11" s="19" t="s">
        <v>22</v>
      </c>
      <c r="AB11" s="19" t="s">
        <v>23</v>
      </c>
      <c r="AC11" s="19" t="s">
        <v>24</v>
      </c>
      <c r="AD11" s="19" t="s">
        <v>25</v>
      </c>
      <c r="AE11" s="19" t="s">
        <v>26</v>
      </c>
      <c r="AF11" s="19" t="s">
        <v>27</v>
      </c>
      <c r="AG11" s="19" t="s">
        <v>28</v>
      </c>
      <c r="AH11" s="19" t="s">
        <v>29</v>
      </c>
      <c r="AI11" s="19" t="s">
        <v>30</v>
      </c>
      <c r="AJ11" s="19" t="s">
        <v>31</v>
      </c>
      <c r="AK11" s="19" t="s">
        <v>32</v>
      </c>
      <c r="AL11" s="19" t="s">
        <v>33</v>
      </c>
      <c r="AM11" s="19" t="s">
        <v>34</v>
      </c>
      <c r="AN11" s="19" t="s">
        <v>35</v>
      </c>
    </row>
    <row r="12" spans="1:40" x14ac:dyDescent="0.25">
      <c r="A12" s="24" t="s">
        <v>108</v>
      </c>
      <c r="B12" s="24" t="s">
        <v>100</v>
      </c>
      <c r="C12" s="24" t="s">
        <v>69</v>
      </c>
      <c r="D12" s="21">
        <f ca="1">SUM(INDIRECT(ADDRESS(ROW(ИюньДанные[[#This Row],[Итого]]),COLUMN(ИюньДанные[[#This Row],[Итого]])+2)):INDIRECT(ADDRESS(ROW(ИюньДанные[[#This Row],[Итого]]),COUNTA(ИюньДанные[#Headers]))))</f>
        <v>0</v>
      </c>
      <c r="E12" s="30">
        <f ca="1">ИюньДанные[[#This Row],[Итого]]/COUNTIFS(ИюньДанные[Соц. Работник],ИюньДанные[[#This Row],[Соц. Работник]])</f>
        <v>0</v>
      </c>
      <c r="F12" s="26">
        <v>0</v>
      </c>
      <c r="G12" s="26">
        <v>0</v>
      </c>
      <c r="H12" s="26">
        <v>0</v>
      </c>
      <c r="I12" s="26">
        <v>0</v>
      </c>
      <c r="J12" s="26">
        <v>0</v>
      </c>
      <c r="K12" s="26">
        <v>0</v>
      </c>
      <c r="L12" s="26">
        <v>0</v>
      </c>
      <c r="M12" s="26">
        <v>0</v>
      </c>
      <c r="N12" s="26">
        <v>0</v>
      </c>
      <c r="O12" s="26">
        <v>0</v>
      </c>
      <c r="P12" s="26">
        <v>0</v>
      </c>
      <c r="Q12" s="26">
        <v>0</v>
      </c>
      <c r="R12" s="26">
        <v>0</v>
      </c>
      <c r="S12" s="26">
        <v>0</v>
      </c>
      <c r="T12" s="26">
        <v>0</v>
      </c>
      <c r="U12" s="26">
        <v>0</v>
      </c>
      <c r="V12" s="26">
        <v>0</v>
      </c>
      <c r="W12" s="26">
        <v>0</v>
      </c>
      <c r="X12" s="26">
        <v>0</v>
      </c>
      <c r="Y12" s="26">
        <v>0</v>
      </c>
      <c r="Z12" s="26">
        <v>0</v>
      </c>
      <c r="AA12" s="26">
        <v>0</v>
      </c>
      <c r="AB12" s="26">
        <v>0</v>
      </c>
      <c r="AC12" s="26">
        <v>0</v>
      </c>
      <c r="AD12" s="26">
        <v>0</v>
      </c>
      <c r="AE12" s="26">
        <v>0</v>
      </c>
      <c r="AF12" s="26">
        <v>0</v>
      </c>
      <c r="AG12" s="26">
        <v>0</v>
      </c>
      <c r="AH12" s="26">
        <v>0</v>
      </c>
      <c r="AI12" s="26">
        <v>0</v>
      </c>
      <c r="AJ12" s="26">
        <v>0</v>
      </c>
      <c r="AK12" s="26">
        <v>0</v>
      </c>
      <c r="AL12" s="26">
        <v>0</v>
      </c>
      <c r="AM12" s="26">
        <v>0</v>
      </c>
      <c r="AN12" s="26">
        <v>0</v>
      </c>
    </row>
  </sheetData>
  <mergeCells count="3">
    <mergeCell ref="E3:G3"/>
    <mergeCell ref="I3:K3"/>
    <mergeCell ref="A3:C3"/>
  </mergeCells>
  <conditionalFormatting sqref="B12">
    <cfRule type="duplicateValues" dxfId="442" priority="94"/>
  </conditionalFormatting>
  <dataValidations count="6">
    <dataValidation type="list" allowBlank="1" showInputMessage="1" showErrorMessage="1" sqref="C2">
      <formula1>СчетУслуги</formula1>
    </dataValidation>
    <dataValidation type="list" allowBlank="1" showInputMessage="1" showErrorMessage="1" sqref="B1">
      <formula1>Месяц</formula1>
    </dataValidation>
    <dataValidation type="list" allowBlank="1" showInputMessage="1" showErrorMessage="1" sqref="F11:AN11">
      <formula1>Услуга</formula1>
    </dataValidation>
    <dataValidation type="list" allowBlank="1" showInputMessage="1" showErrorMessage="1" sqref="A5:A9">
      <formula1>ТипУслуги</formula1>
    </dataValidation>
    <dataValidation type="list" allowBlank="1" showInputMessage="1" showErrorMessage="1" sqref="C12">
      <formula1>Учет</formula1>
    </dataValidation>
    <dataValidation type="list" allowBlank="1" showInputMessage="1" showErrorMessage="1" sqref="A12">
      <formula1>СоцРаботник</formula1>
    </dataValidation>
  </dataValidations>
  <pageMargins left="0.7" right="0.7" top="0.75" bottom="0.75" header="0.3" footer="0.3"/>
  <pageSetup paperSize="9" orientation="landscape" verticalDpi="0" r:id="rId1"/>
  <ignoredErrors>
    <ignoredError sqref="J6:K6" calculatedColumn="1"/>
  </ignoredErrors>
  <drawing r:id="rId2"/>
  <tableParts count="5">
    <tablePart r:id="rId3"/>
    <tablePart r:id="rId4"/>
    <tablePart r:id="rId5"/>
    <tablePart r:id="rId6"/>
    <tablePart r:id="rId7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8"/>
      </x14:slicerList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1:AN12"/>
  <sheetViews>
    <sheetView zoomScale="80" zoomScaleNormal="80" workbookViewId="0">
      <selection activeCell="B2" sqref="B2"/>
    </sheetView>
  </sheetViews>
  <sheetFormatPr defaultColWidth="9.140625" defaultRowHeight="15.75" x14ac:dyDescent="0.25"/>
  <cols>
    <col min="1" max="1" width="26" style="1" bestFit="1" customWidth="1"/>
    <col min="2" max="2" width="22.7109375" style="1" bestFit="1" customWidth="1"/>
    <col min="3" max="3" width="15.85546875" style="1" bestFit="1" customWidth="1"/>
    <col min="4" max="4" width="4.42578125" style="1" bestFit="1" customWidth="1"/>
    <col min="5" max="5" width="9.28515625" style="1" bestFit="1" customWidth="1"/>
    <col min="6" max="6" width="6.5703125" style="1" bestFit="1" customWidth="1"/>
    <col min="7" max="7" width="7.140625" style="1" bestFit="1" customWidth="1"/>
    <col min="8" max="8" width="4.140625" style="1" bestFit="1" customWidth="1"/>
    <col min="9" max="9" width="23.42578125" style="1" bestFit="1" customWidth="1"/>
    <col min="10" max="10" width="6" style="1" bestFit="1" customWidth="1"/>
    <col min="11" max="11" width="5.5703125" style="1" bestFit="1" customWidth="1"/>
    <col min="12" max="17" width="4.140625" style="1" bestFit="1" customWidth="1"/>
    <col min="18" max="18" width="7.140625" style="1" bestFit="1" customWidth="1"/>
    <col min="19" max="20" width="4.140625" style="1" bestFit="1" customWidth="1"/>
    <col min="21" max="23" width="7.140625" style="1" bestFit="1" customWidth="1"/>
    <col min="24" max="26" width="4.140625" style="1" bestFit="1" customWidth="1"/>
    <col min="27" max="28" width="7.140625" style="1" bestFit="1" customWidth="1"/>
    <col min="29" max="29" width="4.42578125" style="1" bestFit="1" customWidth="1"/>
    <col min="30" max="31" width="4.140625" style="1" bestFit="1" customWidth="1"/>
    <col min="32" max="34" width="7.140625" style="1" bestFit="1" customWidth="1"/>
    <col min="35" max="35" width="4.140625" style="1" bestFit="1" customWidth="1"/>
    <col min="36" max="36" width="7.140625" style="1" bestFit="1" customWidth="1"/>
    <col min="37" max="38" width="4.140625" style="1" bestFit="1" customWidth="1"/>
    <col min="39" max="41" width="7.140625" style="1" bestFit="1" customWidth="1"/>
    <col min="42" max="42" width="32.5703125" style="1" customWidth="1"/>
    <col min="43" max="16384" width="9.140625" style="1"/>
  </cols>
  <sheetData>
    <row r="1" spans="1:40" ht="26.25" x14ac:dyDescent="0.4">
      <c r="A1" s="5" t="s">
        <v>0</v>
      </c>
      <c r="B1" s="5" t="s">
        <v>78</v>
      </c>
      <c r="C1" s="1" t="s">
        <v>125</v>
      </c>
    </row>
    <row r="2" spans="1:40" ht="26.25" x14ac:dyDescent="0.4">
      <c r="A2" s="5" t="s">
        <v>86</v>
      </c>
      <c r="B2" s="16"/>
      <c r="C2" s="1" t="s">
        <v>123</v>
      </c>
    </row>
    <row r="3" spans="1:40" x14ac:dyDescent="0.25">
      <c r="A3" s="45" t="s">
        <v>195</v>
      </c>
      <c r="B3" s="46"/>
      <c r="C3" s="46"/>
      <c r="E3" s="45" t="s">
        <v>193</v>
      </c>
      <c r="F3" s="46"/>
      <c r="G3" s="46"/>
      <c r="I3" s="45" t="s">
        <v>194</v>
      </c>
      <c r="J3" s="46"/>
      <c r="K3" s="46"/>
    </row>
    <row r="4" spans="1:40" x14ac:dyDescent="0.25">
      <c r="A4" s="1" t="s">
        <v>0</v>
      </c>
      <c r="B4" s="1" t="s">
        <v>87</v>
      </c>
      <c r="C4" s="1" t="s">
        <v>88</v>
      </c>
      <c r="E4" s="1" t="s">
        <v>0</v>
      </c>
      <c r="F4" t="s">
        <v>87</v>
      </c>
      <c r="G4" s="1" t="s">
        <v>88</v>
      </c>
      <c r="I4" s="39" t="s">
        <v>0</v>
      </c>
      <c r="J4" s="40" t="s">
        <v>87</v>
      </c>
      <c r="K4" s="41" t="s">
        <v>88</v>
      </c>
    </row>
    <row r="5" spans="1:40" x14ac:dyDescent="0.25">
      <c r="A5" s="1" t="s">
        <v>89</v>
      </c>
      <c r="B5" s="1">
        <v>0</v>
      </c>
      <c r="C5" s="1">
        <v>0</v>
      </c>
      <c r="E5" s="1" t="s">
        <v>193</v>
      </c>
      <c r="F5">
        <v>0</v>
      </c>
      <c r="G5" s="1">
        <v>0</v>
      </c>
      <c r="I5" s="37" t="str">
        <f>ИюльУслуги[[#This Row],[Услуги]]</f>
        <v>Соц-бытовые</v>
      </c>
      <c r="J5" s="36">
        <f>ИюльУслуги[[#This Row],[б/пл.]]</f>
        <v>0</v>
      </c>
      <c r="K5" s="38">
        <f>ИюльУслуги[[#This Row],[пл.]]</f>
        <v>0</v>
      </c>
    </row>
    <row r="6" spans="1:40" x14ac:dyDescent="0.25">
      <c r="A6" s="1" t="s">
        <v>90</v>
      </c>
      <c r="B6" s="1">
        <v>0</v>
      </c>
      <c r="C6" s="1">
        <v>0</v>
      </c>
      <c r="I6" s="37" t="str">
        <f>ИюльУслуги[[#This Row],[Услуги]]</f>
        <v>Соц-медицинские</v>
      </c>
      <c r="J6" s="36">
        <f>ИюльУслуги[[#This Row],[б/пл.]]-ИюльСиделка[б/пл.]</f>
        <v>0</v>
      </c>
      <c r="K6" s="38">
        <f>ИюльУслуги[[#This Row],[пл.]]-ИюльСиделка[пл.]</f>
        <v>0</v>
      </c>
    </row>
    <row r="7" spans="1:40" x14ac:dyDescent="0.25">
      <c r="A7" s="1" t="s">
        <v>91</v>
      </c>
      <c r="B7" s="1">
        <v>0</v>
      </c>
      <c r="C7" s="1">
        <v>0</v>
      </c>
      <c r="I7" s="37" t="str">
        <f>ИюльУслуги[[#This Row],[Услуги]]</f>
        <v>Соц-психологические</v>
      </c>
      <c r="J7" s="36">
        <f>ИюльУслуги[[#This Row],[б/пл.]]</f>
        <v>0</v>
      </c>
      <c r="K7" s="38">
        <f>ИюльУслуги[[#This Row],[пл.]]</f>
        <v>0</v>
      </c>
    </row>
    <row r="8" spans="1:40" x14ac:dyDescent="0.25">
      <c r="A8" s="1" t="s">
        <v>92</v>
      </c>
      <c r="B8" s="1">
        <v>0</v>
      </c>
      <c r="C8" s="1">
        <v>0</v>
      </c>
      <c r="I8" s="37" t="str">
        <f>ИюльУслуги[[#This Row],[Услуги]]</f>
        <v>Соц-педагогические</v>
      </c>
      <c r="J8" s="36">
        <f>ИюльУслуги[[#This Row],[б/пл.]]</f>
        <v>0</v>
      </c>
      <c r="K8" s="38">
        <f>ИюльУслуги[[#This Row],[пл.]]</f>
        <v>0</v>
      </c>
    </row>
    <row r="9" spans="1:40" x14ac:dyDescent="0.25">
      <c r="A9" s="1" t="s">
        <v>93</v>
      </c>
      <c r="B9" s="1">
        <v>0</v>
      </c>
      <c r="C9" s="1">
        <v>0</v>
      </c>
      <c r="I9" s="42" t="str">
        <f>ИюльУслуги[[#This Row],[Услуги]]</f>
        <v>Соц-правовые</v>
      </c>
      <c r="J9" s="36">
        <f>ИюльУслуги[[#This Row],[б/пл.]]</f>
        <v>0</v>
      </c>
      <c r="K9" s="38">
        <f>ИюльУслуги[[#This Row],[пл.]]</f>
        <v>0</v>
      </c>
    </row>
    <row r="11" spans="1:40" s="18" customFormat="1" ht="151.5" x14ac:dyDescent="0.25">
      <c r="A11" s="20" t="s">
        <v>94</v>
      </c>
      <c r="B11" s="20" t="s">
        <v>95</v>
      </c>
      <c r="C11" s="20" t="s">
        <v>68</v>
      </c>
      <c r="D11" s="19" t="s">
        <v>96</v>
      </c>
      <c r="E11" s="19" t="s">
        <v>97</v>
      </c>
      <c r="F11" s="19" t="s">
        <v>1</v>
      </c>
      <c r="G11" s="19" t="s">
        <v>2</v>
      </c>
      <c r="H11" s="19" t="s">
        <v>3</v>
      </c>
      <c r="I11" s="19" t="s">
        <v>4</v>
      </c>
      <c r="J11" s="19" t="s">
        <v>5</v>
      </c>
      <c r="K11" s="19" t="s">
        <v>6</v>
      </c>
      <c r="L11" s="19" t="s">
        <v>7</v>
      </c>
      <c r="M11" s="19" t="s">
        <v>8</v>
      </c>
      <c r="N11" s="19" t="s">
        <v>9</v>
      </c>
      <c r="O11" s="19" t="s">
        <v>10</v>
      </c>
      <c r="P11" s="19" t="s">
        <v>11</v>
      </c>
      <c r="Q11" s="19" t="s">
        <v>12</v>
      </c>
      <c r="R11" s="19" t="s">
        <v>13</v>
      </c>
      <c r="S11" s="19" t="s">
        <v>14</v>
      </c>
      <c r="T11" s="19" t="s">
        <v>15</v>
      </c>
      <c r="U11" s="19" t="s">
        <v>16</v>
      </c>
      <c r="V11" s="19" t="s">
        <v>17</v>
      </c>
      <c r="W11" s="19" t="s">
        <v>18</v>
      </c>
      <c r="X11" s="19" t="s">
        <v>19</v>
      </c>
      <c r="Y11" s="19" t="s">
        <v>20</v>
      </c>
      <c r="Z11" s="19" t="s">
        <v>21</v>
      </c>
      <c r="AA11" s="19" t="s">
        <v>22</v>
      </c>
      <c r="AB11" s="19" t="s">
        <v>23</v>
      </c>
      <c r="AC11" s="19" t="s">
        <v>24</v>
      </c>
      <c r="AD11" s="19" t="s">
        <v>25</v>
      </c>
      <c r="AE11" s="19" t="s">
        <v>26</v>
      </c>
      <c r="AF11" s="19" t="s">
        <v>27</v>
      </c>
      <c r="AG11" s="19" t="s">
        <v>28</v>
      </c>
      <c r="AH11" s="19" t="s">
        <v>29</v>
      </c>
      <c r="AI11" s="19" t="s">
        <v>30</v>
      </c>
      <c r="AJ11" s="19" t="s">
        <v>31</v>
      </c>
      <c r="AK11" s="19" t="s">
        <v>32</v>
      </c>
      <c r="AL11" s="19" t="s">
        <v>33</v>
      </c>
      <c r="AM11" s="19" t="s">
        <v>34</v>
      </c>
      <c r="AN11" s="19" t="s">
        <v>35</v>
      </c>
    </row>
    <row r="12" spans="1:40" x14ac:dyDescent="0.25">
      <c r="A12" s="24" t="s">
        <v>108</v>
      </c>
      <c r="B12" s="24" t="s">
        <v>100</v>
      </c>
      <c r="C12" s="24" t="s">
        <v>69</v>
      </c>
      <c r="D12" s="21">
        <f ca="1">SUM(INDIRECT(ADDRESS(ROW(ИюльДанные[[#This Row],[Итого]]),COLUMN(ИюльДанные[[#This Row],[Итого]])+2)):INDIRECT(ADDRESS(ROW(ИюльДанные[[#This Row],[Итого]]),COUNTA(ИюльДанные[#Headers]))))</f>
        <v>0</v>
      </c>
      <c r="E12" s="30">
        <f ca="1">ИюльДанные[[#This Row],[Итого]]/COUNTIFS(ИюльДанные[Соц. Работник],ИюльДанные[[#This Row],[Соц. Работник]])</f>
        <v>0</v>
      </c>
      <c r="F12" s="26">
        <v>0</v>
      </c>
      <c r="G12" s="26">
        <v>0</v>
      </c>
      <c r="H12" s="26">
        <v>0</v>
      </c>
      <c r="I12" s="26">
        <v>0</v>
      </c>
      <c r="J12" s="26">
        <v>0</v>
      </c>
      <c r="K12" s="26">
        <v>0</v>
      </c>
      <c r="L12" s="26">
        <v>0</v>
      </c>
      <c r="M12" s="26">
        <v>0</v>
      </c>
      <c r="N12" s="26">
        <v>0</v>
      </c>
      <c r="O12" s="26">
        <v>0</v>
      </c>
      <c r="P12" s="26">
        <v>0</v>
      </c>
      <c r="Q12" s="26">
        <v>0</v>
      </c>
      <c r="R12" s="26">
        <v>0</v>
      </c>
      <c r="S12" s="26">
        <v>0</v>
      </c>
      <c r="T12" s="26">
        <v>0</v>
      </c>
      <c r="U12" s="26">
        <v>0</v>
      </c>
      <c r="V12" s="26">
        <v>0</v>
      </c>
      <c r="W12" s="26">
        <v>0</v>
      </c>
      <c r="X12" s="26">
        <v>0</v>
      </c>
      <c r="Y12" s="26">
        <v>0</v>
      </c>
      <c r="Z12" s="26">
        <v>0</v>
      </c>
      <c r="AA12" s="26">
        <v>0</v>
      </c>
      <c r="AB12" s="26">
        <v>0</v>
      </c>
      <c r="AC12" s="26">
        <v>0</v>
      </c>
      <c r="AD12" s="26">
        <v>0</v>
      </c>
      <c r="AE12" s="26">
        <v>0</v>
      </c>
      <c r="AF12" s="26">
        <v>0</v>
      </c>
      <c r="AG12" s="26">
        <v>0</v>
      </c>
      <c r="AH12" s="26">
        <v>0</v>
      </c>
      <c r="AI12" s="26">
        <v>0</v>
      </c>
      <c r="AJ12" s="26">
        <v>0</v>
      </c>
      <c r="AK12" s="26">
        <v>0</v>
      </c>
      <c r="AL12" s="26">
        <v>0</v>
      </c>
      <c r="AM12" s="26">
        <v>0</v>
      </c>
      <c r="AN12" s="26">
        <v>0</v>
      </c>
    </row>
  </sheetData>
  <mergeCells count="3">
    <mergeCell ref="E3:G3"/>
    <mergeCell ref="I3:K3"/>
    <mergeCell ref="A3:C3"/>
  </mergeCells>
  <conditionalFormatting sqref="B12">
    <cfRule type="duplicateValues" dxfId="441" priority="95"/>
  </conditionalFormatting>
  <dataValidations count="6">
    <dataValidation type="list" allowBlank="1" showInputMessage="1" showErrorMessage="1" sqref="F11:AN11">
      <formula1>Услуга</formula1>
    </dataValidation>
    <dataValidation type="list" allowBlank="1" showInputMessage="1" showErrorMessage="1" sqref="B1">
      <formula1>Месяц</formula1>
    </dataValidation>
    <dataValidation type="list" allowBlank="1" showInputMessage="1" showErrorMessage="1" sqref="A5:A9">
      <formula1>ТипУслуги</formula1>
    </dataValidation>
    <dataValidation type="list" allowBlank="1" showInputMessage="1" showErrorMessage="1" sqref="C2">
      <formula1>СчетУслуги</formula1>
    </dataValidation>
    <dataValidation type="list" allowBlank="1" showInputMessage="1" showErrorMessage="1" sqref="C12">
      <formula1>Учет</formula1>
    </dataValidation>
    <dataValidation type="list" allowBlank="1" showInputMessage="1" showErrorMessage="1" sqref="A12">
      <formula1>СоцРаботник</formula1>
    </dataValidation>
  </dataValidations>
  <pageMargins left="0.7" right="0.7" top="0.75" bottom="0.75" header="0.3" footer="0.3"/>
  <pageSetup paperSize="9" orientation="portrait" verticalDpi="0" r:id="rId1"/>
  <ignoredErrors>
    <ignoredError sqref="J6:K6" calculatedColumn="1"/>
  </ignoredErrors>
  <drawing r:id="rId2"/>
  <tableParts count="5">
    <tablePart r:id="rId3"/>
    <tablePart r:id="rId4"/>
    <tablePart r:id="rId5"/>
    <tablePart r:id="rId6"/>
    <tablePart r:id="rId7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8"/>
      </x14:slicerList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3"/>
  <dimension ref="A1:AN12"/>
  <sheetViews>
    <sheetView zoomScale="80" zoomScaleNormal="80" workbookViewId="0">
      <selection activeCell="B2" sqref="B2"/>
    </sheetView>
  </sheetViews>
  <sheetFormatPr defaultColWidth="9.140625" defaultRowHeight="15.75" x14ac:dyDescent="0.25"/>
  <cols>
    <col min="1" max="1" width="23.42578125" style="1" bestFit="1" customWidth="1"/>
    <col min="2" max="2" width="19.85546875" style="1" bestFit="1" customWidth="1"/>
    <col min="3" max="3" width="16.28515625" style="1" bestFit="1" customWidth="1"/>
    <col min="4" max="4" width="4.140625" style="1" bestFit="1" customWidth="1"/>
    <col min="5" max="5" width="9.28515625" style="1" bestFit="1" customWidth="1"/>
    <col min="6" max="6" width="6.5703125" style="1" bestFit="1" customWidth="1"/>
    <col min="7" max="7" width="4.28515625" style="1" bestFit="1" customWidth="1"/>
    <col min="8" max="8" width="4.140625" style="1" bestFit="1" customWidth="1"/>
    <col min="9" max="9" width="23.42578125" style="1" bestFit="1" customWidth="1"/>
    <col min="10" max="10" width="6" style="1" bestFit="1" customWidth="1"/>
    <col min="11" max="11" width="5.5703125" style="1" bestFit="1" customWidth="1"/>
    <col min="12" max="21" width="4.140625" style="1" bestFit="1" customWidth="1"/>
    <col min="22" max="23" width="7.140625" style="1" bestFit="1" customWidth="1"/>
    <col min="24" max="26" width="4.140625" style="1" bestFit="1" customWidth="1"/>
    <col min="27" max="27" width="7.140625" style="1" bestFit="1" customWidth="1"/>
    <col min="28" max="33" width="4.140625" style="1" bestFit="1" customWidth="1"/>
    <col min="34" max="34" width="7.140625" style="1" bestFit="1" customWidth="1"/>
    <col min="35" max="38" width="4.140625" style="1" bestFit="1" customWidth="1"/>
    <col min="39" max="39" width="7.140625" style="1" bestFit="1" customWidth="1"/>
    <col min="40" max="40" width="4.140625" style="1" bestFit="1" customWidth="1"/>
    <col min="41" max="41" width="7.140625" style="1" bestFit="1" customWidth="1"/>
    <col min="42" max="42" width="10.28515625" style="1" customWidth="1"/>
    <col min="43" max="43" width="9.140625" style="1"/>
    <col min="44" max="45" width="10.140625" style="1" bestFit="1" customWidth="1"/>
    <col min="46" max="66" width="9.140625" style="1"/>
    <col min="67" max="68" width="10.140625" style="1" bestFit="1" customWidth="1"/>
    <col min="69" max="16384" width="9.140625" style="1"/>
  </cols>
  <sheetData>
    <row r="1" spans="1:40" ht="26.25" x14ac:dyDescent="0.4">
      <c r="A1" s="5" t="s">
        <v>0</v>
      </c>
      <c r="B1" s="5" t="s">
        <v>79</v>
      </c>
      <c r="C1" s="1" t="s">
        <v>125</v>
      </c>
    </row>
    <row r="2" spans="1:40" ht="26.25" x14ac:dyDescent="0.4">
      <c r="A2" s="5" t="s">
        <v>86</v>
      </c>
      <c r="B2" s="16"/>
      <c r="C2" s="1" t="s">
        <v>123</v>
      </c>
    </row>
    <row r="3" spans="1:40" x14ac:dyDescent="0.25">
      <c r="A3" s="45" t="s">
        <v>195</v>
      </c>
      <c r="B3" s="46"/>
      <c r="C3" s="46"/>
      <c r="E3" s="45" t="s">
        <v>193</v>
      </c>
      <c r="F3" s="46"/>
      <c r="G3" s="46"/>
      <c r="I3" s="45" t="s">
        <v>194</v>
      </c>
      <c r="J3" s="46"/>
      <c r="K3" s="46"/>
    </row>
    <row r="4" spans="1:40" x14ac:dyDescent="0.25">
      <c r="A4" s="1" t="s">
        <v>0</v>
      </c>
      <c r="B4" s="1" t="s">
        <v>87</v>
      </c>
      <c r="C4" s="1" t="s">
        <v>88</v>
      </c>
      <c r="E4" s="1" t="s">
        <v>0</v>
      </c>
      <c r="F4" t="s">
        <v>87</v>
      </c>
      <c r="G4" s="1" t="s">
        <v>88</v>
      </c>
      <c r="I4" s="39" t="s">
        <v>0</v>
      </c>
      <c r="J4" s="40" t="s">
        <v>87</v>
      </c>
      <c r="K4" s="41" t="s">
        <v>88</v>
      </c>
    </row>
    <row r="5" spans="1:40" x14ac:dyDescent="0.25">
      <c r="A5" s="1" t="s">
        <v>89</v>
      </c>
      <c r="B5" s="1">
        <v>0</v>
      </c>
      <c r="C5" s="1">
        <v>0</v>
      </c>
      <c r="E5" s="1" t="s">
        <v>193</v>
      </c>
      <c r="F5">
        <v>0</v>
      </c>
      <c r="G5" s="1">
        <v>0</v>
      </c>
      <c r="I5" s="37" t="str">
        <f>АвгустУслуги[[#This Row],[Услуги]]</f>
        <v>Соц-бытовые</v>
      </c>
      <c r="J5" s="36">
        <f>АвгустУслуги[[#This Row],[б/пл.]]</f>
        <v>0</v>
      </c>
      <c r="K5" s="38">
        <f>АвгустУслуги[[#This Row],[пл.]]</f>
        <v>0</v>
      </c>
    </row>
    <row r="6" spans="1:40" x14ac:dyDescent="0.25">
      <c r="A6" s="1" t="s">
        <v>90</v>
      </c>
      <c r="B6" s="1">
        <v>0</v>
      </c>
      <c r="C6" s="1">
        <v>0</v>
      </c>
      <c r="I6" s="37" t="str">
        <f>АвгустУслуги[[#This Row],[Услуги]]</f>
        <v>Соц-медицинские</v>
      </c>
      <c r="J6" s="36">
        <f>АвгустУслуги[[#This Row],[б/пл.]]-АвгустСиделка[б/пл.]</f>
        <v>0</v>
      </c>
      <c r="K6" s="38">
        <f>АвгустУслуги[[#This Row],[пл.]]-АвгустСиделка[пл.]</f>
        <v>0</v>
      </c>
    </row>
    <row r="7" spans="1:40" x14ac:dyDescent="0.25">
      <c r="A7" s="1" t="s">
        <v>91</v>
      </c>
      <c r="B7" s="1">
        <v>0</v>
      </c>
      <c r="C7" s="1">
        <v>0</v>
      </c>
      <c r="I7" s="37" t="str">
        <f>АвгустУслуги[[#This Row],[Услуги]]</f>
        <v>Соц-психологические</v>
      </c>
      <c r="J7" s="36">
        <f>АвгустУслуги[[#This Row],[б/пл.]]</f>
        <v>0</v>
      </c>
      <c r="K7" s="38">
        <f>АвгустУслуги[[#This Row],[пл.]]</f>
        <v>0</v>
      </c>
    </row>
    <row r="8" spans="1:40" x14ac:dyDescent="0.25">
      <c r="A8" s="1" t="s">
        <v>92</v>
      </c>
      <c r="B8" s="1">
        <v>0</v>
      </c>
      <c r="C8" s="1">
        <v>0</v>
      </c>
      <c r="I8" s="37" t="str">
        <f>АвгустУслуги[[#This Row],[Услуги]]</f>
        <v>Соц-педагогические</v>
      </c>
      <c r="J8" s="36">
        <f>АвгустУслуги[[#This Row],[б/пл.]]</f>
        <v>0</v>
      </c>
      <c r="K8" s="38">
        <f>АвгустУслуги[[#This Row],[пл.]]</f>
        <v>0</v>
      </c>
    </row>
    <row r="9" spans="1:40" x14ac:dyDescent="0.25">
      <c r="A9" s="1" t="s">
        <v>93</v>
      </c>
      <c r="B9" s="1">
        <v>0</v>
      </c>
      <c r="C9" s="1">
        <v>0</v>
      </c>
      <c r="I9" s="42" t="str">
        <f>АвгустУслуги[[#This Row],[Услуги]]</f>
        <v>Соц-правовые</v>
      </c>
      <c r="J9" s="36">
        <f>АвгустУслуги[[#This Row],[б/пл.]]</f>
        <v>0</v>
      </c>
      <c r="K9" s="38">
        <f>АвгустУслуги[[#This Row],[пл.]]</f>
        <v>0</v>
      </c>
    </row>
    <row r="11" spans="1:40" s="18" customFormat="1" ht="151.5" customHeight="1" x14ac:dyDescent="0.25">
      <c r="A11" s="20" t="s">
        <v>94</v>
      </c>
      <c r="B11" s="20" t="s">
        <v>95</v>
      </c>
      <c r="C11" s="20" t="s">
        <v>68</v>
      </c>
      <c r="D11" s="19" t="s">
        <v>96</v>
      </c>
      <c r="E11" s="19" t="s">
        <v>97</v>
      </c>
      <c r="F11" s="19" t="s">
        <v>1</v>
      </c>
      <c r="G11" s="19" t="s">
        <v>2</v>
      </c>
      <c r="H11" s="19" t="s">
        <v>3</v>
      </c>
      <c r="I11" s="19" t="s">
        <v>4</v>
      </c>
      <c r="J11" s="19" t="s">
        <v>5</v>
      </c>
      <c r="K11" s="19" t="s">
        <v>6</v>
      </c>
      <c r="L11" s="19" t="s">
        <v>7</v>
      </c>
      <c r="M11" s="19" t="s">
        <v>8</v>
      </c>
      <c r="N11" s="19" t="s">
        <v>9</v>
      </c>
      <c r="O11" s="19" t="s">
        <v>10</v>
      </c>
      <c r="P11" s="19" t="s">
        <v>11</v>
      </c>
      <c r="Q11" s="19" t="s">
        <v>12</v>
      </c>
      <c r="R11" s="19" t="s">
        <v>13</v>
      </c>
      <c r="S11" s="19" t="s">
        <v>14</v>
      </c>
      <c r="T11" s="19" t="s">
        <v>15</v>
      </c>
      <c r="U11" s="19" t="s">
        <v>16</v>
      </c>
      <c r="V11" s="19" t="s">
        <v>17</v>
      </c>
      <c r="W11" s="19" t="s">
        <v>18</v>
      </c>
      <c r="X11" s="19" t="s">
        <v>19</v>
      </c>
      <c r="Y11" s="19" t="s">
        <v>20</v>
      </c>
      <c r="Z11" s="19" t="s">
        <v>21</v>
      </c>
      <c r="AA11" s="19" t="s">
        <v>22</v>
      </c>
      <c r="AB11" s="19" t="s">
        <v>23</v>
      </c>
      <c r="AC11" s="19" t="s">
        <v>24</v>
      </c>
      <c r="AD11" s="19" t="s">
        <v>25</v>
      </c>
      <c r="AE11" s="19" t="s">
        <v>26</v>
      </c>
      <c r="AF11" s="19" t="s">
        <v>27</v>
      </c>
      <c r="AG11" s="19" t="s">
        <v>28</v>
      </c>
      <c r="AH11" s="19" t="s">
        <v>29</v>
      </c>
      <c r="AI11" s="19" t="s">
        <v>30</v>
      </c>
      <c r="AJ11" s="19" t="s">
        <v>31</v>
      </c>
      <c r="AK11" s="19" t="s">
        <v>32</v>
      </c>
      <c r="AL11" s="19" t="s">
        <v>33</v>
      </c>
      <c r="AM11" s="19" t="s">
        <v>34</v>
      </c>
      <c r="AN11" s="19" t="s">
        <v>35</v>
      </c>
    </row>
    <row r="12" spans="1:40" x14ac:dyDescent="0.25">
      <c r="A12" s="24" t="s">
        <v>108</v>
      </c>
      <c r="B12" s="24" t="s">
        <v>100</v>
      </c>
      <c r="C12" s="24" t="s">
        <v>69</v>
      </c>
      <c r="D12" s="34">
        <f ca="1">SUM(INDIRECT(ADDRESS(ROW(АвгустДанные[[#This Row],[Итого]]),COLUMN(АвгустДанные[[#This Row],[Итого]])+2)):INDIRECT(ADDRESS(ROW(АвгустДанные[[#This Row],[Итого]]),COUNTA(АвгустДанные[#Headers]))))</f>
        <v>0</v>
      </c>
      <c r="E12" s="35">
        <f ca="1">АвгустДанные[[#This Row],[Итого]]/COUNTIFS(АвгустДанные[Соц. Работник],АвгустДанные[[#This Row],[Соц. Работник]])</f>
        <v>0</v>
      </c>
      <c r="F12" s="26">
        <v>0</v>
      </c>
      <c r="G12" s="26">
        <v>0</v>
      </c>
      <c r="H12" s="26">
        <v>0</v>
      </c>
      <c r="I12" s="26">
        <v>0</v>
      </c>
      <c r="J12" s="26">
        <v>0</v>
      </c>
      <c r="K12" s="26">
        <v>0</v>
      </c>
      <c r="L12" s="26">
        <v>0</v>
      </c>
      <c r="M12" s="26">
        <v>0</v>
      </c>
      <c r="N12" s="26">
        <v>0</v>
      </c>
      <c r="O12" s="26">
        <v>0</v>
      </c>
      <c r="P12" s="26">
        <v>0</v>
      </c>
      <c r="Q12" s="26">
        <v>0</v>
      </c>
      <c r="R12" s="26">
        <v>0</v>
      </c>
      <c r="S12" s="26">
        <v>0</v>
      </c>
      <c r="T12" s="26">
        <v>0</v>
      </c>
      <c r="U12" s="26">
        <v>0</v>
      </c>
      <c r="V12" s="26">
        <v>0</v>
      </c>
      <c r="W12" s="26">
        <v>0</v>
      </c>
      <c r="X12" s="26">
        <v>0</v>
      </c>
      <c r="Y12" s="26">
        <v>0</v>
      </c>
      <c r="Z12" s="26">
        <v>0</v>
      </c>
      <c r="AA12" s="26">
        <v>0</v>
      </c>
      <c r="AB12" s="26">
        <v>0</v>
      </c>
      <c r="AC12" s="26">
        <v>0</v>
      </c>
      <c r="AD12" s="26">
        <v>0</v>
      </c>
      <c r="AE12" s="26">
        <v>0</v>
      </c>
      <c r="AF12" s="26">
        <v>0</v>
      </c>
      <c r="AG12" s="26">
        <v>0</v>
      </c>
      <c r="AH12" s="26">
        <v>0</v>
      </c>
      <c r="AI12" s="26">
        <v>0</v>
      </c>
      <c r="AJ12" s="26">
        <v>0</v>
      </c>
      <c r="AK12" s="26">
        <v>0</v>
      </c>
      <c r="AL12" s="26">
        <v>0</v>
      </c>
      <c r="AM12" s="26">
        <v>0</v>
      </c>
      <c r="AN12" s="26">
        <v>0</v>
      </c>
    </row>
  </sheetData>
  <mergeCells count="3">
    <mergeCell ref="E3:G3"/>
    <mergeCell ref="I3:K3"/>
    <mergeCell ref="A3:C3"/>
  </mergeCells>
  <conditionalFormatting sqref="B12">
    <cfRule type="duplicateValues" dxfId="440" priority="96"/>
  </conditionalFormatting>
  <dataValidations count="6">
    <dataValidation type="list" allowBlank="1" showInputMessage="1" showErrorMessage="1" sqref="C2">
      <formula1>СчетУслуги</formula1>
    </dataValidation>
    <dataValidation type="list" allowBlank="1" showInputMessage="1" showErrorMessage="1" sqref="A5:A9">
      <formula1>ТипУслуги</formula1>
    </dataValidation>
    <dataValidation type="list" allowBlank="1" showInputMessage="1" showErrorMessage="1" sqref="B1">
      <formula1>Месяц</formula1>
    </dataValidation>
    <dataValidation type="list" allowBlank="1" showInputMessage="1" showErrorMessage="1" sqref="F11:AN11">
      <formula1>Услуга</formula1>
    </dataValidation>
    <dataValidation type="list" allowBlank="1" showInputMessage="1" showErrorMessage="1" sqref="C12">
      <formula1>Учет</formula1>
    </dataValidation>
    <dataValidation type="list" allowBlank="1" showInputMessage="1" showErrorMessage="1" sqref="A12">
      <formula1>СоцРаботник</formula1>
    </dataValidation>
  </dataValidations>
  <pageMargins left="0.7" right="0.7" top="0.75" bottom="0.75" header="0.3" footer="0.3"/>
  <pageSetup paperSize="9" orientation="portrait" horizontalDpi="0" verticalDpi="0" r:id="rId1"/>
  <ignoredErrors>
    <ignoredError sqref="J6:K6" calculatedColumn="1"/>
  </ignoredErrors>
  <drawing r:id="rId2"/>
  <tableParts count="5">
    <tablePart r:id="rId3"/>
    <tablePart r:id="rId4"/>
    <tablePart r:id="rId5"/>
    <tablePart r:id="rId6"/>
    <tablePart r:id="rId7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8"/>
      </x14:slicerList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AN12"/>
  <sheetViews>
    <sheetView zoomScale="86" zoomScaleNormal="86" workbookViewId="0">
      <selection activeCell="B2" sqref="B2"/>
    </sheetView>
  </sheetViews>
  <sheetFormatPr defaultColWidth="9.140625" defaultRowHeight="15.75" x14ac:dyDescent="0.25"/>
  <cols>
    <col min="1" max="1" width="23" style="1" bestFit="1" customWidth="1"/>
    <col min="2" max="2" width="20.42578125" style="1" bestFit="1" customWidth="1"/>
    <col min="3" max="3" width="16.85546875" style="1" bestFit="1" customWidth="1"/>
    <col min="4" max="4" width="4" style="1" bestFit="1" customWidth="1"/>
    <col min="5" max="5" width="9.28515625" style="1" bestFit="1" customWidth="1"/>
    <col min="6" max="6" width="6.140625" style="1" bestFit="1" customWidth="1"/>
    <col min="7" max="7" width="7" style="1" bestFit="1" customWidth="1"/>
    <col min="8" max="8" width="4" style="1" bestFit="1" customWidth="1"/>
    <col min="9" max="9" width="23" style="1" bestFit="1" customWidth="1"/>
    <col min="10" max="10" width="6.28515625" style="1" bestFit="1" customWidth="1"/>
    <col min="11" max="11" width="4.42578125" style="1" bestFit="1" customWidth="1"/>
    <col min="12" max="17" width="4" style="1" bestFit="1" customWidth="1"/>
    <col min="18" max="18" width="7" style="1" bestFit="1" customWidth="1"/>
    <col min="19" max="20" width="4" style="1" bestFit="1" customWidth="1"/>
    <col min="21" max="23" width="7" style="1" bestFit="1" customWidth="1"/>
    <col min="24" max="26" width="4" style="1" bestFit="1" customWidth="1"/>
    <col min="27" max="27" width="10" style="1" bestFit="1" customWidth="1"/>
    <col min="28" max="28" width="7" style="1" bestFit="1" customWidth="1"/>
    <col min="29" max="31" width="4" style="1" bestFit="1" customWidth="1"/>
    <col min="32" max="36" width="7" style="1" bestFit="1" customWidth="1"/>
    <col min="37" max="38" width="4" style="1" bestFit="1" customWidth="1"/>
    <col min="39" max="40" width="7" style="1" bestFit="1" customWidth="1"/>
    <col min="41" max="41" width="7.140625" style="1" bestFit="1" customWidth="1"/>
    <col min="42" max="42" width="32.5703125" style="1" customWidth="1"/>
    <col min="43" max="16384" width="9.140625" style="1"/>
  </cols>
  <sheetData>
    <row r="1" spans="1:40" ht="26.25" x14ac:dyDescent="0.4">
      <c r="A1" s="5" t="s">
        <v>0</v>
      </c>
      <c r="B1" s="5" t="s">
        <v>80</v>
      </c>
      <c r="C1" s="1" t="s">
        <v>125</v>
      </c>
    </row>
    <row r="2" spans="1:40" ht="26.25" x14ac:dyDescent="0.4">
      <c r="A2" s="5" t="s">
        <v>86</v>
      </c>
      <c r="B2" s="16"/>
      <c r="C2" s="1" t="s">
        <v>123</v>
      </c>
    </row>
    <row r="3" spans="1:40" x14ac:dyDescent="0.25">
      <c r="A3" s="45" t="s">
        <v>195</v>
      </c>
      <c r="B3" s="46"/>
      <c r="C3" s="46"/>
      <c r="E3" s="45" t="s">
        <v>193</v>
      </c>
      <c r="F3" s="46"/>
      <c r="G3" s="46"/>
      <c r="I3" s="45" t="s">
        <v>194</v>
      </c>
      <c r="J3" s="46"/>
      <c r="K3" s="46"/>
    </row>
    <row r="4" spans="1:40" x14ac:dyDescent="0.25">
      <c r="A4" s="1" t="s">
        <v>0</v>
      </c>
      <c r="B4" s="1" t="s">
        <v>87</v>
      </c>
      <c r="C4" s="1" t="s">
        <v>88</v>
      </c>
      <c r="E4" s="1" t="s">
        <v>0</v>
      </c>
      <c r="F4" t="s">
        <v>87</v>
      </c>
      <c r="G4" s="1" t="s">
        <v>88</v>
      </c>
      <c r="I4" s="39" t="s">
        <v>0</v>
      </c>
      <c r="J4" s="40" t="s">
        <v>87</v>
      </c>
      <c r="K4" s="41" t="s">
        <v>88</v>
      </c>
    </row>
    <row r="5" spans="1:40" x14ac:dyDescent="0.25">
      <c r="A5" s="1" t="s">
        <v>89</v>
      </c>
      <c r="B5" s="1">
        <v>0</v>
      </c>
      <c r="C5" s="1">
        <v>0</v>
      </c>
      <c r="E5" s="1" t="s">
        <v>193</v>
      </c>
      <c r="F5">
        <v>0</v>
      </c>
      <c r="G5" s="1">
        <v>0</v>
      </c>
      <c r="I5" s="37" t="str">
        <f>СентябрьУслуги[[#This Row],[Услуги]]</f>
        <v>Соц-бытовые</v>
      </c>
      <c r="J5" s="36">
        <f>СентябрьУслуги[[#This Row],[б/пл.]]</f>
        <v>0</v>
      </c>
      <c r="K5" s="38">
        <f>СентябрьУслуги[[#This Row],[пл.]]</f>
        <v>0</v>
      </c>
    </row>
    <row r="6" spans="1:40" x14ac:dyDescent="0.25">
      <c r="A6" s="1" t="s">
        <v>90</v>
      </c>
      <c r="B6" s="1">
        <v>0</v>
      </c>
      <c r="C6" s="1">
        <v>0</v>
      </c>
      <c r="I6" s="37" t="str">
        <f>СентябрьУслуги[[#This Row],[Услуги]]</f>
        <v>Соц-медицинские</v>
      </c>
      <c r="J6" s="36">
        <f>СентябрьУслуги[[#This Row],[б/пл.]]-СентябрьСиделка[б/пл.]</f>
        <v>0</v>
      </c>
      <c r="K6" s="38">
        <f>СентябрьУслуги[[#This Row],[пл.]]-СентябрьСиделка[пл.]</f>
        <v>0</v>
      </c>
    </row>
    <row r="7" spans="1:40" x14ac:dyDescent="0.25">
      <c r="A7" s="1" t="s">
        <v>91</v>
      </c>
      <c r="B7" s="1">
        <v>0</v>
      </c>
      <c r="C7" s="1">
        <v>0</v>
      </c>
      <c r="I7" s="37" t="str">
        <f>СентябрьУслуги[[#This Row],[Услуги]]</f>
        <v>Соц-психологические</v>
      </c>
      <c r="J7" s="36">
        <f>СентябрьУслуги[[#This Row],[б/пл.]]</f>
        <v>0</v>
      </c>
      <c r="K7" s="38">
        <f>СентябрьУслуги[[#This Row],[пл.]]</f>
        <v>0</v>
      </c>
    </row>
    <row r="8" spans="1:40" x14ac:dyDescent="0.25">
      <c r="A8" s="1" t="s">
        <v>92</v>
      </c>
      <c r="B8" s="1">
        <v>0</v>
      </c>
      <c r="C8" s="1">
        <v>0</v>
      </c>
      <c r="I8" s="37" t="str">
        <f>СентябрьУслуги[[#This Row],[Услуги]]</f>
        <v>Соц-педагогические</v>
      </c>
      <c r="J8" s="36">
        <f>СентябрьУслуги[[#This Row],[б/пл.]]</f>
        <v>0</v>
      </c>
      <c r="K8" s="38">
        <f>СентябрьУслуги[[#This Row],[пл.]]</f>
        <v>0</v>
      </c>
    </row>
    <row r="9" spans="1:40" x14ac:dyDescent="0.25">
      <c r="A9" s="1" t="s">
        <v>93</v>
      </c>
      <c r="B9" s="1">
        <v>0</v>
      </c>
      <c r="C9" s="1">
        <v>0</v>
      </c>
      <c r="I9" s="42" t="str">
        <f>СентябрьУслуги[[#This Row],[Услуги]]</f>
        <v>Соц-правовые</v>
      </c>
      <c r="J9" s="36">
        <f>СентябрьУслуги[[#This Row],[б/пл.]]</f>
        <v>0</v>
      </c>
      <c r="K9" s="38">
        <f>СентябрьУслуги[[#This Row],[пл.]]</f>
        <v>0</v>
      </c>
    </row>
    <row r="11" spans="1:40" s="18" customFormat="1" ht="151.5" x14ac:dyDescent="0.25">
      <c r="A11" s="20" t="s">
        <v>94</v>
      </c>
      <c r="B11" s="20" t="s">
        <v>95</v>
      </c>
      <c r="C11" s="20" t="s">
        <v>68</v>
      </c>
      <c r="D11" s="19" t="s">
        <v>96</v>
      </c>
      <c r="E11" s="19" t="s">
        <v>97</v>
      </c>
      <c r="F11" s="19" t="s">
        <v>1</v>
      </c>
      <c r="G11" s="19" t="s">
        <v>2</v>
      </c>
      <c r="H11" s="19" t="s">
        <v>3</v>
      </c>
      <c r="I11" s="19" t="s">
        <v>4</v>
      </c>
      <c r="J11" s="19" t="s">
        <v>5</v>
      </c>
      <c r="K11" s="19" t="s">
        <v>6</v>
      </c>
      <c r="L11" s="19" t="s">
        <v>7</v>
      </c>
      <c r="M11" s="19" t="s">
        <v>8</v>
      </c>
      <c r="N11" s="19" t="s">
        <v>9</v>
      </c>
      <c r="O11" s="19" t="s">
        <v>10</v>
      </c>
      <c r="P11" s="19" t="s">
        <v>11</v>
      </c>
      <c r="Q11" s="19" t="s">
        <v>12</v>
      </c>
      <c r="R11" s="19" t="s">
        <v>13</v>
      </c>
      <c r="S11" s="19" t="s">
        <v>14</v>
      </c>
      <c r="T11" s="19" t="s">
        <v>15</v>
      </c>
      <c r="U11" s="19" t="s">
        <v>16</v>
      </c>
      <c r="V11" s="19" t="s">
        <v>17</v>
      </c>
      <c r="W11" s="19" t="s">
        <v>18</v>
      </c>
      <c r="X11" s="19" t="s">
        <v>19</v>
      </c>
      <c r="Y11" s="19" t="s">
        <v>20</v>
      </c>
      <c r="Z11" s="19" t="s">
        <v>21</v>
      </c>
      <c r="AA11" s="19" t="s">
        <v>22</v>
      </c>
      <c r="AB11" s="19" t="s">
        <v>23</v>
      </c>
      <c r="AC11" s="19" t="s">
        <v>24</v>
      </c>
      <c r="AD11" s="19" t="s">
        <v>25</v>
      </c>
      <c r="AE11" s="19" t="s">
        <v>26</v>
      </c>
      <c r="AF11" s="19" t="s">
        <v>27</v>
      </c>
      <c r="AG11" s="19" t="s">
        <v>28</v>
      </c>
      <c r="AH11" s="19" t="s">
        <v>29</v>
      </c>
      <c r="AI11" s="19" t="s">
        <v>30</v>
      </c>
      <c r="AJ11" s="19" t="s">
        <v>31</v>
      </c>
      <c r="AK11" s="19" t="s">
        <v>32</v>
      </c>
      <c r="AL11" s="19" t="s">
        <v>33</v>
      </c>
      <c r="AM11" s="19" t="s">
        <v>34</v>
      </c>
      <c r="AN11" s="19" t="s">
        <v>35</v>
      </c>
    </row>
    <row r="12" spans="1:40" s="22" customFormat="1" x14ac:dyDescent="0.25">
      <c r="A12" s="24" t="s">
        <v>108</v>
      </c>
      <c r="B12" s="24" t="s">
        <v>100</v>
      </c>
      <c r="C12" s="24" t="s">
        <v>69</v>
      </c>
      <c r="D12" s="34">
        <f ca="1">SUM(INDIRECT(ADDRESS(ROW(АвгустДанные[[#This Row],[Итого]]),COLUMN(АвгустДанные[[#This Row],[Итого]])+2)):INDIRECT(ADDRESS(ROW(АвгустДанные[[#This Row],[Итого]]),COUNTA(АвгустДанные[#Headers]))))</f>
        <v>0</v>
      </c>
      <c r="E12" s="35">
        <f ca="1">АвгустДанные[[#This Row],[Итого]]/COUNTIFS(АвгустДанные[Соц. Работник],АвгустДанные[[#This Row],[Соц. Работник]])</f>
        <v>0</v>
      </c>
      <c r="F12" s="26">
        <v>0</v>
      </c>
      <c r="G12" s="26">
        <v>0</v>
      </c>
      <c r="H12" s="26">
        <v>0</v>
      </c>
      <c r="I12" s="26">
        <v>0</v>
      </c>
      <c r="J12" s="26">
        <v>0</v>
      </c>
      <c r="K12" s="26">
        <v>0</v>
      </c>
      <c r="L12" s="26">
        <v>0</v>
      </c>
      <c r="M12" s="26">
        <v>0</v>
      </c>
      <c r="N12" s="26">
        <v>0</v>
      </c>
      <c r="O12" s="26">
        <v>0</v>
      </c>
      <c r="P12" s="26">
        <v>0</v>
      </c>
      <c r="Q12" s="26">
        <v>0</v>
      </c>
      <c r="R12" s="26">
        <v>0</v>
      </c>
      <c r="S12" s="26">
        <v>0</v>
      </c>
      <c r="T12" s="26">
        <v>0</v>
      </c>
      <c r="U12" s="26">
        <v>0</v>
      </c>
      <c r="V12" s="26">
        <v>0</v>
      </c>
      <c r="W12" s="26">
        <v>0</v>
      </c>
      <c r="X12" s="26">
        <v>0</v>
      </c>
      <c r="Y12" s="26">
        <v>0</v>
      </c>
      <c r="Z12" s="26">
        <v>0</v>
      </c>
      <c r="AA12" s="26">
        <v>0</v>
      </c>
      <c r="AB12" s="26">
        <v>0</v>
      </c>
      <c r="AC12" s="26">
        <v>0</v>
      </c>
      <c r="AD12" s="26">
        <v>0</v>
      </c>
      <c r="AE12" s="26">
        <v>0</v>
      </c>
      <c r="AF12" s="26">
        <v>0</v>
      </c>
      <c r="AG12" s="26">
        <v>0</v>
      </c>
      <c r="AH12" s="26">
        <v>0</v>
      </c>
      <c r="AI12" s="26">
        <v>0</v>
      </c>
      <c r="AJ12" s="26">
        <v>0</v>
      </c>
      <c r="AK12" s="26">
        <v>0</v>
      </c>
      <c r="AL12" s="26">
        <v>0</v>
      </c>
      <c r="AM12" s="26">
        <v>0</v>
      </c>
      <c r="AN12" s="26">
        <v>0</v>
      </c>
    </row>
  </sheetData>
  <mergeCells count="3">
    <mergeCell ref="E3:G3"/>
    <mergeCell ref="I3:K3"/>
    <mergeCell ref="A3:C3"/>
  </mergeCells>
  <conditionalFormatting sqref="B12">
    <cfRule type="duplicateValues" dxfId="436" priority="97"/>
  </conditionalFormatting>
  <dataValidations count="6">
    <dataValidation type="list" allowBlank="1" showInputMessage="1" showErrorMessage="1" sqref="F11:AN11">
      <formula1>Услуга</formula1>
    </dataValidation>
    <dataValidation type="list" allowBlank="1" showInputMessage="1" showErrorMessage="1" sqref="B1">
      <formula1>Месяц</formula1>
    </dataValidation>
    <dataValidation type="list" allowBlank="1" showInputMessage="1" showErrorMessage="1" sqref="A5:A9">
      <formula1>ТипУслуги</formula1>
    </dataValidation>
    <dataValidation type="list" allowBlank="1" showInputMessage="1" showErrorMessage="1" sqref="C2">
      <formula1>СчетУслуги</formula1>
    </dataValidation>
    <dataValidation type="list" allowBlank="1" showInputMessage="1" showErrorMessage="1" sqref="A12">
      <formula1>СоцРаботник</formula1>
    </dataValidation>
    <dataValidation type="list" allowBlank="1" showInputMessage="1" showErrorMessage="1" sqref="C12">
      <formula1>Учет</formula1>
    </dataValidation>
  </dataValidations>
  <pageMargins left="0.7" right="0.7" top="0.75" bottom="0.75" header="0.3" footer="0.3"/>
  <pageSetup paperSize="9" orientation="portrait" horizontalDpi="300" verticalDpi="300" r:id="rId1"/>
  <ignoredErrors>
    <ignoredError sqref="J6:K6" calculatedColumn="1"/>
  </ignoredErrors>
  <drawing r:id="rId2"/>
  <tableParts count="5">
    <tablePart r:id="rId3"/>
    <tablePart r:id="rId4"/>
    <tablePart r:id="rId5"/>
    <tablePart r:id="rId6"/>
    <tablePart r:id="rId7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8"/>
      </x14:slicerList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AN12"/>
  <sheetViews>
    <sheetView zoomScale="80" zoomScaleNormal="80" workbookViewId="0">
      <selection activeCell="B2" sqref="B2"/>
    </sheetView>
  </sheetViews>
  <sheetFormatPr defaultColWidth="9.140625" defaultRowHeight="15.75" x14ac:dyDescent="0.25"/>
  <cols>
    <col min="1" max="1" width="22.85546875" style="1" bestFit="1" customWidth="1"/>
    <col min="2" max="2" width="20" style="1" bestFit="1" customWidth="1"/>
    <col min="3" max="3" width="16.42578125" style="1" bestFit="1" customWidth="1"/>
    <col min="4" max="4" width="3.85546875" style="1" bestFit="1" customWidth="1"/>
    <col min="5" max="5" width="9.140625" style="1" bestFit="1" customWidth="1"/>
    <col min="6" max="6" width="5.85546875" style="1" bestFit="1" customWidth="1"/>
    <col min="7" max="7" width="6.85546875" style="1" bestFit="1" customWidth="1"/>
    <col min="8" max="8" width="3.85546875" style="1" bestFit="1" customWidth="1"/>
    <col min="9" max="9" width="22.85546875" style="1" bestFit="1" customWidth="1"/>
    <col min="10" max="10" width="6" style="1" bestFit="1" customWidth="1"/>
    <col min="11" max="11" width="4.140625" style="1" bestFit="1" customWidth="1"/>
    <col min="12" max="14" width="3.85546875" style="1" bestFit="1" customWidth="1"/>
    <col min="15" max="15" width="6.85546875" style="1" bestFit="1" customWidth="1"/>
    <col min="16" max="17" width="3.85546875" style="1" bestFit="1" customWidth="1"/>
    <col min="18" max="18" width="6.85546875" style="1" bestFit="1" customWidth="1"/>
    <col min="19" max="20" width="3.85546875" style="1" bestFit="1" customWidth="1"/>
    <col min="21" max="23" width="6.85546875" style="1" bestFit="1" customWidth="1"/>
    <col min="24" max="26" width="3.85546875" style="1" bestFit="1" customWidth="1"/>
    <col min="27" max="27" width="9.85546875" style="1" bestFit="1" customWidth="1"/>
    <col min="28" max="28" width="6.85546875" style="1" bestFit="1" customWidth="1"/>
    <col min="29" max="31" width="3.85546875" style="1" bestFit="1" customWidth="1"/>
    <col min="32" max="36" width="6.85546875" style="1" bestFit="1" customWidth="1"/>
    <col min="37" max="38" width="3.85546875" style="1" bestFit="1" customWidth="1"/>
    <col min="39" max="40" width="6.85546875" style="1" bestFit="1" customWidth="1"/>
    <col min="41" max="41" width="7.140625" style="1" bestFit="1" customWidth="1"/>
    <col min="42" max="42" width="32.5703125" style="1" customWidth="1"/>
    <col min="43" max="16384" width="9.140625" style="1"/>
  </cols>
  <sheetData>
    <row r="1" spans="1:40" ht="26.25" x14ac:dyDescent="0.4">
      <c r="A1" s="5" t="s">
        <v>0</v>
      </c>
      <c r="B1" s="5" t="s">
        <v>81</v>
      </c>
      <c r="C1" s="1" t="s">
        <v>125</v>
      </c>
    </row>
    <row r="2" spans="1:40" ht="26.25" x14ac:dyDescent="0.4">
      <c r="A2" s="5" t="s">
        <v>86</v>
      </c>
      <c r="B2" s="16"/>
      <c r="C2" s="1" t="s">
        <v>123</v>
      </c>
    </row>
    <row r="3" spans="1:40" x14ac:dyDescent="0.25">
      <c r="A3" s="45" t="s">
        <v>195</v>
      </c>
      <c r="B3" s="46"/>
      <c r="C3" s="46"/>
      <c r="E3" s="45" t="s">
        <v>193</v>
      </c>
      <c r="F3" s="46"/>
      <c r="G3" s="46"/>
      <c r="I3" s="45" t="s">
        <v>194</v>
      </c>
      <c r="J3" s="46"/>
      <c r="K3" s="46"/>
    </row>
    <row r="4" spans="1:40" x14ac:dyDescent="0.25">
      <c r="A4" s="1" t="s">
        <v>0</v>
      </c>
      <c r="B4" s="1" t="s">
        <v>87</v>
      </c>
      <c r="C4" s="1" t="s">
        <v>88</v>
      </c>
      <c r="E4" s="1" t="s">
        <v>0</v>
      </c>
      <c r="F4" t="s">
        <v>87</v>
      </c>
      <c r="G4" s="1" t="s">
        <v>88</v>
      </c>
      <c r="I4" s="39" t="s">
        <v>0</v>
      </c>
      <c r="J4" s="40" t="s">
        <v>87</v>
      </c>
      <c r="K4" s="41" t="s">
        <v>88</v>
      </c>
    </row>
    <row r="5" spans="1:40" x14ac:dyDescent="0.25">
      <c r="A5" s="1" t="s">
        <v>89</v>
      </c>
      <c r="B5" s="1">
        <v>0</v>
      </c>
      <c r="C5" s="1">
        <v>0</v>
      </c>
      <c r="E5" s="1" t="s">
        <v>193</v>
      </c>
      <c r="F5">
        <v>0</v>
      </c>
      <c r="G5" s="1">
        <v>0</v>
      </c>
      <c r="I5" s="37" t="str">
        <f>ОктябрьУслуги[[#This Row],[Услуги]]</f>
        <v>Соц-бытовые</v>
      </c>
      <c r="J5" s="36">
        <f>ОктябрьУслуги[[#This Row],[б/пл.]]</f>
        <v>0</v>
      </c>
      <c r="K5" s="38">
        <f>ОктябрьУслуги[[#This Row],[пл.]]</f>
        <v>0</v>
      </c>
    </row>
    <row r="6" spans="1:40" x14ac:dyDescent="0.25">
      <c r="A6" s="1" t="s">
        <v>90</v>
      </c>
      <c r="B6" s="1">
        <v>0</v>
      </c>
      <c r="C6" s="1">
        <v>0</v>
      </c>
      <c r="I6" s="37" t="str">
        <f>ОктябрьУслуги[[#This Row],[Услуги]]</f>
        <v>Соц-медицинские</v>
      </c>
      <c r="J6" s="36">
        <f>ОктябрьУслуги[[#This Row],[б/пл.]]-ОктябрьСиделка[б/пл.]</f>
        <v>0</v>
      </c>
      <c r="K6" s="38">
        <f>ОктябрьУслуги[[#This Row],[пл.]]-ОктябрьСиделка[пл.]</f>
        <v>0</v>
      </c>
    </row>
    <row r="7" spans="1:40" x14ac:dyDescent="0.25">
      <c r="A7" s="1" t="s">
        <v>91</v>
      </c>
      <c r="B7" s="1">
        <v>0</v>
      </c>
      <c r="C7" s="1">
        <v>0</v>
      </c>
      <c r="I7" s="37" t="str">
        <f>ОктябрьУслуги[[#This Row],[Услуги]]</f>
        <v>Соц-психологические</v>
      </c>
      <c r="J7" s="36">
        <f>ОктябрьУслуги[[#This Row],[б/пл.]]</f>
        <v>0</v>
      </c>
      <c r="K7" s="38">
        <f>ОктябрьУслуги[[#This Row],[пл.]]</f>
        <v>0</v>
      </c>
    </row>
    <row r="8" spans="1:40" x14ac:dyDescent="0.25">
      <c r="A8" s="1" t="s">
        <v>92</v>
      </c>
      <c r="B8" s="1">
        <v>0</v>
      </c>
      <c r="C8" s="1">
        <v>0</v>
      </c>
      <c r="I8" s="37" t="str">
        <f>ОктябрьУслуги[[#This Row],[Услуги]]</f>
        <v>Соц-педагогические</v>
      </c>
      <c r="J8" s="36">
        <f>ОктябрьУслуги[[#This Row],[б/пл.]]</f>
        <v>0</v>
      </c>
      <c r="K8" s="38">
        <f>ОктябрьУслуги[[#This Row],[пл.]]</f>
        <v>0</v>
      </c>
    </row>
    <row r="9" spans="1:40" x14ac:dyDescent="0.25">
      <c r="A9" s="1" t="s">
        <v>93</v>
      </c>
      <c r="B9" s="1">
        <v>0</v>
      </c>
      <c r="C9" s="1">
        <v>0</v>
      </c>
      <c r="I9" s="42" t="str">
        <f>ОктябрьУслуги[[#This Row],[Услуги]]</f>
        <v>Соц-правовые</v>
      </c>
      <c r="J9" s="36">
        <f>ОктябрьУслуги[[#This Row],[б/пл.]]</f>
        <v>0</v>
      </c>
      <c r="K9" s="38">
        <f>ОктябрьУслуги[[#This Row],[пл.]]</f>
        <v>0</v>
      </c>
    </row>
    <row r="11" spans="1:40" s="18" customFormat="1" ht="145.5" x14ac:dyDescent="0.25">
      <c r="A11" s="20" t="s">
        <v>94</v>
      </c>
      <c r="B11" s="20" t="s">
        <v>95</v>
      </c>
      <c r="C11" s="20" t="s">
        <v>68</v>
      </c>
      <c r="D11" s="19" t="s">
        <v>96</v>
      </c>
      <c r="E11" s="19" t="s">
        <v>97</v>
      </c>
      <c r="F11" s="19" t="s">
        <v>1</v>
      </c>
      <c r="G11" s="19" t="s">
        <v>2</v>
      </c>
      <c r="H11" s="19" t="s">
        <v>3</v>
      </c>
      <c r="I11" s="19" t="s">
        <v>4</v>
      </c>
      <c r="J11" s="19" t="s">
        <v>5</v>
      </c>
      <c r="K11" s="19" t="s">
        <v>6</v>
      </c>
      <c r="L11" s="19" t="s">
        <v>7</v>
      </c>
      <c r="M11" s="19" t="s">
        <v>8</v>
      </c>
      <c r="N11" s="19" t="s">
        <v>9</v>
      </c>
      <c r="O11" s="19" t="s">
        <v>10</v>
      </c>
      <c r="P11" s="19" t="s">
        <v>11</v>
      </c>
      <c r="Q11" s="19" t="s">
        <v>12</v>
      </c>
      <c r="R11" s="19" t="s">
        <v>13</v>
      </c>
      <c r="S11" s="19" t="s">
        <v>14</v>
      </c>
      <c r="T11" s="19" t="s">
        <v>15</v>
      </c>
      <c r="U11" s="19" t="s">
        <v>16</v>
      </c>
      <c r="V11" s="19" t="s">
        <v>17</v>
      </c>
      <c r="W11" s="19" t="s">
        <v>18</v>
      </c>
      <c r="X11" s="19" t="s">
        <v>19</v>
      </c>
      <c r="Y11" s="19" t="s">
        <v>20</v>
      </c>
      <c r="Z11" s="19" t="s">
        <v>21</v>
      </c>
      <c r="AA11" s="19" t="s">
        <v>22</v>
      </c>
      <c r="AB11" s="19" t="s">
        <v>23</v>
      </c>
      <c r="AC11" s="19" t="s">
        <v>24</v>
      </c>
      <c r="AD11" s="19" t="s">
        <v>25</v>
      </c>
      <c r="AE11" s="19" t="s">
        <v>26</v>
      </c>
      <c r="AF11" s="19" t="s">
        <v>27</v>
      </c>
      <c r="AG11" s="19" t="s">
        <v>28</v>
      </c>
      <c r="AH11" s="19" t="s">
        <v>29</v>
      </c>
      <c r="AI11" s="19" t="s">
        <v>30</v>
      </c>
      <c r="AJ11" s="19" t="s">
        <v>31</v>
      </c>
      <c r="AK11" s="19" t="s">
        <v>32</v>
      </c>
      <c r="AL11" s="19" t="s">
        <v>33</v>
      </c>
      <c r="AM11" s="19" t="s">
        <v>34</v>
      </c>
      <c r="AN11" s="19" t="s">
        <v>35</v>
      </c>
    </row>
    <row r="12" spans="1:40" s="22" customFormat="1" x14ac:dyDescent="0.25">
      <c r="A12" s="24" t="s">
        <v>108</v>
      </c>
      <c r="B12" s="24" t="s">
        <v>100</v>
      </c>
      <c r="C12" s="24" t="s">
        <v>69</v>
      </c>
      <c r="D12" s="21">
        <f ca="1">SUM(INDIRECT(ADDRESS(ROW(ОктябрьДанные[[#This Row],[Итого]]),COLUMN(ОктябрьДанные[[#This Row],[Итого]])+2)):INDIRECT(ADDRESS(ROW(ОктябрьДанные[[#This Row],[Итого]]),COUNTA(ОктябрьДанные[#Headers]))))</f>
        <v>0</v>
      </c>
      <c r="E12" s="30">
        <f ca="1">ОктябрьДанные[[#This Row],[Итого]]/COUNTIFS(ОктябрьДанные[Соц. Работник],ОктябрьДанные[[#This Row],[Соц. Работник]])</f>
        <v>0</v>
      </c>
      <c r="F12" s="26">
        <v>0</v>
      </c>
      <c r="G12" s="26">
        <v>0</v>
      </c>
      <c r="H12" s="26">
        <v>0</v>
      </c>
      <c r="I12" s="26">
        <v>0</v>
      </c>
      <c r="J12" s="26">
        <v>0</v>
      </c>
      <c r="K12" s="26">
        <v>0</v>
      </c>
      <c r="L12" s="26">
        <v>0</v>
      </c>
      <c r="M12" s="26">
        <v>0</v>
      </c>
      <c r="N12" s="26">
        <v>0</v>
      </c>
      <c r="O12" s="26">
        <v>0</v>
      </c>
      <c r="P12" s="26">
        <v>0</v>
      </c>
      <c r="Q12" s="26">
        <v>0</v>
      </c>
      <c r="R12" s="26">
        <v>0</v>
      </c>
      <c r="S12" s="26">
        <v>0</v>
      </c>
      <c r="T12" s="26">
        <v>0</v>
      </c>
      <c r="U12" s="26">
        <v>0</v>
      </c>
      <c r="V12" s="26">
        <v>0</v>
      </c>
      <c r="W12" s="26">
        <v>0</v>
      </c>
      <c r="X12" s="26">
        <v>0</v>
      </c>
      <c r="Y12" s="26">
        <v>0</v>
      </c>
      <c r="Z12" s="26">
        <v>0</v>
      </c>
      <c r="AA12" s="26">
        <v>0</v>
      </c>
      <c r="AB12" s="26">
        <v>0</v>
      </c>
      <c r="AC12" s="26">
        <v>0</v>
      </c>
      <c r="AD12" s="26">
        <v>0</v>
      </c>
      <c r="AE12" s="26">
        <v>0</v>
      </c>
      <c r="AF12" s="26">
        <v>0</v>
      </c>
      <c r="AG12" s="26">
        <v>0</v>
      </c>
      <c r="AH12" s="26">
        <v>0</v>
      </c>
      <c r="AI12" s="26">
        <v>0</v>
      </c>
      <c r="AJ12" s="26">
        <v>0</v>
      </c>
      <c r="AK12" s="26">
        <v>0</v>
      </c>
      <c r="AL12" s="26">
        <v>0</v>
      </c>
      <c r="AM12" s="26">
        <v>0</v>
      </c>
      <c r="AN12" s="26">
        <v>0</v>
      </c>
    </row>
  </sheetData>
  <mergeCells count="3">
    <mergeCell ref="E3:G3"/>
    <mergeCell ref="I3:K3"/>
    <mergeCell ref="A3:C3"/>
  </mergeCells>
  <conditionalFormatting sqref="B12">
    <cfRule type="duplicateValues" dxfId="434" priority="1"/>
  </conditionalFormatting>
  <dataValidations count="6">
    <dataValidation type="list" allowBlank="1" showInputMessage="1" showErrorMessage="1" sqref="F11:AN11">
      <formula1>Услуга</formula1>
    </dataValidation>
    <dataValidation type="list" allowBlank="1" showInputMessage="1" showErrorMessage="1" sqref="B1">
      <formula1>Месяц</formula1>
    </dataValidation>
    <dataValidation type="list" allowBlank="1" showInputMessage="1" showErrorMessage="1" sqref="A5:A9">
      <formula1>ТипУслуги</formula1>
    </dataValidation>
    <dataValidation type="list" allowBlank="1" showInputMessage="1" showErrorMessage="1" sqref="C2">
      <formula1>СчетУслуги</formula1>
    </dataValidation>
    <dataValidation type="list" allowBlank="1" showInputMessage="1" showErrorMessage="1" sqref="A12">
      <formula1>СоцРаботник</formula1>
    </dataValidation>
    <dataValidation type="list" allowBlank="1" showInputMessage="1" showErrorMessage="1" sqref="C12">
      <formula1>Учет</formula1>
    </dataValidation>
  </dataValidations>
  <pageMargins left="0.7" right="0.7" top="0.75" bottom="0.75" header="0.3" footer="0.3"/>
  <pageSetup paperSize="9" orientation="portrait" horizontalDpi="0" verticalDpi="0" r:id="rId1"/>
  <ignoredErrors>
    <ignoredError sqref="J6:K6" calculatedColumn="1"/>
  </ignoredErrors>
  <drawing r:id="rId2"/>
  <tableParts count="5">
    <tablePart r:id="rId3"/>
    <tablePart r:id="rId4"/>
    <tablePart r:id="rId5"/>
    <tablePart r:id="rId6"/>
    <tablePart r:id="rId7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8"/>
      </x14:slicerList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/>
  <dimension ref="A1:AN12"/>
  <sheetViews>
    <sheetView zoomScale="80" zoomScaleNormal="80" workbookViewId="0">
      <selection activeCell="B2" sqref="B2"/>
    </sheetView>
  </sheetViews>
  <sheetFormatPr defaultColWidth="9.140625" defaultRowHeight="15.75" x14ac:dyDescent="0.25"/>
  <cols>
    <col min="1" max="1" width="23.42578125" style="1" bestFit="1" customWidth="1"/>
    <col min="2" max="2" width="19.85546875" style="1" bestFit="1" customWidth="1"/>
    <col min="3" max="3" width="16.28515625" style="1" bestFit="1" customWidth="1"/>
    <col min="4" max="4" width="4.140625" style="1" bestFit="1" customWidth="1"/>
    <col min="5" max="5" width="9.42578125" style="1" bestFit="1" customWidth="1"/>
    <col min="6" max="6" width="5.85546875" style="1" bestFit="1" customWidth="1"/>
    <col min="7" max="7" width="7.140625" style="1" bestFit="1" customWidth="1"/>
    <col min="8" max="8" width="4.140625" style="1" bestFit="1" customWidth="1"/>
    <col min="9" max="9" width="23.42578125" style="1" bestFit="1" customWidth="1"/>
    <col min="10" max="10" width="6" style="1" bestFit="1" customWidth="1"/>
    <col min="11" max="11" width="4.28515625" style="1" bestFit="1" customWidth="1"/>
    <col min="12" max="17" width="4.140625" style="1" bestFit="1" customWidth="1"/>
    <col min="18" max="18" width="7.140625" style="1" bestFit="1" customWidth="1"/>
    <col min="19" max="20" width="4.140625" style="1" bestFit="1" customWidth="1"/>
    <col min="21" max="23" width="7.140625" style="1" bestFit="1" customWidth="1"/>
    <col min="24" max="26" width="4.140625" style="1" bestFit="1" customWidth="1"/>
    <col min="27" max="27" width="10.140625" style="1" bestFit="1" customWidth="1"/>
    <col min="28" max="28" width="7.140625" style="1" bestFit="1" customWidth="1"/>
    <col min="29" max="31" width="4.140625" style="1" bestFit="1" customWidth="1"/>
    <col min="32" max="36" width="7.140625" style="1" bestFit="1" customWidth="1"/>
    <col min="37" max="38" width="4.140625" style="1" bestFit="1" customWidth="1"/>
    <col min="39" max="41" width="7.140625" style="1" bestFit="1" customWidth="1"/>
    <col min="42" max="42" width="32.5703125" style="1" customWidth="1"/>
    <col min="43" max="16384" width="9.140625" style="1"/>
  </cols>
  <sheetData>
    <row r="1" spans="1:40" ht="26.25" x14ac:dyDescent="0.4">
      <c r="A1" s="5" t="s">
        <v>0</v>
      </c>
      <c r="B1" s="5" t="s">
        <v>82</v>
      </c>
      <c r="C1" s="1" t="s">
        <v>125</v>
      </c>
    </row>
    <row r="2" spans="1:40" ht="26.25" x14ac:dyDescent="0.4">
      <c r="A2" s="5" t="s">
        <v>86</v>
      </c>
      <c r="B2" s="16"/>
      <c r="C2" s="1" t="s">
        <v>123</v>
      </c>
    </row>
    <row r="3" spans="1:40" x14ac:dyDescent="0.25">
      <c r="A3" s="45" t="s">
        <v>195</v>
      </c>
      <c r="B3" s="46"/>
      <c r="C3" s="46"/>
      <c r="E3" s="45" t="s">
        <v>193</v>
      </c>
      <c r="F3" s="46"/>
      <c r="G3" s="46"/>
      <c r="I3" s="45" t="s">
        <v>194</v>
      </c>
      <c r="J3" s="46"/>
      <c r="K3" s="46"/>
    </row>
    <row r="4" spans="1:40" x14ac:dyDescent="0.25">
      <c r="A4" s="1" t="s">
        <v>0</v>
      </c>
      <c r="B4" s="1" t="s">
        <v>87</v>
      </c>
      <c r="C4" s="1" t="s">
        <v>88</v>
      </c>
      <c r="E4" s="1" t="s">
        <v>0</v>
      </c>
      <c r="F4" t="s">
        <v>87</v>
      </c>
      <c r="G4" s="1" t="s">
        <v>88</v>
      </c>
      <c r="I4" s="39" t="s">
        <v>0</v>
      </c>
      <c r="J4" s="40" t="s">
        <v>87</v>
      </c>
      <c r="K4" s="41" t="s">
        <v>88</v>
      </c>
    </row>
    <row r="5" spans="1:40" x14ac:dyDescent="0.25">
      <c r="A5" s="1" t="s">
        <v>89</v>
      </c>
      <c r="B5" s="1">
        <v>0</v>
      </c>
      <c r="C5" s="1">
        <v>0</v>
      </c>
      <c r="E5" s="1" t="s">
        <v>193</v>
      </c>
      <c r="F5">
        <v>0</v>
      </c>
      <c r="G5" s="1">
        <v>0</v>
      </c>
      <c r="I5" s="37" t="str">
        <f>НоябрьУслуги[[#This Row],[Услуги]]</f>
        <v>Соц-бытовые</v>
      </c>
      <c r="J5" s="36">
        <f>НоябрьУслуги[[#This Row],[б/пл.]]</f>
        <v>0</v>
      </c>
      <c r="K5" s="38">
        <f>НоябрьУслуги[[#This Row],[пл.]]</f>
        <v>0</v>
      </c>
    </row>
    <row r="6" spans="1:40" x14ac:dyDescent="0.25">
      <c r="A6" s="1" t="s">
        <v>90</v>
      </c>
      <c r="B6" s="1">
        <v>0</v>
      </c>
      <c r="C6" s="1">
        <v>0</v>
      </c>
      <c r="I6" s="37" t="str">
        <f>НоябрьУслуги[[#This Row],[Услуги]]</f>
        <v>Соц-медицинские</v>
      </c>
      <c r="J6" s="36">
        <f>НоябрьУслуги[[#This Row],[б/пл.]]-НоябрьСиделка[б/пл.]</f>
        <v>0</v>
      </c>
      <c r="K6" s="38">
        <f>НоябрьУслуги[[#This Row],[пл.]]-НоябрьСиделка[пл.]</f>
        <v>0</v>
      </c>
    </row>
    <row r="7" spans="1:40" x14ac:dyDescent="0.25">
      <c r="A7" s="1" t="s">
        <v>91</v>
      </c>
      <c r="B7" s="1">
        <v>0</v>
      </c>
      <c r="C7" s="1">
        <v>0</v>
      </c>
      <c r="I7" s="37" t="str">
        <f>НоябрьУслуги[[#This Row],[Услуги]]</f>
        <v>Соц-психологические</v>
      </c>
      <c r="J7" s="36">
        <f>НоябрьУслуги[[#This Row],[б/пл.]]</f>
        <v>0</v>
      </c>
      <c r="K7" s="38">
        <f>НоябрьУслуги[[#This Row],[пл.]]</f>
        <v>0</v>
      </c>
    </row>
    <row r="8" spans="1:40" x14ac:dyDescent="0.25">
      <c r="A8" s="1" t="s">
        <v>92</v>
      </c>
      <c r="B8" s="1">
        <v>0</v>
      </c>
      <c r="C8" s="1">
        <v>0</v>
      </c>
      <c r="I8" s="37" t="str">
        <f>НоябрьУслуги[[#This Row],[Услуги]]</f>
        <v>Соц-педагогические</v>
      </c>
      <c r="J8" s="36">
        <f>НоябрьУслуги[[#This Row],[б/пл.]]</f>
        <v>0</v>
      </c>
      <c r="K8" s="38">
        <f>НоябрьУслуги[[#This Row],[пл.]]</f>
        <v>0</v>
      </c>
    </row>
    <row r="9" spans="1:40" x14ac:dyDescent="0.25">
      <c r="A9" s="1" t="s">
        <v>93</v>
      </c>
      <c r="B9" s="1">
        <v>0</v>
      </c>
      <c r="C9" s="1">
        <v>0</v>
      </c>
      <c r="I9" s="42" t="str">
        <f>НоябрьУслуги[[#This Row],[Услуги]]</f>
        <v>Соц-правовые</v>
      </c>
      <c r="J9" s="36">
        <f>НоябрьУслуги[[#This Row],[б/пл.]]</f>
        <v>0</v>
      </c>
      <c r="K9" s="38">
        <f>НоябрьУслуги[[#This Row],[пл.]]</f>
        <v>0</v>
      </c>
    </row>
    <row r="11" spans="1:40" s="18" customFormat="1" ht="145.5" x14ac:dyDescent="0.25">
      <c r="A11" s="20" t="s">
        <v>94</v>
      </c>
      <c r="B11" s="20" t="s">
        <v>95</v>
      </c>
      <c r="C11" s="20" t="s">
        <v>68</v>
      </c>
      <c r="D11" s="19" t="s">
        <v>96</v>
      </c>
      <c r="E11" s="19" t="s">
        <v>97</v>
      </c>
      <c r="F11" s="19" t="s">
        <v>1</v>
      </c>
      <c r="G11" s="19" t="s">
        <v>2</v>
      </c>
      <c r="H11" s="19" t="s">
        <v>3</v>
      </c>
      <c r="I11" s="19" t="s">
        <v>4</v>
      </c>
      <c r="J11" s="19" t="s">
        <v>5</v>
      </c>
      <c r="K11" s="19" t="s">
        <v>6</v>
      </c>
      <c r="L11" s="19" t="s">
        <v>7</v>
      </c>
      <c r="M11" s="19" t="s">
        <v>8</v>
      </c>
      <c r="N11" s="19" t="s">
        <v>9</v>
      </c>
      <c r="O11" s="19" t="s">
        <v>10</v>
      </c>
      <c r="P11" s="19" t="s">
        <v>11</v>
      </c>
      <c r="Q11" s="19" t="s">
        <v>12</v>
      </c>
      <c r="R11" s="19" t="s">
        <v>13</v>
      </c>
      <c r="S11" s="19" t="s">
        <v>14</v>
      </c>
      <c r="T11" s="19" t="s">
        <v>15</v>
      </c>
      <c r="U11" s="19" t="s">
        <v>16</v>
      </c>
      <c r="V11" s="19" t="s">
        <v>17</v>
      </c>
      <c r="W11" s="19" t="s">
        <v>18</v>
      </c>
      <c r="X11" s="19" t="s">
        <v>19</v>
      </c>
      <c r="Y11" s="19" t="s">
        <v>20</v>
      </c>
      <c r="Z11" s="19" t="s">
        <v>21</v>
      </c>
      <c r="AA11" s="19" t="s">
        <v>22</v>
      </c>
      <c r="AB11" s="19" t="s">
        <v>23</v>
      </c>
      <c r="AC11" s="19" t="s">
        <v>24</v>
      </c>
      <c r="AD11" s="19" t="s">
        <v>25</v>
      </c>
      <c r="AE11" s="19" t="s">
        <v>26</v>
      </c>
      <c r="AF11" s="19" t="s">
        <v>27</v>
      </c>
      <c r="AG11" s="19" t="s">
        <v>28</v>
      </c>
      <c r="AH11" s="19" t="s">
        <v>29</v>
      </c>
      <c r="AI11" s="19" t="s">
        <v>30</v>
      </c>
      <c r="AJ11" s="19" t="s">
        <v>31</v>
      </c>
      <c r="AK11" s="19" t="s">
        <v>32</v>
      </c>
      <c r="AL11" s="19" t="s">
        <v>33</v>
      </c>
      <c r="AM11" s="19" t="s">
        <v>34</v>
      </c>
      <c r="AN11" s="19" t="s">
        <v>35</v>
      </c>
    </row>
    <row r="12" spans="1:40" s="22" customFormat="1" x14ac:dyDescent="0.25">
      <c r="A12" s="24" t="s">
        <v>108</v>
      </c>
      <c r="B12" s="24" t="s">
        <v>100</v>
      </c>
      <c r="C12" s="24" t="s">
        <v>69</v>
      </c>
      <c r="D12" s="21">
        <f ca="1">SUM(INDIRECT(ADDRESS(ROW(НоябрьДанные[[#This Row],[Итого]]),COLUMN(НоябрьДанные[[#This Row],[Итого]])+2)):INDIRECT(ADDRESS(ROW(НоябрьДанные[[#This Row],[Итого]]),COUNTA(НоябрьДанные[#Headers]))))</f>
        <v>0</v>
      </c>
      <c r="E12" s="30">
        <f ca="1">НоябрьДанные[[#This Row],[Итого]]/COUNTIFS(НоябрьДанные[Соц. Работник],НоябрьДанные[[#This Row],[Соц. Работник]])</f>
        <v>0</v>
      </c>
      <c r="F12" s="26">
        <v>0</v>
      </c>
      <c r="G12" s="26">
        <v>0</v>
      </c>
      <c r="H12" s="26">
        <v>0</v>
      </c>
      <c r="I12" s="26">
        <v>0</v>
      </c>
      <c r="J12" s="26">
        <v>0</v>
      </c>
      <c r="K12" s="26">
        <v>0</v>
      </c>
      <c r="L12" s="26">
        <v>0</v>
      </c>
      <c r="M12" s="26">
        <v>0</v>
      </c>
      <c r="N12" s="26">
        <v>0</v>
      </c>
      <c r="O12" s="26">
        <v>0</v>
      </c>
      <c r="P12" s="26">
        <v>0</v>
      </c>
      <c r="Q12" s="26">
        <v>0</v>
      </c>
      <c r="R12" s="26">
        <v>0</v>
      </c>
      <c r="S12" s="26">
        <v>0</v>
      </c>
      <c r="T12" s="26">
        <v>0</v>
      </c>
      <c r="U12" s="26">
        <v>0</v>
      </c>
      <c r="V12" s="26">
        <v>0</v>
      </c>
      <c r="W12" s="26">
        <v>0</v>
      </c>
      <c r="X12" s="26">
        <v>0</v>
      </c>
      <c r="Y12" s="26">
        <v>0</v>
      </c>
      <c r="Z12" s="26">
        <v>0</v>
      </c>
      <c r="AA12" s="26">
        <v>0</v>
      </c>
      <c r="AB12" s="26">
        <v>0</v>
      </c>
      <c r="AC12" s="26">
        <v>0</v>
      </c>
      <c r="AD12" s="26">
        <v>0</v>
      </c>
      <c r="AE12" s="26">
        <v>0</v>
      </c>
      <c r="AF12" s="26">
        <v>0</v>
      </c>
      <c r="AG12" s="26">
        <v>0</v>
      </c>
      <c r="AH12" s="26">
        <v>0</v>
      </c>
      <c r="AI12" s="26">
        <v>0</v>
      </c>
      <c r="AJ12" s="26">
        <v>0</v>
      </c>
      <c r="AK12" s="26">
        <v>0</v>
      </c>
      <c r="AL12" s="26">
        <v>0</v>
      </c>
      <c r="AM12" s="26">
        <v>0</v>
      </c>
      <c r="AN12" s="26">
        <v>0</v>
      </c>
    </row>
  </sheetData>
  <mergeCells count="3">
    <mergeCell ref="E3:G3"/>
    <mergeCell ref="I3:K3"/>
    <mergeCell ref="A3:C3"/>
  </mergeCells>
  <conditionalFormatting sqref="B12">
    <cfRule type="duplicateValues" dxfId="79" priority="1"/>
  </conditionalFormatting>
  <dataValidations count="6">
    <dataValidation type="list" allowBlank="1" showInputMessage="1" showErrorMessage="1" sqref="F11:AN11">
      <formula1>Услуга</formula1>
    </dataValidation>
    <dataValidation type="list" allowBlank="1" showInputMessage="1" showErrorMessage="1" sqref="B1">
      <formula1>Месяц</formula1>
    </dataValidation>
    <dataValidation type="list" allowBlank="1" showInputMessage="1" showErrorMessage="1" sqref="A5:A9">
      <formula1>ТипУслуги</formula1>
    </dataValidation>
    <dataValidation type="list" allowBlank="1" showInputMessage="1" showErrorMessage="1" sqref="C2">
      <formula1>СчетУслуги</formula1>
    </dataValidation>
    <dataValidation type="list" allowBlank="1" showInputMessage="1" showErrorMessage="1" sqref="A12">
      <formula1>СоцРаботник</formula1>
    </dataValidation>
    <dataValidation type="list" allowBlank="1" showInputMessage="1" showErrorMessage="1" sqref="C12">
      <formula1>Учет</formula1>
    </dataValidation>
  </dataValidations>
  <pageMargins left="0.7" right="0.7" top="0.75" bottom="0.75" header="0.3" footer="0.3"/>
  <pageSetup paperSize="9" orientation="portrait" horizontalDpi="0" verticalDpi="0" r:id="rId1"/>
  <ignoredErrors>
    <ignoredError sqref="J6:K6" calculatedColumn="1"/>
  </ignoredErrors>
  <drawing r:id="rId2"/>
  <tableParts count="5">
    <tablePart r:id="rId3"/>
    <tablePart r:id="rId4"/>
    <tablePart r:id="rId5"/>
    <tablePart r:id="rId6"/>
    <tablePart r:id="rId7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8"/>
      </x14:slicerList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/>
  <dimension ref="A1:AN12"/>
  <sheetViews>
    <sheetView zoomScale="80" zoomScaleNormal="80" workbookViewId="0">
      <selection activeCell="B2" sqref="B2"/>
    </sheetView>
  </sheetViews>
  <sheetFormatPr defaultColWidth="9.140625" defaultRowHeight="15.75" x14ac:dyDescent="0.25"/>
  <cols>
    <col min="1" max="1" width="23.42578125" style="1" bestFit="1" customWidth="1"/>
    <col min="2" max="2" width="19.85546875" style="1" bestFit="1" customWidth="1"/>
    <col min="3" max="3" width="16.28515625" style="1" bestFit="1" customWidth="1"/>
    <col min="4" max="4" width="4.140625" style="1" bestFit="1" customWidth="1"/>
    <col min="5" max="5" width="10.140625" style="1" bestFit="1" customWidth="1"/>
    <col min="6" max="6" width="7.140625" style="1" bestFit="1" customWidth="1"/>
    <col min="7" max="7" width="10.140625" style="1" bestFit="1" customWidth="1"/>
    <col min="8" max="8" width="4.140625" style="1" bestFit="1" customWidth="1"/>
    <col min="9" max="9" width="23.42578125" style="1" bestFit="1" customWidth="1"/>
    <col min="10" max="10" width="6" style="1" bestFit="1" customWidth="1"/>
    <col min="11" max="11" width="4.28515625" style="1" bestFit="1" customWidth="1"/>
    <col min="12" max="13" width="4.140625" style="1" bestFit="1" customWidth="1"/>
    <col min="14" max="14" width="7.140625" style="1" bestFit="1" customWidth="1"/>
    <col min="15" max="16" width="10.140625" style="1" bestFit="1" customWidth="1"/>
    <col min="17" max="17" width="7.140625" style="1" bestFit="1" customWidth="1"/>
    <col min="18" max="18" width="10.140625" style="1" bestFit="1" customWidth="1"/>
    <col min="19" max="20" width="4.140625" style="1" bestFit="1" customWidth="1"/>
    <col min="21" max="21" width="10.140625" style="1" bestFit="1" customWidth="1"/>
    <col min="22" max="22" width="16.28515625" style="1" bestFit="1" customWidth="1"/>
    <col min="23" max="23" width="13.140625" style="1" bestFit="1" customWidth="1"/>
    <col min="24" max="24" width="7.140625" style="1" bestFit="1" customWidth="1"/>
    <col min="25" max="26" width="4.140625" style="1" bestFit="1" customWidth="1"/>
    <col min="27" max="28" width="13.140625" style="1" bestFit="1" customWidth="1"/>
    <col min="29" max="29" width="4.140625" style="1" bestFit="1" customWidth="1"/>
    <col min="30" max="31" width="7.140625" style="1" bestFit="1" customWidth="1"/>
    <col min="32" max="36" width="10.140625" style="1" bestFit="1" customWidth="1"/>
    <col min="37" max="38" width="4.140625" style="1" bestFit="1" customWidth="1"/>
    <col min="39" max="39" width="13.140625" style="1" bestFit="1" customWidth="1"/>
    <col min="40" max="40" width="10.140625" style="1" bestFit="1" customWidth="1"/>
    <col min="41" max="41" width="7.140625" style="1" bestFit="1" customWidth="1"/>
    <col min="42" max="42" width="32.5703125" style="1" customWidth="1"/>
    <col min="43" max="16384" width="9.140625" style="1"/>
  </cols>
  <sheetData>
    <row r="1" spans="1:40" ht="26.25" x14ac:dyDescent="0.4">
      <c r="A1" s="5" t="s">
        <v>0</v>
      </c>
      <c r="B1" s="5" t="s">
        <v>83</v>
      </c>
      <c r="C1" s="1" t="s">
        <v>125</v>
      </c>
    </row>
    <row r="2" spans="1:40" ht="26.25" x14ac:dyDescent="0.4">
      <c r="A2" s="5" t="s">
        <v>86</v>
      </c>
      <c r="B2" s="16"/>
      <c r="C2" s="1" t="s">
        <v>123</v>
      </c>
    </row>
    <row r="3" spans="1:40" x14ac:dyDescent="0.25">
      <c r="A3" s="45" t="s">
        <v>195</v>
      </c>
      <c r="B3" s="46"/>
      <c r="C3" s="46"/>
      <c r="E3" s="45" t="s">
        <v>193</v>
      </c>
      <c r="F3" s="46"/>
      <c r="G3" s="46"/>
      <c r="I3" s="45" t="s">
        <v>194</v>
      </c>
      <c r="J3" s="46"/>
      <c r="K3" s="46"/>
    </row>
    <row r="4" spans="1:40" x14ac:dyDescent="0.25">
      <c r="A4" s="1" t="s">
        <v>0</v>
      </c>
      <c r="B4" s="1" t="s">
        <v>87</v>
      </c>
      <c r="C4" s="1" t="s">
        <v>88</v>
      </c>
      <c r="E4" s="1" t="s">
        <v>0</v>
      </c>
      <c r="F4" t="s">
        <v>87</v>
      </c>
      <c r="G4" s="1" t="s">
        <v>88</v>
      </c>
      <c r="I4" s="39" t="s">
        <v>0</v>
      </c>
      <c r="J4" s="40" t="s">
        <v>87</v>
      </c>
      <c r="K4" s="41" t="s">
        <v>88</v>
      </c>
    </row>
    <row r="5" spans="1:40" x14ac:dyDescent="0.25">
      <c r="A5" s="1" t="s">
        <v>89</v>
      </c>
      <c r="B5" s="1">
        <v>0</v>
      </c>
      <c r="C5" s="1">
        <v>0</v>
      </c>
      <c r="E5" s="1" t="s">
        <v>193</v>
      </c>
      <c r="F5">
        <v>0</v>
      </c>
      <c r="G5" s="1">
        <v>0</v>
      </c>
      <c r="I5" s="37" t="str">
        <f>ДекабрьУслуги[[#This Row],[Услуги]]</f>
        <v>Соц-бытовые</v>
      </c>
      <c r="J5" s="36">
        <f>ДекабрьУслуги[[#This Row],[б/пл.]]</f>
        <v>0</v>
      </c>
      <c r="K5" s="38">
        <f>ДекабрьУслуги[[#This Row],[пл.]]</f>
        <v>0</v>
      </c>
    </row>
    <row r="6" spans="1:40" x14ac:dyDescent="0.25">
      <c r="A6" s="1" t="s">
        <v>90</v>
      </c>
      <c r="B6" s="1">
        <v>0</v>
      </c>
      <c r="C6" s="1">
        <v>0</v>
      </c>
      <c r="I6" s="37" t="str">
        <f>ДекабрьУслуги[[#This Row],[Услуги]]</f>
        <v>Соц-медицинские</v>
      </c>
      <c r="J6" s="36">
        <f>ДекабрьУслуги[[#This Row],[б/пл.]]-ДекабрьСиделка[б/пл.]</f>
        <v>0</v>
      </c>
      <c r="K6" s="38">
        <f>ДекабрьУслуги[[#This Row],[пл.]]-ДекабрьСиделка[пл.]</f>
        <v>0</v>
      </c>
    </row>
    <row r="7" spans="1:40" x14ac:dyDescent="0.25">
      <c r="A7" s="1" t="s">
        <v>91</v>
      </c>
      <c r="B7" s="1">
        <v>0</v>
      </c>
      <c r="C7" s="1">
        <v>0</v>
      </c>
      <c r="I7" s="37" t="str">
        <f>ДекабрьУслуги[[#This Row],[Услуги]]</f>
        <v>Соц-психологические</v>
      </c>
      <c r="J7" s="36">
        <f>ДекабрьУслуги[[#This Row],[б/пл.]]</f>
        <v>0</v>
      </c>
      <c r="K7" s="38">
        <f>ДекабрьУслуги[[#This Row],[пл.]]</f>
        <v>0</v>
      </c>
    </row>
    <row r="8" spans="1:40" x14ac:dyDescent="0.25">
      <c r="A8" s="1" t="s">
        <v>92</v>
      </c>
      <c r="B8" s="1">
        <v>0</v>
      </c>
      <c r="C8" s="1">
        <v>0</v>
      </c>
      <c r="I8" s="37" t="str">
        <f>ДекабрьУслуги[[#This Row],[Услуги]]</f>
        <v>Соц-педагогические</v>
      </c>
      <c r="J8" s="36">
        <f>ДекабрьУслуги[[#This Row],[б/пл.]]</f>
        <v>0</v>
      </c>
      <c r="K8" s="38">
        <f>ДекабрьУслуги[[#This Row],[пл.]]</f>
        <v>0</v>
      </c>
    </row>
    <row r="9" spans="1:40" x14ac:dyDescent="0.25">
      <c r="A9" s="1" t="s">
        <v>93</v>
      </c>
      <c r="B9" s="1">
        <v>0</v>
      </c>
      <c r="C9" s="1">
        <v>0</v>
      </c>
      <c r="I9" s="42" t="str">
        <f>ДекабрьУслуги[[#This Row],[Услуги]]</f>
        <v>Соц-правовые</v>
      </c>
      <c r="J9" s="36">
        <f>ДекабрьУслуги[[#This Row],[б/пл.]]</f>
        <v>0</v>
      </c>
      <c r="K9" s="38">
        <f>ДекабрьУслуги[[#This Row],[пл.]]</f>
        <v>0</v>
      </c>
    </row>
    <row r="11" spans="1:40" s="18" customFormat="1" ht="94.5" x14ac:dyDescent="0.25">
      <c r="A11" s="20" t="s">
        <v>94</v>
      </c>
      <c r="B11" s="20" t="s">
        <v>95</v>
      </c>
      <c r="C11" s="20" t="s">
        <v>68</v>
      </c>
      <c r="D11" s="19" t="s">
        <v>96</v>
      </c>
      <c r="E11" s="19" t="s">
        <v>97</v>
      </c>
      <c r="F11" s="19" t="s">
        <v>1</v>
      </c>
      <c r="G11" s="19" t="s">
        <v>2</v>
      </c>
      <c r="H11" s="19" t="s">
        <v>3</v>
      </c>
      <c r="I11" s="19" t="s">
        <v>4</v>
      </c>
      <c r="J11" s="19" t="s">
        <v>5</v>
      </c>
      <c r="K11" s="19" t="s">
        <v>6</v>
      </c>
      <c r="L11" s="19" t="s">
        <v>7</v>
      </c>
      <c r="M11" s="19" t="s">
        <v>8</v>
      </c>
      <c r="N11" s="19" t="s">
        <v>9</v>
      </c>
      <c r="O11" s="19" t="s">
        <v>10</v>
      </c>
      <c r="P11" s="19" t="s">
        <v>11</v>
      </c>
      <c r="Q11" s="19" t="s">
        <v>12</v>
      </c>
      <c r="R11" s="19" t="s">
        <v>13</v>
      </c>
      <c r="S11" s="19" t="s">
        <v>14</v>
      </c>
      <c r="T11" s="19" t="s">
        <v>15</v>
      </c>
      <c r="U11" s="19" t="s">
        <v>16</v>
      </c>
      <c r="V11" s="19" t="s">
        <v>17</v>
      </c>
      <c r="W11" s="19" t="s">
        <v>18</v>
      </c>
      <c r="X11" s="19" t="s">
        <v>19</v>
      </c>
      <c r="Y11" s="19" t="s">
        <v>20</v>
      </c>
      <c r="Z11" s="19" t="s">
        <v>21</v>
      </c>
      <c r="AA11" s="19" t="s">
        <v>22</v>
      </c>
      <c r="AB11" s="19" t="s">
        <v>23</v>
      </c>
      <c r="AC11" s="19" t="s">
        <v>24</v>
      </c>
      <c r="AD11" s="19" t="s">
        <v>25</v>
      </c>
      <c r="AE11" s="19" t="s">
        <v>26</v>
      </c>
      <c r="AF11" s="19" t="s">
        <v>27</v>
      </c>
      <c r="AG11" s="19" t="s">
        <v>28</v>
      </c>
      <c r="AH11" s="19" t="s">
        <v>29</v>
      </c>
      <c r="AI11" s="19" t="s">
        <v>30</v>
      </c>
      <c r="AJ11" s="19" t="s">
        <v>31</v>
      </c>
      <c r="AK11" s="19" t="s">
        <v>32</v>
      </c>
      <c r="AL11" s="19" t="s">
        <v>33</v>
      </c>
      <c r="AM11" s="19" t="s">
        <v>34</v>
      </c>
      <c r="AN11" s="19" t="s">
        <v>35</v>
      </c>
    </row>
    <row r="12" spans="1:40" s="22" customFormat="1" x14ac:dyDescent="0.25">
      <c r="A12" s="24" t="s">
        <v>108</v>
      </c>
      <c r="B12" s="24" t="s">
        <v>100</v>
      </c>
      <c r="C12" s="24" t="s">
        <v>69</v>
      </c>
      <c r="D12" s="21">
        <f ca="1">SUM(INDIRECT(ADDRESS(ROW(ДекабрьДанные[[#This Row],[Итого]]),COLUMN(ДекабрьДанные[[#This Row],[Итого]])+2)):INDIRECT(ADDRESS(ROW(ДекабрьДанные[[#This Row],[Итого]]),COUNTA(ДекабрьДанные[#Headers]))))</f>
        <v>0</v>
      </c>
      <c r="E12" s="30">
        <f ca="1">ДекабрьДанные[[#This Row],[Итого]]/COUNTIFS(ДекабрьДанные[Соц. Работник],ДекабрьДанные[[#This Row],[Соц. Работник]])</f>
        <v>0</v>
      </c>
      <c r="F12" s="26">
        <v>0</v>
      </c>
      <c r="G12" s="26">
        <v>0</v>
      </c>
      <c r="H12" s="26">
        <v>0</v>
      </c>
      <c r="I12" s="26">
        <v>0</v>
      </c>
      <c r="J12" s="26">
        <v>0</v>
      </c>
      <c r="K12" s="26">
        <v>0</v>
      </c>
      <c r="L12" s="26">
        <v>0</v>
      </c>
      <c r="M12" s="26">
        <v>0</v>
      </c>
      <c r="N12" s="26">
        <v>0</v>
      </c>
      <c r="O12" s="26">
        <v>0</v>
      </c>
      <c r="P12" s="26">
        <v>0</v>
      </c>
      <c r="Q12" s="26">
        <v>0</v>
      </c>
      <c r="R12" s="26">
        <v>0</v>
      </c>
      <c r="S12" s="26">
        <v>0</v>
      </c>
      <c r="T12" s="26">
        <v>0</v>
      </c>
      <c r="U12" s="26">
        <v>0</v>
      </c>
      <c r="V12" s="26">
        <v>0</v>
      </c>
      <c r="W12" s="26">
        <v>0</v>
      </c>
      <c r="X12" s="26">
        <v>0</v>
      </c>
      <c r="Y12" s="26">
        <v>0</v>
      </c>
      <c r="Z12" s="26">
        <v>0</v>
      </c>
      <c r="AA12" s="26">
        <v>0</v>
      </c>
      <c r="AB12" s="26">
        <v>0</v>
      </c>
      <c r="AC12" s="26">
        <v>0</v>
      </c>
      <c r="AD12" s="26">
        <v>0</v>
      </c>
      <c r="AE12" s="26">
        <v>0</v>
      </c>
      <c r="AF12" s="26">
        <v>0</v>
      </c>
      <c r="AG12" s="26">
        <v>0</v>
      </c>
      <c r="AH12" s="26">
        <v>0</v>
      </c>
      <c r="AI12" s="26">
        <v>0</v>
      </c>
      <c r="AJ12" s="26">
        <v>0</v>
      </c>
      <c r="AK12" s="26">
        <v>0</v>
      </c>
      <c r="AL12" s="26">
        <v>0</v>
      </c>
      <c r="AM12" s="26">
        <v>0</v>
      </c>
      <c r="AN12" s="26">
        <v>0</v>
      </c>
    </row>
  </sheetData>
  <mergeCells count="3">
    <mergeCell ref="E3:G3"/>
    <mergeCell ref="I3:K3"/>
    <mergeCell ref="A3:C3"/>
  </mergeCells>
  <conditionalFormatting sqref="B12">
    <cfRule type="duplicateValues" dxfId="39" priority="1"/>
  </conditionalFormatting>
  <dataValidations count="6">
    <dataValidation type="list" allowBlank="1" showInputMessage="1" showErrorMessage="1" sqref="F11:AN11">
      <formula1>Услуга</formula1>
    </dataValidation>
    <dataValidation type="list" allowBlank="1" showInputMessage="1" showErrorMessage="1" sqref="B1">
      <formula1>Месяц</formula1>
    </dataValidation>
    <dataValidation type="list" allowBlank="1" showInputMessage="1" showErrorMessage="1" sqref="A5:A9">
      <formula1>ТипУслуги</formula1>
    </dataValidation>
    <dataValidation type="list" allowBlank="1" showInputMessage="1" showErrorMessage="1" sqref="C2">
      <formula1>СчетУслуги</formula1>
    </dataValidation>
    <dataValidation type="list" allowBlank="1" showInputMessage="1" showErrorMessage="1" sqref="A12">
      <formula1>СоцРаботник</formula1>
    </dataValidation>
    <dataValidation type="list" allowBlank="1" showInputMessage="1" showErrorMessage="1" sqref="C12">
      <formula1>Учет</formula1>
    </dataValidation>
  </dataValidations>
  <pageMargins left="0.7" right="0.7" top="0.75" bottom="0.75" header="0.3" footer="0.3"/>
  <pageSetup paperSize="9" orientation="portrait" horizontalDpi="0" verticalDpi="0" r:id="rId1"/>
  <ignoredErrors>
    <ignoredError sqref="J6:K6" calculatedColumn="1"/>
  </ignoredErrors>
  <drawing r:id="rId2"/>
  <tableParts count="5">
    <tablePart r:id="rId3"/>
    <tablePart r:id="rId4"/>
    <tablePart r:id="rId5"/>
    <tablePart r:id="rId6"/>
    <tablePart r:id="rId7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8"/>
      </x14:slicerList>
    </ext>
  </extLst>
</worksheet>
</file>

<file path=customUI/_rels/customUI14.xml.rels><?xml version="1.0" encoding="UTF-8" standalone="yes"?>
<Relationships xmlns="http://schemas.openxmlformats.org/package/2006/relationships"><Relationship Id="btn-down" Type="http://schemas.openxmlformats.org/officeDocument/2006/relationships/image" Target="images/btn-down.png"/><Relationship Id="btn-month" Type="http://schemas.openxmlformats.org/officeDocument/2006/relationships/image" Target="images/btn-month.png"/><Relationship Id="btn-update" Type="http://schemas.openxmlformats.org/officeDocument/2006/relationships/image" Target="images/btn-update.png"/><Relationship Id="kvartal-four" Type="http://schemas.openxmlformats.org/officeDocument/2006/relationships/image" Target="images/kvartal-four.png"/><Relationship Id="btn-ok" Type="http://schemas.openxmlformats.org/officeDocument/2006/relationships/image" Target="images/btn-ok.png"/><Relationship Id="clear-errors" Type="http://schemas.openxmlformats.org/officeDocument/2006/relationships/image" Target="images/clear-errors.png"/><Relationship Id="kvartal-two" Type="http://schemas.openxmlformats.org/officeDocument/2006/relationships/image" Target="images/kvartal-two.png"/><Relationship Id="select-list" Type="http://schemas.openxmlformats.org/officeDocument/2006/relationships/image" Target="images/select-list.png"/><Relationship Id="services" Type="http://schemas.openxmlformats.org/officeDocument/2006/relationships/image" Target="images/services.png"/><Relationship Id="reset-columns" Type="http://schemas.openxmlformats.org/officeDocument/2006/relationships/image" Target="images/reset-columns.png"/><Relationship Id="update-columns" Type="http://schemas.openxmlformats.org/officeDocument/2006/relationships/image" Target="images/update-columns.png"/><Relationship Id="Color" Type="http://schemas.openxmlformats.org/officeDocument/2006/relationships/image" Target="images/Color.png"/><Relationship Id="NoColor" Type="http://schemas.openxmlformats.org/officeDocument/2006/relationships/image" Target="images/NoColor.png"/><Relationship Id="btn-list" Type="http://schemas.openxmlformats.org/officeDocument/2006/relationships/image" Target="images/btn-list.png"/><Relationship Id="clear-double" Type="http://schemas.openxmlformats.org/officeDocument/2006/relationships/image" Target="images/clear-double.png"/><Relationship Id="update-rows" Type="http://schemas.openxmlformats.org/officeDocument/2006/relationships/image" Target="images/update-rows.png"/><Relationship Id="accounting-btn" Type="http://schemas.openxmlformats.org/officeDocument/2006/relationships/image" Target="images/accounting-btn.png"/><Relationship Id="add-columns" Type="http://schemas.openxmlformats.org/officeDocument/2006/relationships/image" Target="images/add-columns.png"/><Relationship Id="btn-prev" Type="http://schemas.openxmlformats.org/officeDocument/2006/relationships/image" Target="images/btn-prev.png"/><Relationship Id="CreateName" Type="http://schemas.openxmlformats.org/officeDocument/2006/relationships/image" Target="images/CreateName.png"/><Relationship Id="Main" Type="http://schemas.openxmlformats.org/officeDocument/2006/relationships/image" Target="images/Main.png"/><Relationship Id="btn-resize" Type="http://schemas.openxmlformats.org/officeDocument/2006/relationships/image" Target="images/btn-resize.png"/><Relationship Id="reset-btn" Type="http://schemas.openxmlformats.org/officeDocument/2006/relationships/image" Target="images/reset-btn.png"/><Relationship Id="reset-rows" Type="http://schemas.openxmlformats.org/officeDocument/2006/relationships/image" Target="images/reset-rows.png"/><Relationship Id="worker" Type="http://schemas.openxmlformats.org/officeDocument/2006/relationships/image" Target="images/worker.png"/><Relationship Id="config-icon" Type="http://schemas.openxmlformats.org/officeDocument/2006/relationships/image" Target="images/config-icon.png"/><Relationship Id="btn-up" Type="http://schemas.openxmlformats.org/officeDocument/2006/relationships/image" Target="images/btn-up.png"/><Relationship Id="kvartal-menu" Type="http://schemas.openxmlformats.org/officeDocument/2006/relationships/image" Target="images/kvartal-menu.png"/><Relationship Id="kvartal-one" Type="http://schemas.openxmlformats.org/officeDocument/2006/relationships/image" Target="images/kvartal-one.png"/><Relationship Id="add-rows" Type="http://schemas.openxmlformats.org/officeDocument/2006/relationships/image" Target="images/add-rows.png"/><Relationship Id="btn-next" Type="http://schemas.openxmlformats.org/officeDocument/2006/relationships/image" Target="images/btn-next.png"/><Relationship Id="kvartal-three" Type="http://schemas.openxmlformats.org/officeDocument/2006/relationships/image" Target="images/kvartal-three.png"/></Relationships>
</file>

<file path=customUI/customUI14.xml><?xml version="1.0" encoding="utf-8"?>
<customUI xmlns="http://schemas.microsoft.com/office/2009/07/customui" onLoad="RibbonOnLoad">
  <ribbon startFromScratch="false">
    <tabs>
      <tab id="SocialServices" label="Управление услугами" getVisible="GetVisible" tag="XSocSer">
        <group id="TransitionsID" label="Перемещения по страницам" getVisible="GetterVisible" tag="GTran">
          <button id="MainID" label="Домой" image="Main" size="large" onAction="MainClick"/>
          <menu id="SelectListID" label="Выбрать страницу" image="select-list" size="large">
            <button id="onMainID" label="Домой" image="Main" onAction="MainClick"/>
            <button id="onJanID" label="Январь" image="btn-list" onAction="JanuaryClick"/>
            <button id="onFebID" label="Февраль" image="btn-list" onAction="FebruaryClick"/>
            <button id="onMarID" label="Март" image="btn-list" onAction="MarchClick"/>
            <button id="onAprID" label="Апрель" image="btn-list" onAction="AprilClick"/>
            <button id="onMayID" label="Май" image="btn-list" onAction="MayClick"/>
            <button id="onJuneID" label="Июнь" image="btn-list" onAction="JuneClick"/>
            <button id="onJulyID" label="Июль" image="btn-list" onAction="JulyClick"/>
            <button id="onAugID" label="Август" image="btn-list" onAction="AugustClick"/>
            <button id="onSeptID" label="Сентябрь" image="btn-list" onAction="SeptemberClick"/>
            <button id="onOctID" label="Октябрь" image="btn-list" onAction="OctoberClick"/>
            <button id="onNovID" label="Ноябрь" image="btn-list" onAction="NovemberClick"/>
            <button id="onDecID" label="Декабрь" image="btn-list" onAction="DecemberClick"/>
          </menu>
          <button id="PreviousID" label="Предыдущая" image="btn-prev" size="large" onAction="ClickPrevious"/>
          <button id="IDNext" label="Следующая" image="btn-next" size="large" onAction="NextClick"/>
        </group>
        <group id="SocialParametersID" label="Параметры" getVisible="GetterVisible" tag="GTranParameters">
          <menu id="GMenuParametersID" label="Настройки таблиц" image="config-icon" size="large">
            <button id="EditServices" label="Добавить услугу" image="services" onAction="EditServicesClick"/>
            <button id="EditWorker" label="Редактировать соц. работников" image="worker" onAction="EditWorkerClick"/>
            <button id="EditAccounting" label="Изменить постановку на учет" image="accounting-btn" onAction="EditAccountingClick"/>
            <button id="EditMonths" label="Изменить периоды" image="btn-month" onAction="EditMonthsClick"/>
          </menu>
        </group>
        <group id="Transitions" label="Перемещения по страницам" getVisible="GetterVisible" tag="XTran">
          <button id="Main" label="Домой" image="Main" size="large" onAction="MainClick"/>
          <menu id="SelectList" label="Выбрать страницу" image="select-list" size="large">
            <button id="onMain" label="Домой" image="Main" onAction="MainClick"/>
            <button id="onJan" label="Январь" image="btn-list" onAction="JanuaryClick"/>
            <button id="onFeb" label="Февраль" image="btn-list" onAction="FebruaryClick"/>
            <button id="onMar" label="Март" image="btn-list" onAction="MarchClick"/>
            <button id="onApr" label="Апрель" image="btn-list" onAction="AprilClick"/>
            <button id="onMay" label="Май" image="btn-list" onAction="MayClick"/>
            <button id="onJune" label="Июнь" image="btn-list" onAction="JuneClick"/>
            <button id="onJuly" label="Июль" image="btn-list" onAction="JulyClick"/>
            <button id="onAug" label="Август" image="btn-list" onAction="AugustClick"/>
            <button id="onSept" label="Сентябрь" image="btn-list" onAction="SeptemberClick"/>
            <button id="onOct" label="Октябрь" image="btn-list" onAction="OctoberClick"/>
            <button id="onNov" label="Ноябрь" image="btn-list" onAction="NovemberClick"/>
            <button id="onDec" label="Декабрь" image="btn-list" onAction="DecemberClick"/>
          </menu>
          <button id="BtnUpID" label="Вверх" image="btn-up" size="large" onAction="UpClick"/>
          <button id="BtnDownID" label="Вниз" image="btn-down" size="large" onAction="DownClick"/>
          <button id="IdPrevious" label="Предыдущая" image="btn-prev" size="large" onAction="ClickPrevious"/>
          <button id="NextID" label="Следующая" image="btn-next" size="large" onAction="NextClick"/>
        </group>
        <group id="XMoneyID" label="Деньги" getVisible="GetterVisible" tag="XMoney">
          <button id="XRubleID" label="Закрасить" image="Color" size="large" onAction="RubleClick"/>
          <button id="XNoRubleID" label="Обесцветить" image="NoColor" size="large" onAction="NoRubleClick"/>
        </group>
        <group id="SocialEdit" label="Редактирование" getVisible="GetterVisible" tag="XEdit">
          <menu id="XAddEditID" label="Добавить" imageMso="PictureBackgroundRemovalMarkForeground" size="large">
            <button id="AddRowsID" label="Добавить строку" image="add-rows" onAction="AddRowsClick"/>
            <button id="AddColumnID" label="Добавить столбец" image="add-columns" onAction="AddColumnClick"/>
            <button id="CreateNameID" label="Придумать имя" imageMso="PencilTool" onAction="CreateNameClick"/>
          </menu>
          <button id="XCalcUpdateID" label="Обновить вычисления" image="btn-update" size="large" onAction="CalcUpdateClick"/>
          <button id="XBtnFitSizesID" label="Подогнать размеры" image="btn-resize" size="large" onAction="BtnFitSizesClick"/>
          <menu id="XRemoveEditID" label="Удалить" imageMso="PictureBackgroundRemovalMarkBackground" size="large">
            <button id="DeleteDoubleID" label="Удалить дубликаты" image="clear-double" onAction="DeleteDoubleClick"/>
            <button id="DeleteErrorID" label="Удалить ошибки" image="clear-errors" onAction="RemoveErrorsClick"/>
          </menu>
          <menu id="XClearEditID" label="Очистить" imageMso="ClearAll" size="large">
            <button id="SelectRowsID" label="Очистить строку" image="reset-rows" onAction="SelectRowsClick"/>
            <button id="SelectColumnID" label="Очистить столбец" image="reset-columns" onAction="SelectColumnClick"/>
            <button id="AllZeroID" label="Очистить всё" image="reset-btn" onAction="ClearAllClick"/>
          </menu>
        </group>
        <group id="SocialParameters" label="Параметры" getVisible="GetterVisible" tag="XTranParameters">
          <menu id="MyXMenuParametersID" label="Настройки таблиц" image="config-icon" size="large">
            <button id="EditServicesID" label="Добавить услугу" image="services" onAction="EditServicesClick"/>
            <button id="EditWorkerID" label="Редактировать соц. работников" image="worker" onAction="EditWorkerClick"/>
            <button id="EditAccountingID" label="Изменить постановку на учет" image="accounting-btn" onAction="EditAccountingClick"/>
            <button id="EditMonthsID" label="Изменить периоды" image="btn-month" onAction="EditMonthsClick"/>
          </menu>
        </group>
        <group id="MyTransitions" label="Перемещения по страницам" getVisible="GetterVisible" tag="MyTran">
          <button id="IDMain" label="Домой" image="Main" size="large" onAction="MainClick"/>
          <menu id="IDSelectList" label="Выбрать страницу" image="select-list" size="large">
            <button id="inMain" label="Домой" image="Main" onAction="MainClick"/>
            <button id="inJan" label="Январь" image="btn-list" onAction="JanuaryClick"/>
            <button id="inFeb" label="Февраль" image="btn-list" onAction="FebruaryClick"/>
            <button id="inMar" label="Март" image="btn-list" onAction="MarchClick"/>
            <button id="inApr" label="Апрель" image="btn-list" onAction="AprilClick"/>
            <button id="inMay" label="Май" image="btn-list" onAction="MayClick"/>
            <button id="inJune" label="Июнь" image="btn-list" onAction="JuneClick"/>
            <button id="inJuly" label="Июль" image="btn-list" onAction="JulyClick"/>
            <button id="inAug" label="Август" image="btn-list" onAction="AugustClick"/>
            <button id="inSept" label="Сентябрь" image="btn-list" onAction="SeptemberClick"/>
            <button id="inOct" label="Октябрь" image="btn-list" onAction="OctoberClick"/>
            <button id="inNov" label="Ноябрь" image="btn-list" onAction="NovemberClick"/>
            <button id="inDec" label="Декабрь" image="btn-list" onAction="DecemberClick"/>
          </menu>
          <button id="MyBtnUpID" label="Вверх" image="btn-up" size="large" onAction="UpClick"/>
          <button id="MyBtnDownID" label="Вниз" image="btn-down" size="large" onAction="DownClick"/>
          <button id="MyIdPrevious" label="Предыдущая" image="btn-prev" size="large" onAction="ClickPrevious"/>
          <button id="MyNextID" label="Следующая" image="btn-next" size="large" onAction="NextClick"/>
        </group>
        <group id="MyMoneyID" label="Деньги" getVisible="GetterVisible" tag="MyMoney">
          <button id="MyRubleID" label="Закрасить" image="Color" size="large" onAction="RubleClick"/>
          <button id="MyNoRubleID" label="Обесцветить" image="NoColor" size="large" onAction="NoRubleClick"/>
        </group>
        <group id="MySocialEdit" label="Редактирование" getVisible="GetterVisible" tag="MyEdit">
          <menu id="MyAddEditID" label="Добавить" imageMso="PictureBackgroundRemovalMarkForeground" size="large">
            <button id="MyAddRowsID" label="Добавить строку" image="add-rows" onAction="AddRowsClick"/>
            <button id="MyAddColumnID" label="Добавить столбец" image="add-columns" onAction="AddColumnClick"/>
            <button id="MyCreateNameID" label="Придумать имя" imageMso="PencilTool" onAction="CreateNameClick"/>
          </menu>
          <button id="MyCalcUpdateID" label="Обновить вычисления" image="btn-update" size="large" onAction="CalcUpdateClick"/>
          <button id="MyBtnFitSizesID" label="Подогнать размеры" image="btn-resize" size="large" onAction="BtnFitSizesClick"/>
          <button id="MyResetRowsID" label="Перенести строки" image="update-rows" size="large" onAction="ResetRowsClick"/>
          <button id="MyResetColumnID" label="Перенести столбцы" image="update-columns" size="large" onAction="ResetColumnClick"/>
          <menu id="MyRemoveEditID" label="Удалить" imageMso="PictureBackgroundRemovalMarkBackground" size="large">
            <button id="MyDeleteDoubleID" label="Удалить дубликаты" image="clear-double" onAction="DeleteDoubleClick"/>
            <button id="MyDeleteErrorID" label="Удалить ошибки" image="clear-errors" onAction="RemoveErrorsClick"/>
          </menu>
          <menu id="MyClearEditID" label="Очистить" imageMso="ClearAll" size="large">
            <button id="MySelectRowsID" label="Очистить строку" image="reset-rows" onAction="SelectRowsClick"/>
            <button id="MySelectColumnID" label="Очистить столбец" image="reset-columns" onAction="SelectColumnClick"/>
            <button id="MyAllZeroID" label="Очистить всё" image="reset-btn" onAction="ClearAllClick"/>
          </menu>
        </group>
        <group id="MySocialParameters" label="Параметры" getVisible="GetterVisible" tag="MyParameters">
          <menu id="MyMenuParametersID" label="Настройки таблиц" image="config-icon" size="large">
            <button id="MyEditServicesID" label="Добавить услугу" image="services" onAction="EditServicesClick"/>
            <button id="MyEditWorkerID" label="Редактировать соц. работников" image="worker" onAction="EditWorkerClick"/>
            <button id="MyEditAccountingID" label="Изменить постановку на учет" image="accounting-btn" onAction="EditAccountingClick"/>
            <button id="MyEditMonthsID" label="Изменить периоды" image="btn-month" onAction="EditMonthsClick"/>
          </menu>
        </group>
      </tab>
      <tab id="SocialEditor" label="Изменения" getVisible="GetVisible" tag="MySocEd">
        <group id="Editing" label="Редактирование списка" getVisible="GetterVisible" tag="XEditing">
          <button id="FineID" label="Завершить редактирование" image="btn-ok" size="large" onAction="FineClick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B3D4271-D8CC-473F-889F-B6712B1F6C3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19</vt:i4>
      </vt:variant>
    </vt:vector>
  </HeadingPairs>
  <TitlesOfParts>
    <vt:vector size="19" baseType="lpstr">
      <vt:lpstr>СписокУслуг</vt:lpstr>
      <vt:lpstr>СоцРаботники</vt:lpstr>
      <vt:lpstr>СписокУчета</vt:lpstr>
      <vt:lpstr>Месяцы</vt:lpstr>
      <vt:lpstr>ЦветПлатной</vt:lpstr>
      <vt:lpstr>СчетУслуг</vt:lpstr>
      <vt:lpstr>Главная</vt:lpstr>
      <vt:lpstr>Январь</vt:lpstr>
      <vt:lpstr>Февраль</vt:lpstr>
      <vt:lpstr>Март</vt:lpstr>
      <vt:lpstr>Апрель</vt:lpstr>
      <vt:lpstr>Май</vt:lpstr>
      <vt:lpstr>Июнь</vt:lpstr>
      <vt:lpstr>Июль</vt:lpstr>
      <vt:lpstr>Август</vt:lpstr>
      <vt:lpstr>Сентябрь</vt:lpstr>
      <vt:lpstr>Октябрь</vt:lpstr>
      <vt:lpstr>Ноябрь</vt:lpstr>
      <vt:lpstr>Декабрь</vt:lpstr>
    </vt:vector>
  </TitlesOfParts>
  <Company>Grizli777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utv2</cp:lastModifiedBy>
  <cp:lastPrinted>2025-06-30T13:07:52Z</cp:lastPrinted>
  <dcterms:created xsi:type="dcterms:W3CDTF">2023-02-17T06:03:05Z</dcterms:created>
  <dcterms:modified xsi:type="dcterms:W3CDTF">2025-10-06T07:05:22Z</dcterms:modified>
</cp:coreProperties>
</file>