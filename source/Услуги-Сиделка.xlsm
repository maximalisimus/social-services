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3.xml" ContentType="application/vnd.ms-excel.slicer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slicers/slicer4.xml" ContentType="application/vnd.ms-excel.slicer+xml"/>
  <Override PartName="/xl/drawings/drawing5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slicers/slicer5.xml" ContentType="application/vnd.ms-excel.slicer+xml"/>
  <Override PartName="/xl/drawings/drawing6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slicers/slicer6.xml" ContentType="application/vnd.ms-excel.slicer+xml"/>
  <Override PartName="/xl/drawings/drawing7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slicers/slicer7.xml" ContentType="application/vnd.ms-excel.slicer+xml"/>
  <Override PartName="/xl/drawings/drawing8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slicers/slicer8.xml" ContentType="application/vnd.ms-excel.slicer+xml"/>
  <Override PartName="/xl/drawings/drawing9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slicers/slicer9.xml" ContentType="application/vnd.ms-excel.slicer+xml"/>
  <Override PartName="/xl/drawings/drawing10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slicers/slicer10.xml" ContentType="application/vnd.ms-excel.slicer+xml"/>
  <Override PartName="/xl/drawings/drawing11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slicers/slicer11.xml" ContentType="application/vnd.ms-excel.slicer+xml"/>
  <Override PartName="/xl/drawings/drawing12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slicers/slicer1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2026\"/>
    </mc:Choice>
  </mc:AlternateContent>
  <bookViews>
    <workbookView xWindow="0" yWindow="0" windowWidth="20400" windowHeight="7155" tabRatio="601" firstSheet="6" activeTab="6"/>
  </bookViews>
  <sheets>
    <sheet name="СписокУслуг" sheetId="1" state="hidden" r:id="rId1"/>
    <sheet name="СоцРаботники" sheetId="2" state="hidden" r:id="rId2"/>
    <sheet name="СписокУчета" sheetId="3" state="hidden" r:id="rId3"/>
    <sheet name="Месяцы" sheetId="4" state="hidden" r:id="rId4"/>
    <sheet name="ЦветПлатной" sheetId="20" state="hidden" r:id="rId5"/>
    <sheet name="СчетУслуг" sheetId="23" state="hidden" r:id="rId6"/>
    <sheet name="Главная" sheetId="5" r:id="rId7"/>
    <sheet name="Январь" sheetId="6" r:id="rId8"/>
    <sheet name="Февраль" sheetId="8" r:id="rId9"/>
    <sheet name="Март" sheetId="22" r:id="rId10"/>
    <sheet name="Апрель" sheetId="24" r:id="rId11"/>
    <sheet name="Май" sheetId="26" r:id="rId12"/>
    <sheet name="Июнь" sheetId="27" r:id="rId13"/>
    <sheet name="Июль" sheetId="14" r:id="rId14"/>
    <sheet name="Август" sheetId="28" r:id="rId15"/>
    <sheet name="Сентябрь" sheetId="16" r:id="rId16"/>
    <sheet name="Октябрь" sheetId="17" r:id="rId17"/>
    <sheet name="Ноябрь" sheetId="18" r:id="rId18"/>
    <sheet name="Декабрь" sheetId="19" r:id="rId19"/>
  </sheets>
  <functionGroups builtInGroupCount="18"/>
  <definedNames>
    <definedName name="Месяц">OFFSET(Месяцы!$A$2,0,0,COUNTIF(Месяцы!$A:$A,"*")-1,1)</definedName>
    <definedName name="СоцРаботник">OFFSET(СоцРаботники!$A$2,0,0,COUNTIF(СоцРаботники!$A:$A,"*")-1,1)</definedName>
    <definedName name="Срез_Признак_учета">#N/A</definedName>
    <definedName name="Срез_Признак_учета1">#N/A</definedName>
    <definedName name="Срез_Признак_учета11">#N/A</definedName>
    <definedName name="Срез_Признак_учета111">#N/A</definedName>
    <definedName name="Срез_Признак_учета1111">#N/A</definedName>
    <definedName name="Срез_Признак_учета11111">#N/A</definedName>
    <definedName name="Срез_Признак_учета1114">#N/A</definedName>
    <definedName name="Срез_Признак_учета11141">#N/A</definedName>
    <definedName name="Срез_Признак_учета1116">#N/A</definedName>
    <definedName name="Срез_Признак_учета1117">#N/A</definedName>
    <definedName name="Срез_Признак_учета1118">#N/A</definedName>
    <definedName name="Срез_Признак_учета1119">#N/A</definedName>
    <definedName name="Срез_Соц._Работник">#N/A</definedName>
    <definedName name="Срез_Соц._Работник1">#N/A</definedName>
    <definedName name="Срез_Соц._Работник11">#N/A</definedName>
    <definedName name="Срез_Соц._Работник111">#N/A</definedName>
    <definedName name="Срез_Соц._Работник1111">#N/A</definedName>
    <definedName name="Срез_Соц._Работник11111">#N/A</definedName>
    <definedName name="Срез_Соц._Работник1114">#N/A</definedName>
    <definedName name="Срез_Соц._Работник11141">#N/A</definedName>
    <definedName name="Срез_Соц._Работник1116">#N/A</definedName>
    <definedName name="Срез_Соц._Работник1117">#N/A</definedName>
    <definedName name="Срез_Соц._Работник1118">#N/A</definedName>
    <definedName name="Срез_Соц._Работник1119">#N/A</definedName>
    <definedName name="СчетУслуги">OFFSET(СчетУслуг!$A$2,0,0,COUNTIF(СчетУслуг!$A:$A,"*")-1,1)</definedName>
    <definedName name="ТипУслуги">OFFSET(СписокУслуг!$F$2,0,0,COUNTIF(СписокУслуг!$F:$F,"*")-1,1)</definedName>
    <definedName name="Услуга">OFFSET(СписокУслуг!$A$2,0,0,COUNTIF(СписокУслуг!$A:$A,"*")-1,1)</definedName>
    <definedName name="Учет">OFFSET(СписокУчета!$A$2,0,0,COUNTIF(СписокУчета!$A:$A,"*")-1,1)</definedName>
  </definedNames>
  <calcPr calcId="152511"/>
  <extLst>
    <ext xmlns:x14="http://schemas.microsoft.com/office/spreadsheetml/2009/9/main" uri="{8193D73E-4604-4355-AFF4-8A2333D13BE4}">
      <x14:definedNames>
        <x14:definedName name="SummSocialType">
          <x14:argumentDescriptions count="5">
            <x14:argumentDescription index="0">- диапазон суммирования</x14:argumentDescription>
            <x14:argumentDescription index="1">- динамический или именованный диапазон категорий</x14:argumentDescription>
            <x14:argumentDescription index="2">- текущий тип</x14:argumentDescription>
            <x14:argumentDescription index="3">- цвет выборки платной слуги</x14:argumentDescription>
            <x14:argumentDescription index="4">- 1 платно и 0 бесплатно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4" l="1"/>
  <c r="D12" i="16"/>
  <c r="D12" i="17"/>
  <c r="D12" i="18"/>
  <c r="D12" i="6"/>
  <c r="D12" i="28"/>
  <c r="D12" i="24"/>
  <c r="D12" i="22"/>
  <c r="D12" i="19"/>
  <c r="D12" i="8"/>
  <c r="D12" i="26"/>
  <c r="D12" i="27"/>
  <c r="E12" i="27" l="1"/>
  <c r="E12" i="26"/>
  <c r="E12" i="8"/>
  <c r="E12" i="19"/>
  <c r="E12" i="22"/>
  <c r="E12" i="24"/>
  <c r="E12" i="28"/>
  <c r="E12" i="16"/>
  <c r="E12" i="6"/>
  <c r="E12" i="18"/>
  <c r="E12" i="17"/>
  <c r="E12" i="14"/>
</calcChain>
</file>

<file path=xl/sharedStrings.xml><?xml version="1.0" encoding="utf-8"?>
<sst xmlns="http://schemas.openxmlformats.org/spreadsheetml/2006/main" count="799" uniqueCount="78">
  <si>
    <t>Услуги</t>
  </si>
  <si>
    <t>покупка продуктов</t>
  </si>
  <si>
    <t>помощь в приготовлении пищи</t>
  </si>
  <si>
    <t>кормление</t>
  </si>
  <si>
    <t>оплата коммунальныхи услуг и связи</t>
  </si>
  <si>
    <t>вынос мусора</t>
  </si>
  <si>
    <t>смена штор</t>
  </si>
  <si>
    <t>уборка б/у</t>
  </si>
  <si>
    <t>уборка с/у</t>
  </si>
  <si>
    <t>помывка в ванной</t>
  </si>
  <si>
    <t>смена постельного белья</t>
  </si>
  <si>
    <t>смена нательного белья</t>
  </si>
  <si>
    <t>обработка ногтей</t>
  </si>
  <si>
    <t>оказание помощи при стирке вещей</t>
  </si>
  <si>
    <t>стирка вещей</t>
  </si>
  <si>
    <t>доставка воды</t>
  </si>
  <si>
    <t>покупка топлива, топка печей</t>
  </si>
  <si>
    <t>сод-е в получении услуг в пр.торговли, КБО</t>
  </si>
  <si>
    <t>сод-е в организации ритуальных услуг</t>
  </si>
  <si>
    <t>присмотр за детьми</t>
  </si>
  <si>
    <t>письма</t>
  </si>
  <si>
    <t>снег</t>
  </si>
  <si>
    <t>вып. процедур, связанных с сохранением здоровья</t>
  </si>
  <si>
    <t>покупка лекарств, выписка рецептов</t>
  </si>
  <si>
    <t>сиделка</t>
  </si>
  <si>
    <t>сод-е в госпитализации</t>
  </si>
  <si>
    <t>сод-е сан-кур. лечение</t>
  </si>
  <si>
    <t>содействие в получ. тех. средств</t>
  </si>
  <si>
    <t>сод-е в провед. мед. обслед. (запись)</t>
  </si>
  <si>
    <t>консультирование по соц-мед.вопросам</t>
  </si>
  <si>
    <t>сод-е в прохождении МСЭ</t>
  </si>
  <si>
    <t>вызов врача на дом по телефону</t>
  </si>
  <si>
    <t>беседа</t>
  </si>
  <si>
    <t>соц-пед.услуги</t>
  </si>
  <si>
    <t>оказание помощи в оформлении документов</t>
  </si>
  <si>
    <t>помощь в получении юр.услуг</t>
  </si>
  <si>
    <t>Соц. Работники</t>
  </si>
  <si>
    <t>Признак учета</t>
  </si>
  <si>
    <t>На учете</t>
  </si>
  <si>
    <t>Снят с учета</t>
  </si>
  <si>
    <t>Месяцы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</si>
  <si>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</si>
  <si>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</si>
  <si>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</si>
  <si>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</si>
  <si>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</si>
  <si>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</si>
  <si>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</si>
  <si>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</si>
  <si>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</si>
  <si>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</si>
  <si>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</si>
  <si>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</si>
  <si>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Управление</t>
  </si>
  <si>
    <t>Переходы по страницам (все названия кликабельны).</t>
  </si>
  <si>
    <t>Данные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</si>
  <si>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</si>
  <si>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</si>
  <si>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</si>
  <si>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</si>
  <si>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</si>
  <si>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</si>
  <si>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</si>
  <si>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Соц. Работник</t>
  </si>
  <si>
    <t>Получатели ФИО</t>
  </si>
  <si>
    <t>Итого</t>
  </si>
  <si>
    <t>Среднее кол-во услуг на 1 получ. Усл.</t>
  </si>
  <si>
    <t>Тип услуги</t>
  </si>
  <si>
    <t>Категории услуг</t>
  </si>
  <si>
    <t>Выбор цвета для платной услуги</t>
  </si>
  <si>
    <t>Выбор цвета</t>
  </si>
  <si>
    <t>Платно</t>
  </si>
  <si>
    <t>Бесплатно</t>
  </si>
  <si>
    <t>Тип счета</t>
  </si>
  <si>
    <t>Тип Счета</t>
  </si>
  <si>
    <t>Сиделка</t>
  </si>
  <si>
    <t>Получатель ФИО</t>
  </si>
  <si>
    <t>Фамилия И.О.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</si>
</sst>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;[Red]0.000"/>
    <numFmt numFmtId="165" formatCode="0;[Red]0"/>
  </numFmts>
  <fonts count="11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20"/>
      <color rgb="FFFF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4"/>
      <color theme="10"/>
      <name val="Times New Roman"/>
      <family val="1"/>
      <charset val="204"/>
    </font>
    <font>
      <b/>
      <sz val="14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vertical="center" wrapText="1" shrinkToFit="1"/>
    </xf>
    <xf numFmtId="0" fontId="6" fillId="0" borderId="0" xfId="0" applyFont="1"/>
    <xf numFmtId="0" fontId="9" fillId="2" borderId="4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9" fillId="2" borderId="10" xfId="1" applyFont="1" applyFill="1" applyBorder="1" applyAlignment="1">
      <alignment horizontal="center" vertical="center"/>
    </xf>
    <xf numFmtId="0" fontId="9" fillId="3" borderId="2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  <xf numFmtId="0" fontId="9" fillId="5" borderId="8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/>
    </xf>
    <xf numFmtId="0" fontId="10" fillId="0" borderId="0" xfId="0" applyFont="1"/>
    <xf numFmtId="0" fontId="2" fillId="0" borderId="11" xfId="0" applyFont="1" applyBorder="1"/>
    <xf numFmtId="0" fontId="1" fillId="0" borderId="0" xfId="0" applyFont="1" applyAlignment="1">
      <alignment horizontal="center" wrapText="1" shrinkToFit="1"/>
    </xf>
    <xf numFmtId="0" fontId="1" fillId="0" borderId="0" xfId="0" applyFont="1" applyAlignment="1">
      <alignment horizontal="center" textRotation="90" wrapText="1" shrinkToFit="1"/>
    </xf>
    <xf numFmtId="0" fontId="1" fillId="0" borderId="0" xfId="0" applyFont="1" applyAlignment="1">
      <alignment horizontal="left" wrapText="1" shrinkToFit="1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Fill="1"/>
    <xf numFmtId="0" fontId="1" fillId="7" borderId="0" xfId="0" applyFont="1" applyFill="1"/>
    <xf numFmtId="0" fontId="1" fillId="0" borderId="0" xfId="0" applyFont="1" applyFill="1"/>
    <xf numFmtId="0" fontId="4" fillId="0" borderId="0" xfId="0" applyFont="1" applyAlignment="1">
      <alignment horizontal="centerContinuous" wrapText="1" shrinkToFit="1"/>
    </xf>
    <xf numFmtId="164" fontId="7" fillId="6" borderId="0" xfId="0" applyNumberFormat="1" applyFont="1" applyFill="1" applyAlignment="1">
      <alignment horizontal="center"/>
    </xf>
    <xf numFmtId="0" fontId="10" fillId="0" borderId="0" xfId="0" applyFont="1" applyBorder="1"/>
    <xf numFmtId="0" fontId="1" fillId="0" borderId="0" xfId="0" applyFont="1" applyBorder="1"/>
    <xf numFmtId="0" fontId="2" fillId="0" borderId="0" xfId="0" applyFont="1"/>
    <xf numFmtId="165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99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5" formatCode="0;[Red]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4" formatCode="0.000;[Red]0.000"/>
    </dxf>
    <dxf>
      <numFmt numFmtId="16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5" formatCode="0;[Red]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4"/>
        <color theme="10"/>
        <name val="Times New Roman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solid">
          <fgColor theme="4" tint="0.79995117038483843"/>
          <bgColor theme="9" tint="0.59996337778862885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1"/>
      </font>
      <fill>
        <patternFill>
          <bgColor theme="5" tint="0.79998168889431442"/>
        </patternFill>
      </fill>
      <border>
        <bottom style="medium">
          <color theme="4"/>
        </bottom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TableStyleMedium2" defaultPivotStyle="PivotStyleLight16">
    <tableStyle name="Social" pivot="0" count="7">
      <tableStyleElement type="wholeTable" dxfId="990"/>
      <tableStyleElement type="headerRow" dxfId="989"/>
      <tableStyleElement type="totalRow" dxfId="988"/>
      <tableStyleElement type="firstColumn" dxfId="987"/>
      <tableStyleElement type="lastColumn" dxfId="986"/>
      <tableStyleElement type="firstRowStripe" dxfId="985"/>
      <tableStyleElement type="firstColumnStripe" dxfId="9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2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openxmlformats.org/officeDocument/2006/relationships/sharedStrings" Target="sharedStrings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6840763" y="365393"/>
    <xdr:ext cx="2256102" cy="175807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40763" y="365393"/>
              <a:ext cx="2256102" cy="1758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absoluteAnchor>
  <xdr:absoluteAnchor>
    <xdr:pos x="9480724" y="352353"/>
    <xdr:ext cx="1782890" cy="175807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80724" y="352353"/>
              <a:ext cx="1782890" cy="1758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74659</xdr:colOff>
      <xdr:row>0</xdr:row>
      <xdr:rowOff>335227</xdr:rowOff>
    </xdr:from>
    <xdr:to>
      <xdr:col>14</xdr:col>
      <xdr:colOff>150218</xdr:colOff>
      <xdr:row>9</xdr:row>
      <xdr:rowOff>13228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6873" y="335227"/>
              <a:ext cx="2279916" cy="17871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199028</xdr:colOff>
      <xdr:row>1</xdr:row>
      <xdr:rowOff>17728</xdr:rowOff>
    </xdr:from>
    <xdr:to>
      <xdr:col>21</xdr:col>
      <xdr:colOff>409059</xdr:colOff>
      <xdr:row>9</xdr:row>
      <xdr:rowOff>34396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17099" y="357907"/>
              <a:ext cx="1842889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76599</xdr:colOff>
      <xdr:row>1</xdr:row>
      <xdr:rowOff>4005</xdr:rowOff>
    </xdr:from>
    <xdr:to>
      <xdr:col>13</xdr:col>
      <xdr:colOff>233107</xdr:colOff>
      <xdr:row>9</xdr:row>
      <xdr:rowOff>22184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22920" y="344184"/>
              <a:ext cx="2265616" cy="17871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14</xdr:col>
      <xdr:colOff>439600</xdr:colOff>
      <xdr:row>1</xdr:row>
      <xdr:rowOff>7144</xdr:rowOff>
    </xdr:from>
    <xdr:to>
      <xdr:col>19</xdr:col>
      <xdr:colOff>180120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80779" y="347323"/>
              <a:ext cx="1781591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84685</xdr:colOff>
      <xdr:row>1</xdr:row>
      <xdr:rowOff>11496</xdr:rowOff>
    </xdr:from>
    <xdr:to>
      <xdr:col>14</xdr:col>
      <xdr:colOff>155</xdr:colOff>
      <xdr:row>9</xdr:row>
      <xdr:rowOff>20520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1006" y="351675"/>
              <a:ext cx="2310328" cy="17779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14</xdr:col>
      <xdr:colOff>469961</xdr:colOff>
      <xdr:row>1</xdr:row>
      <xdr:rowOff>570</xdr:rowOff>
    </xdr:from>
    <xdr:to>
      <xdr:col>19</xdr:col>
      <xdr:colOff>226037</xdr:colOff>
      <xdr:row>9</xdr:row>
      <xdr:rowOff>24882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11140" y="340749"/>
              <a:ext cx="1797147" cy="1793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274513</xdr:colOff>
      <xdr:row>0</xdr:row>
      <xdr:rowOff>306785</xdr:rowOff>
    </xdr:from>
    <xdr:to>
      <xdr:col>17</xdr:col>
      <xdr:colOff>124298</xdr:colOff>
      <xdr:row>8</xdr:row>
      <xdr:rowOff>187381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48606" y="306785"/>
              <a:ext cx="2218992" cy="17199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414625</xdr:colOff>
      <xdr:row>1</xdr:row>
      <xdr:rowOff>39988</xdr:rowOff>
    </xdr:from>
    <xdr:to>
      <xdr:col>21</xdr:col>
      <xdr:colOff>634371</xdr:colOff>
      <xdr:row>9</xdr:row>
      <xdr:rowOff>56656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5109" y="368436"/>
              <a:ext cx="1758448" cy="1724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333244</xdr:colOff>
      <xdr:row>1</xdr:row>
      <xdr:rowOff>4003</xdr:rowOff>
    </xdr:from>
    <xdr:to>
      <xdr:col>15</xdr:col>
      <xdr:colOff>233863</xdr:colOff>
      <xdr:row>9</xdr:row>
      <xdr:rowOff>20671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5315" y="344182"/>
              <a:ext cx="2104977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338075</xdr:colOff>
      <xdr:row>1</xdr:row>
      <xdr:rowOff>7145</xdr:rowOff>
    </xdr:from>
    <xdr:to>
      <xdr:col>22</xdr:col>
      <xdr:colOff>80333</xdr:colOff>
      <xdr:row>9</xdr:row>
      <xdr:rowOff>23813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6004" y="347324"/>
              <a:ext cx="1783329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142478</xdr:colOff>
      <xdr:row>1</xdr:row>
      <xdr:rowOff>7144</xdr:rowOff>
    </xdr:from>
    <xdr:to>
      <xdr:col>14</xdr:col>
      <xdr:colOff>40899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8799" y="347323"/>
              <a:ext cx="2293279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354957</xdr:colOff>
      <xdr:row>1</xdr:row>
      <xdr:rowOff>19051</xdr:rowOff>
    </xdr:from>
    <xdr:to>
      <xdr:col>20</xdr:col>
      <xdr:colOff>288077</xdr:colOff>
      <xdr:row>9</xdr:row>
      <xdr:rowOff>35719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85993" y="359230"/>
              <a:ext cx="1770084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132286</xdr:colOff>
      <xdr:row>1</xdr:row>
      <xdr:rowOff>12775</xdr:rowOff>
    </xdr:from>
    <xdr:to>
      <xdr:col>14</xdr:col>
      <xdr:colOff>127546</xdr:colOff>
      <xdr:row>9</xdr:row>
      <xdr:rowOff>29443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78607" y="352954"/>
              <a:ext cx="2199618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306980</xdr:colOff>
      <xdr:row>1</xdr:row>
      <xdr:rowOff>3742</xdr:rowOff>
    </xdr:from>
    <xdr:to>
      <xdr:col>22</xdr:col>
      <xdr:colOff>52811</xdr:colOff>
      <xdr:row>9</xdr:row>
      <xdr:rowOff>20410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14909" y="343921"/>
              <a:ext cx="1786902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22835</xdr:colOff>
      <xdr:row>0</xdr:row>
      <xdr:rowOff>333715</xdr:rowOff>
    </xdr:from>
    <xdr:to>
      <xdr:col>14</xdr:col>
      <xdr:colOff>180615</xdr:colOff>
      <xdr:row>9</xdr:row>
      <xdr:rowOff>10204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54906" y="333715"/>
              <a:ext cx="2266888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26773</xdr:colOff>
      <xdr:row>1</xdr:row>
      <xdr:rowOff>20752</xdr:rowOff>
    </xdr:from>
    <xdr:to>
      <xdr:col>21</xdr:col>
      <xdr:colOff>43656</xdr:colOff>
      <xdr:row>9</xdr:row>
      <xdr:rowOff>37420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7666" y="360931"/>
              <a:ext cx="1853847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174272</xdr:colOff>
      <xdr:row>0</xdr:row>
      <xdr:rowOff>327196</xdr:rowOff>
    </xdr:from>
    <xdr:to>
      <xdr:col>14</xdr:col>
      <xdr:colOff>299400</xdr:colOff>
      <xdr:row>9</xdr:row>
      <xdr:rowOff>850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6343" y="327196"/>
              <a:ext cx="2234236" cy="17827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5568</xdr:colOff>
      <xdr:row>1</xdr:row>
      <xdr:rowOff>2608</xdr:rowOff>
    </xdr:from>
    <xdr:to>
      <xdr:col>21</xdr:col>
      <xdr:colOff>264514</xdr:colOff>
      <xdr:row>9</xdr:row>
      <xdr:rowOff>19276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12211" y="342787"/>
              <a:ext cx="1810160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2131</xdr:colOff>
      <xdr:row>1</xdr:row>
      <xdr:rowOff>13608</xdr:rowOff>
    </xdr:from>
    <xdr:to>
      <xdr:col>14</xdr:col>
      <xdr:colOff>160880</xdr:colOff>
      <xdr:row>9</xdr:row>
      <xdr:rowOff>27931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4202" y="353787"/>
              <a:ext cx="2267857" cy="17832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21658</xdr:colOff>
      <xdr:row>1</xdr:row>
      <xdr:rowOff>7144</xdr:rowOff>
    </xdr:from>
    <xdr:to>
      <xdr:col>20</xdr:col>
      <xdr:colOff>429759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2551" y="347323"/>
              <a:ext cx="1755208" cy="17855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207794</xdr:colOff>
      <xdr:row>1</xdr:row>
      <xdr:rowOff>7145</xdr:rowOff>
    </xdr:from>
    <xdr:to>
      <xdr:col>13</xdr:col>
      <xdr:colOff>67291</xdr:colOff>
      <xdr:row>9</xdr:row>
      <xdr:rowOff>23813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0218" y="340520"/>
              <a:ext cx="2189721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385324</xdr:colOff>
      <xdr:row>0</xdr:row>
      <xdr:rowOff>328612</xdr:rowOff>
    </xdr:from>
    <xdr:to>
      <xdr:col>19</xdr:col>
      <xdr:colOff>5198</xdr:colOff>
      <xdr:row>9</xdr:row>
      <xdr:rowOff>11905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09681" y="328612"/>
              <a:ext cx="175449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" sourceName="Признак учета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" sourceName="Соц. Работник">
  <extLst>
    <x:ext xmlns:x15="http://schemas.microsoft.com/office/spreadsheetml/2010/11/main" uri="{2F2917AC-EB37-4324-AD4E-5DD8C200BD13}">
      <x15:tableSlicerCache tableId="16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" sourceName="Признак учета">
  <extLst>
    <x:ext xmlns:x15="http://schemas.microsoft.com/office/spreadsheetml/2010/11/main" uri="{2F2917AC-EB37-4324-AD4E-5DD8C200BD13}">
      <x15:tableSlicerCache tableId="16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6" sourceName="Соц. Работник">
  <extLst>
    <x:ext xmlns:x15="http://schemas.microsoft.com/office/spreadsheetml/2010/11/main" uri="{2F2917AC-EB37-4324-AD4E-5DD8C200BD13}">
      <x15:tableSlicerCache tableId="20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6" sourceName="Признак учета">
  <extLst>
    <x:ext xmlns:x15="http://schemas.microsoft.com/office/spreadsheetml/2010/11/main" uri="{2F2917AC-EB37-4324-AD4E-5DD8C200BD13}">
      <x15:tableSlicerCache tableId="20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7" sourceName="Соц. Работник">
  <extLst>
    <x:ext xmlns:x15="http://schemas.microsoft.com/office/spreadsheetml/2010/11/main" uri="{2F2917AC-EB37-4324-AD4E-5DD8C200BD13}">
      <x15:tableSlicerCache tableId="22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7" sourceName="Признак учета">
  <extLst>
    <x:ext xmlns:x15="http://schemas.microsoft.com/office/spreadsheetml/2010/11/main" uri="{2F2917AC-EB37-4324-AD4E-5DD8C200BD13}">
      <x15:tableSlicerCache tableId="22" column="3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8" sourceName="Соц. Работник">
  <extLst>
    <x:ext xmlns:x15="http://schemas.microsoft.com/office/spreadsheetml/2010/11/main" uri="{2F2917AC-EB37-4324-AD4E-5DD8C200BD13}">
      <x15:tableSlicerCache tableId="24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8" sourceName="Признак учета">
  <extLst>
    <x:ext xmlns:x15="http://schemas.microsoft.com/office/spreadsheetml/2010/11/main" uri="{2F2917AC-EB37-4324-AD4E-5DD8C200BD13}">
      <x15:tableSlicerCache tableId="24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9" sourceName="Соц. Работник">
  <extLst>
    <x:ext xmlns:x15="http://schemas.microsoft.com/office/spreadsheetml/2010/11/main" uri="{2F2917AC-EB37-4324-AD4E-5DD8C200BD13}">
      <x15:tableSlicerCache tableId="26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9" sourceName="Признак учета">
  <extLst>
    <x:ext xmlns:x15="http://schemas.microsoft.com/office/spreadsheetml/2010/11/main" uri="{2F2917AC-EB37-4324-AD4E-5DD8C200BD13}">
      <x15:tableSlicerCache tableId="26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" sourceName="Соц. Работник">
  <extLst>
    <x:ext xmlns:x15="http://schemas.microsoft.com/office/spreadsheetml/2010/11/main" uri="{2F2917AC-EB37-4324-AD4E-5DD8C200BD13}">
      <x15:tableSlicerCache tableId="6" column="1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" sourceName="Признак учета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" sourceName="Соц. Работник">
  <extLst>
    <x:ext xmlns:x15="http://schemas.microsoft.com/office/spreadsheetml/2010/11/main" uri="{2F2917AC-EB37-4324-AD4E-5DD8C200BD13}">
      <x15:tableSlicerCache tableId="40" column="1"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" sourceName="Признак учета">
  <extLst>
    <x:ext xmlns:x15="http://schemas.microsoft.com/office/spreadsheetml/2010/11/main" uri="{2F2917AC-EB37-4324-AD4E-5DD8C200BD13}">
      <x15:tableSlicerCache tableId="40" column="3"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" sourceName="Соц. Работник">
  <extLst>
    <x:ext xmlns:x15="http://schemas.microsoft.com/office/spreadsheetml/2010/11/main" uri="{2F2917AC-EB37-4324-AD4E-5DD8C200BD13}">
      <x15:tableSlicerCache tableId="43" column="1"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" sourceName="Признак учета">
  <extLst>
    <x:ext xmlns:x15="http://schemas.microsoft.com/office/spreadsheetml/2010/11/main" uri="{2F2917AC-EB37-4324-AD4E-5DD8C200BD13}">
      <x15:tableSlicerCache tableId="43" column="3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1" sourceName="Соц. Работник">
  <extLst>
    <x:ext xmlns:x15="http://schemas.microsoft.com/office/spreadsheetml/2010/11/main" uri="{2F2917AC-EB37-4324-AD4E-5DD8C200BD13}">
      <x15:tableSlicerCache tableId="46" column="1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1" sourceName="Признак учета">
  <extLst>
    <x:ext xmlns:x15="http://schemas.microsoft.com/office/spreadsheetml/2010/11/main" uri="{2F2917AC-EB37-4324-AD4E-5DD8C200BD13}">
      <x15:tableSlicerCache tableId="46" column="3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1" sourceName="Соц. Работник">
  <extLst>
    <x:ext xmlns:x15="http://schemas.microsoft.com/office/spreadsheetml/2010/11/main" uri="{2F2917AC-EB37-4324-AD4E-5DD8C200BD13}">
      <x15:tableSlicerCache tableId="10" column="1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1" sourceName="Признак учета">
  <extLst>
    <x:ext xmlns:x15="http://schemas.microsoft.com/office/spreadsheetml/2010/11/main" uri="{2F2917AC-EB37-4324-AD4E-5DD8C200BD13}">
      <x15:tableSlicerCache tableId="10" column="3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Признак учета" cache="Срез_Признак_учета" caption="Признак учета" rowHeight="241300"/>
  <slicer name="Соц. Работник" cache="Срез_Соц._Работник" caption="Соц. Работник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  <slicer name="Признак учета 1" cache="Срез_Признак_учета1" caption="Признак учета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2" cache="Срез_Соц._Работник11" caption="Соц. Работник" rowHeight="241300"/>
  <slicer name="Признак учета 2" cache="Срез_Признак_учета11" caption="Признак учета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3" cache="Срез_Соц._Работник111" caption="Соц. Работник" rowHeight="241300"/>
  <slicer name="Признак учета 3" cache="Срез_Признак_учета111" caption="Признак учета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4" cache="Срез_Соц._Работник1111" caption="Соц. Работник" rowHeight="241300"/>
  <slicer name="Признак учета 4" cache="Срез_Признак_учета1111" caption="Признак учета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11111" caption="Соц. Работник" rowHeight="241300"/>
  <slicer name="Признак учета 5" cache="Срез_Признак_учета11111" caption="Признак учета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7" cache="Срез_Соц._Работник1114" caption="Соц. Работник" rowHeight="241300"/>
  <slicer name="Признак учета 7" cache="Срез_Признак_учета1114" caption="Признак учета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3" cache="Срез_Соц._Работник11141" caption="Соц. Работник" rowHeight="241300"/>
  <slicer name="Признак учета 13" cache="Срез_Признак_учета11141" caption="Признак учета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9" cache="Срез_Соц._Работник1116" caption="Соц. Работник" rowHeight="241300"/>
  <slicer name="Признак учета 9" cache="Срез_Признак_учета1116" caption="Признак учета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0" cache="Срез_Соц._Работник1117" caption="Соц. Работник" rowHeight="241300"/>
  <slicer name="Признак учета 10" cache="Срез_Признак_учета1117" caption="Признак учета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1" cache="Срез_Соц._Работник1118" caption="Соц. Работник" rowHeight="241300"/>
  <slicer name="Признак учета 11" cache="Срез_Признак_учета1118" caption="Признак учета" rowHeight="241300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2" cache="Срез_Соц._Работник1119" caption="Соц. Работник" rowHeight="241300"/>
  <slicer name="Признак учета 12" cache="Срез_Признак_учета1119" caption="Признак учета" rowHeight="241300"/>
</slicers>
</file>

<file path=xl/tables/table1.xml><?xml version="1.0" encoding="utf-8"?>
<table xmlns="http://schemas.openxmlformats.org/spreadsheetml/2006/main" id="8" name="ВыборЦвета" displayName="ВыборЦвета" ref="B3:B4" totalsRowShown="0" headerRowDxfId="983" dataDxfId="982">
  <autoFilter ref="B3:B4">
    <filterColumn colId="0" hiddenButton="1"/>
  </autoFilter>
  <tableColumns count="1">
    <tableColumn id="1" name="Выбор цвета" dataDxfId="98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7" name="ГлавнаяТаблица" displayName="ГлавнаяТаблица" ref="B4:E6" headerRowCount="0" totalsRowShown="0" headerRowDxfId="980" dataDxfId="978" headerRowBorderDxfId="979" tableBorderDxfId="977">
  <tableColumns count="4">
    <tableColumn id="1" name="Группа месяцев-1" headerRowDxfId="976" dataDxfId="975"/>
    <tableColumn id="2" name="Группа месяцев-2" headerRowDxfId="974" dataDxfId="973"/>
    <tableColumn id="3" name="Группа месяцев-3" headerRowDxfId="972" dataDxfId="971"/>
    <tableColumn id="4" name="Группа месяцев-4" headerRowDxfId="970" dataDxfId="969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id="1" name="ЯнварьУслуги" displayName="ЯнварьУслуги" ref="A4:C9" totalsRowShown="0" headerRowDxfId="967" dataDxfId="966">
  <autoFilter ref="A4:C9">
    <filterColumn colId="0" hiddenButton="1"/>
    <filterColumn colId="1" hiddenButton="1"/>
    <filterColumn colId="2" hiddenButton="1"/>
  </autoFilter>
  <tableColumns count="3">
    <tableColumn id="1" name="Услуги" dataDxfId="965"/>
    <tableColumn id="2" name="б/пл." dataDxfId="964"/>
    <tableColumn id="3" name="пл." dataDxfId="963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28" name="ЯнварьТипСчета" displayName="ЯнварьТипСчета" ref="C1:C2" totalsRowShown="0" headerRowDxfId="962" dataDxfId="961">
  <autoFilter ref="C1:C2">
    <filterColumn colId="0" hiddenButton="1"/>
  </autoFilter>
  <tableColumns count="1">
    <tableColumn id="1" name="Тип счета" dataDxfId="96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2" name="ЯнварьДанные" displayName="ЯнварьДанные" ref="A11:AN12" headerRowDxfId="959" dataDxfId="958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957" totalsRowDxfId="956"/>
    <tableColumn id="2" name="Получатели ФИО" dataDxfId="955" totalsRowDxfId="954"/>
    <tableColumn id="3" name="Признак учета" dataDxfId="953" totalsRowDxfId="952"/>
    <tableColumn id="5" name="Итого" totalsRowFunction="sum" dataDxfId="951" totalsRowDxfId="950">
      <calculatedColumnFormula>SUM(INDIRECT(ADDRESS(ROW(ЯнварьДанные[[#This Row],[Итого]]),COLUMN(ЯнварьДанные[[#This Row],[Итого]])+2)):INDIRECT(ADDRESS(ROW(ЯнварьДанные[[#This Row],[Итого]]),COUNTA(ЯнварьДанные[#Headers]))))</calculatedColumnFormula>
    </tableColumn>
    <tableColumn id="6" name="Среднее кол-во услуг на 1 получ. Усл." totalsRowFunction="sum" dataDxfId="35" totalsRowDxfId="949">
      <calculatedColumnFormula>ЯнварьДанные[[#This Row],[Итого]]/COUNTIFS(ЯнварьДанные[Соц. Работник],ЯнварьДанные[[#This Row],[Соц. Работник]])</calculatedColumnFormula>
    </tableColumn>
    <tableColumn id="7" name="покупка продуктов" totalsRowFunction="sum" dataDxfId="34" totalsRowDxfId="948"/>
    <tableColumn id="9" name="помощь в приготовлении пищи" totalsRowFunction="sum" dataDxfId="33" totalsRowDxfId="947"/>
    <tableColumn id="10" name="кормление" totalsRowFunction="sum" dataDxfId="32" totalsRowDxfId="946"/>
    <tableColumn id="11" name="оплата коммунальныхи услуг и связи" totalsRowFunction="sum" dataDxfId="31" totalsRowDxfId="945"/>
    <tableColumn id="12" name="вынос мусора" totalsRowFunction="sum" dataDxfId="30" totalsRowDxfId="944"/>
    <tableColumn id="13" name="смена штор" totalsRowFunction="sum" dataDxfId="29" totalsRowDxfId="943"/>
    <tableColumn id="14" name="уборка б/у" totalsRowFunction="sum" dataDxfId="28" totalsRowDxfId="942"/>
    <tableColumn id="15" name="уборка с/у" totalsRowFunction="sum" dataDxfId="27" totalsRowDxfId="941"/>
    <tableColumn id="16" name="помывка в ванной" totalsRowFunction="sum" dataDxfId="26" totalsRowDxfId="940"/>
    <tableColumn id="17" name="смена постельного белья" totalsRowFunction="sum" dataDxfId="25" totalsRowDxfId="939"/>
    <tableColumn id="18" name="смена нательного белья" totalsRowFunction="sum" dataDxfId="24" totalsRowDxfId="938"/>
    <tableColumn id="19" name="обработка ногтей" totalsRowFunction="sum" dataDxfId="23" totalsRowDxfId="937"/>
    <tableColumn id="20" name="оказание помощи при стирке вещей" totalsRowFunction="sum" dataDxfId="22" totalsRowDxfId="936"/>
    <tableColumn id="21" name="стирка вещей" totalsRowFunction="sum" dataDxfId="21" totalsRowDxfId="935"/>
    <tableColumn id="22" name="доставка воды" totalsRowFunction="sum" dataDxfId="20" totalsRowDxfId="934"/>
    <tableColumn id="23" name="покупка топлива, топка печей" totalsRowFunction="sum" dataDxfId="19" totalsRowDxfId="933"/>
    <tableColumn id="24" name="сод-е в получении услуг в пр.торговли, КБО" totalsRowFunction="sum" dataDxfId="18" totalsRowDxfId="932"/>
    <tableColumn id="25" name="сод-е в организации ритуальных услуг" totalsRowFunction="sum" dataDxfId="17" totalsRowDxfId="931"/>
    <tableColumn id="26" name="присмотр за детьми" totalsRowFunction="sum" dataDxfId="16" totalsRowDxfId="930"/>
    <tableColumn id="27" name="письма" totalsRowFunction="sum" dataDxfId="15" totalsRowDxfId="929"/>
    <tableColumn id="28" name="снег" totalsRowFunction="sum" dataDxfId="14" totalsRowDxfId="928"/>
    <tableColumn id="29" name="вып. процедур, связанных с сохранением здоровья" totalsRowFunction="sum" dataDxfId="13" totalsRowDxfId="927"/>
    <tableColumn id="30" name="покупка лекарств, выписка рецептов" totalsRowFunction="sum" dataDxfId="12" totalsRowDxfId="926"/>
    <tableColumn id="31" name="сиделка" totalsRowFunction="sum" dataDxfId="11" totalsRowDxfId="925"/>
    <tableColumn id="32" name="сод-е в госпитализации" totalsRowFunction="sum" dataDxfId="10" totalsRowDxfId="924"/>
    <tableColumn id="33" name="сод-е сан-кур. лечение" totalsRowFunction="sum" dataDxfId="9" totalsRowDxfId="923"/>
    <tableColumn id="34" name="содействие в получ. тех. средств" totalsRowFunction="sum" dataDxfId="8" totalsRowDxfId="922"/>
    <tableColumn id="35" name="сод-е в провед. мед. обслед. (запись)" totalsRowFunction="sum" dataDxfId="7" totalsRowDxfId="921"/>
    <tableColumn id="36" name="консультирование по соц-мед.вопросам" totalsRowFunction="sum" dataDxfId="6" totalsRowDxfId="920"/>
    <tableColumn id="37" name="сод-е в прохождении МСЭ" totalsRowFunction="sum" dataDxfId="5" totalsRowDxfId="919"/>
    <tableColumn id="38" name="вызов врача на дом по телефону" totalsRowFunction="sum" dataDxfId="4" totalsRowDxfId="918"/>
    <tableColumn id="39" name="беседа" totalsRowFunction="sum" dataDxfId="3" totalsRowDxfId="917"/>
    <tableColumn id="40" name="соц-пед.услуги" totalsRowFunction="sum" dataDxfId="2" totalsRowDxfId="916"/>
    <tableColumn id="41" name="оказание помощи в оформлении документов" totalsRowFunction="sum" dataDxfId="1" totalsRowDxfId="915"/>
    <tableColumn id="42" name="помощь в получении юр.услуг" totalsRowFunction="sum" dataDxfId="0" totalsRowDxfId="914"/>
  </tableColumns>
  <tableStyleInfo name="Social" showFirstColumn="0" showLastColumn="0" showRowStripes="1" showColumnStripes="1"/>
</table>
</file>

<file path=xl/tables/table6.xml><?xml version="1.0" encoding="utf-8"?>
<table xmlns="http://schemas.openxmlformats.org/spreadsheetml/2006/main" id="12" name="ЯнварьСиделка" displayName="ЯнварьСиделка" ref="E4:E5" totalsRowShown="0" headerRowDxfId="913" dataDxfId="912">
  <autoFilter ref="E4:E5">
    <filterColumn colId="0" hiddenButton="1"/>
  </autoFilter>
  <tableColumns count="1">
    <tableColumn id="1" name="Сиделка" dataDxfId="911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3" name="ФевральУслуги" displayName="ФевральУслуги" ref="A4:C9" totalsRowShown="0" headerRowDxfId="909" dataDxfId="908">
  <autoFilter ref="A4:C9">
    <filterColumn colId="0" hiddenButton="1"/>
    <filterColumn colId="1" hiddenButton="1"/>
    <filterColumn colId="2" hiddenButton="1"/>
  </autoFilter>
  <tableColumns count="3">
    <tableColumn id="1" name="Услуги" dataDxfId="907"/>
    <tableColumn id="2" name="б/пл." dataDxfId="906"/>
    <tableColumn id="3" name="пл." dataDxfId="905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4" name="ФевральДанные" displayName="ФевральДанные" ref="A11:AN12" headerRowDxfId="904" dataDxfId="90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902" totalsRowDxfId="901"/>
    <tableColumn id="2" name="Получатели ФИО" dataDxfId="900" totalsRowDxfId="899"/>
    <tableColumn id="3" name="Признак учета" dataDxfId="898" totalsRowDxfId="897"/>
    <tableColumn id="5" name="Итого" totalsRowFunction="sum" dataDxfId="896" totalsRowDxfId="895">
      <calculatedColumnFormula>SUM(INDIRECT(ADDRESS(ROW(ФевральДанные[[#This Row],[Итого]]),COLUMN(ФевральДанные[[#This Row],[Итого]])+2)):INDIRECT(ADDRESS(ROW(ФевральДанные[[#This Row],[Итого]]),COUNTA(ФевральДанные[#Headers]))))</calculatedColumnFormula>
    </tableColumn>
    <tableColumn id="6" name="Среднее кол-во услуг на 1 получ. Усл." totalsRowFunction="sum" dataDxfId="71" totalsRowDxfId="894">
      <calculatedColumnFormula>ФевральДанные[[#This Row],[Итого]]/COUNTIFS(ФевральДанные[Соц. Работник],ФевральДанные[[#This Row],[Соц. Работник]])</calculatedColumnFormula>
    </tableColumn>
    <tableColumn id="7" name="покупка продуктов" totalsRowFunction="sum" dataDxfId="70" totalsRowDxfId="893"/>
    <tableColumn id="9" name="помощь в приготовлении пищи" totalsRowFunction="sum" dataDxfId="69" totalsRowDxfId="892"/>
    <tableColumn id="10" name="кормление" totalsRowFunction="sum" dataDxfId="68" totalsRowDxfId="891"/>
    <tableColumn id="11" name="оплата коммунальныхи услуг и связи" totalsRowFunction="sum" dataDxfId="67" totalsRowDxfId="890"/>
    <tableColumn id="12" name="вынос мусора" totalsRowFunction="sum" dataDxfId="66" totalsRowDxfId="889"/>
    <tableColumn id="13" name="смена штор" totalsRowFunction="sum" dataDxfId="65" totalsRowDxfId="888"/>
    <tableColumn id="14" name="уборка б/у" totalsRowFunction="sum" dataDxfId="64" totalsRowDxfId="887"/>
    <tableColumn id="15" name="уборка с/у" totalsRowFunction="sum" dataDxfId="63" totalsRowDxfId="886"/>
    <tableColumn id="16" name="помывка в ванной" totalsRowFunction="sum" dataDxfId="62" totalsRowDxfId="885"/>
    <tableColumn id="17" name="смена постельного белья" totalsRowFunction="sum" dataDxfId="61" totalsRowDxfId="884"/>
    <tableColumn id="18" name="смена нательного белья" totalsRowFunction="sum" dataDxfId="60" totalsRowDxfId="883"/>
    <tableColumn id="19" name="обработка ногтей" totalsRowFunction="sum" dataDxfId="59" totalsRowDxfId="882"/>
    <tableColumn id="20" name="оказание помощи при стирке вещей" totalsRowFunction="sum" dataDxfId="58" totalsRowDxfId="881"/>
    <tableColumn id="21" name="стирка вещей" totalsRowFunction="sum" dataDxfId="57" totalsRowDxfId="880"/>
    <tableColumn id="22" name="доставка воды" totalsRowFunction="sum" dataDxfId="56" totalsRowDxfId="879"/>
    <tableColumn id="23" name="покупка топлива, топка печей" totalsRowFunction="sum" dataDxfId="55" totalsRowDxfId="878"/>
    <tableColumn id="24" name="сод-е в получении услуг в пр.торговли, КБО" totalsRowFunction="sum" dataDxfId="54" totalsRowDxfId="877"/>
    <tableColumn id="25" name="сод-е в организации ритуальных услуг" totalsRowFunction="sum" dataDxfId="53" totalsRowDxfId="876"/>
    <tableColumn id="26" name="присмотр за детьми" totalsRowFunction="sum" dataDxfId="52" totalsRowDxfId="875"/>
    <tableColumn id="27" name="письма" totalsRowFunction="sum" dataDxfId="51" totalsRowDxfId="874"/>
    <tableColumn id="28" name="снег" totalsRowFunction="sum" dataDxfId="50" totalsRowDxfId="873"/>
    <tableColumn id="29" name="вып. процедур, связанных с сохранением здоровья" totalsRowFunction="sum" dataDxfId="49" totalsRowDxfId="872"/>
    <tableColumn id="30" name="покупка лекарств, выписка рецептов" totalsRowFunction="sum" dataDxfId="48" totalsRowDxfId="871"/>
    <tableColumn id="31" name="сиделка" totalsRowFunction="sum" dataDxfId="47" totalsRowDxfId="870"/>
    <tableColumn id="32" name="сод-е в госпитализации" totalsRowFunction="sum" dataDxfId="46" totalsRowDxfId="869"/>
    <tableColumn id="33" name="сод-е сан-кур. лечение" totalsRowFunction="sum" dataDxfId="45" totalsRowDxfId="868"/>
    <tableColumn id="34" name="содействие в получ. тех. средств" totalsRowFunction="sum" dataDxfId="44" totalsRowDxfId="867"/>
    <tableColumn id="35" name="сод-е в провед. мед. обслед. (запись)" totalsRowFunction="sum" dataDxfId="43" totalsRowDxfId="866"/>
    <tableColumn id="36" name="консультирование по соц-мед.вопросам" totalsRowFunction="sum" dataDxfId="42" totalsRowDxfId="865"/>
    <tableColumn id="37" name="сод-е в прохождении МСЭ" totalsRowFunction="sum" dataDxfId="41" totalsRowDxfId="864"/>
    <tableColumn id="38" name="вызов врача на дом по телефону" totalsRowFunction="sum" dataDxfId="40" totalsRowDxfId="863"/>
    <tableColumn id="39" name="беседа" totalsRowFunction="sum" dataDxfId="39" totalsRowDxfId="862"/>
    <tableColumn id="40" name="соц-пед.услуги" totalsRowFunction="sum" dataDxfId="38" totalsRowDxfId="861"/>
    <tableColumn id="41" name="оказание помощи в оформлении документов" totalsRowFunction="sum" dataDxfId="37" totalsRowDxfId="860"/>
    <tableColumn id="42" name="помощь в получении юр.услуг" totalsRowFunction="sum" dataDxfId="36" totalsRowDxfId="859"/>
  </tableColumns>
  <tableStyleInfo name="Social" showFirstColumn="0" showLastColumn="0" showRowStripes="1" showColumnStripes="1"/>
</table>
</file>

<file path=xl/tables/table9.xml><?xml version="1.0" encoding="utf-8"?>
<table xmlns="http://schemas.openxmlformats.org/spreadsheetml/2006/main" id="29" name="ФевральТипСчета" displayName="ФевральТипСчета" ref="C1:C2" totalsRowShown="0" headerRowDxfId="858" dataDxfId="857">
  <autoFilter ref="C1:C2">
    <filterColumn colId="0" hiddenButton="1"/>
  </autoFilter>
  <tableColumns count="1">
    <tableColumn id="1" name="Тип Счета" dataDxfId="856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3" name="ФевральСиделка" displayName="ФевральСиделка" ref="E4:E5" totalsRowShown="0" headerRowDxfId="855" dataDxfId="854">
  <autoFilter ref="E4:E5">
    <filterColumn colId="0" hiddenButton="1"/>
  </autoFilter>
  <tableColumns count="1">
    <tableColumn id="1" name="Сиделка" dataDxfId="853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5" name="МартУслуги" displayName="МартУслуги" ref="A4:C9" totalsRowShown="0" headerRowDxfId="851" dataDxfId="850">
  <autoFilter ref="A4:C9">
    <filterColumn colId="0" hiddenButton="1"/>
    <filterColumn colId="1" hiddenButton="1"/>
    <filterColumn colId="2" hiddenButton="1"/>
  </autoFilter>
  <tableColumns count="3">
    <tableColumn id="1" name="Услуги" dataDxfId="849"/>
    <tableColumn id="2" name="б/пл." dataDxfId="848"/>
    <tableColumn id="3" name="пл." dataDxfId="847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6" name="МартДанные" displayName="МартДанные" ref="A11:AN12" headerRowDxfId="846" dataDxfId="845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844" totalsRowDxfId="843"/>
    <tableColumn id="2" name="Получатели ФИО" dataDxfId="842" totalsRowDxfId="841"/>
    <tableColumn id="3" name="Признак учета" dataDxfId="840" totalsRowDxfId="839"/>
    <tableColumn id="5" name="Итого" totalsRowFunction="sum" dataDxfId="838" totalsRowDxfId="837">
      <calculatedColumnFormula>SUM(INDIRECT(ADDRESS(ROW(МартДанные[[#This Row],[Итого]]),COLUMN(МартДанные[[#This Row],[Итого]])+2)):INDIRECT(ADDRESS(ROW(МартДанные[[#This Row],[Итого]]),COUNTA(МартДанные[#Headers]))))</calculatedColumnFormula>
    </tableColumn>
    <tableColumn id="6" name="Среднее кол-во услуг на 1 получ. Усл." dataDxfId="107" totalsRowDxfId="836">
      <calculatedColumnFormula>МартДанные[[#This Row],[Итого]]/COUNTIFS(МартДанные[Соц. Работник],МартДанные[[#This Row],[Соц. Работник]])</calculatedColumnFormula>
    </tableColumn>
    <tableColumn id="7" name="покупка продуктов" dataDxfId="106" totalsRowDxfId="835"/>
    <tableColumn id="9" name="помощь в приготовлении пищи" dataDxfId="105" totalsRowDxfId="834"/>
    <tableColumn id="10" name="кормление" dataDxfId="104" totalsRowDxfId="833"/>
    <tableColumn id="11" name="оплата коммунальныхи услуг и связи" dataDxfId="103" totalsRowDxfId="832"/>
    <tableColumn id="12" name="вынос мусора" dataDxfId="102" totalsRowDxfId="831"/>
    <tableColumn id="13" name="смена штор" dataDxfId="101" totalsRowDxfId="830"/>
    <tableColumn id="14" name="уборка б/у" dataDxfId="100" totalsRowDxfId="829"/>
    <tableColumn id="15" name="уборка с/у" dataDxfId="99" totalsRowDxfId="828"/>
    <tableColumn id="16" name="помывка в ванной" dataDxfId="98" totalsRowDxfId="827"/>
    <tableColumn id="17" name="смена постельного белья" dataDxfId="97" totalsRowDxfId="826"/>
    <tableColumn id="18" name="смена нательного белья" dataDxfId="96" totalsRowDxfId="825"/>
    <tableColumn id="19" name="обработка ногтей" dataDxfId="95" totalsRowDxfId="824"/>
    <tableColumn id="20" name="оказание помощи при стирке вещей" dataDxfId="94" totalsRowDxfId="823"/>
    <tableColumn id="21" name="стирка вещей" dataDxfId="93" totalsRowDxfId="822"/>
    <tableColumn id="22" name="доставка воды" dataDxfId="92" totalsRowDxfId="821"/>
    <tableColumn id="23" name="покупка топлива, топка печей" dataDxfId="91" totalsRowDxfId="820"/>
    <tableColumn id="24" name="сод-е в получении услуг в пр.торговли, КБО" dataDxfId="90" totalsRowDxfId="819"/>
    <tableColumn id="25" name="сод-е в организации ритуальных услуг" dataDxfId="89" totalsRowDxfId="818"/>
    <tableColumn id="26" name="присмотр за детьми" dataDxfId="88" totalsRowDxfId="817"/>
    <tableColumn id="27" name="письма" dataDxfId="87" totalsRowDxfId="816"/>
    <tableColumn id="28" name="снег" dataDxfId="86" totalsRowDxfId="815"/>
    <tableColumn id="29" name="вып. процедур, связанных с сохранением здоровья" dataDxfId="85" totalsRowDxfId="814"/>
    <tableColumn id="30" name="покупка лекарств, выписка рецептов" dataDxfId="84" totalsRowDxfId="813"/>
    <tableColumn id="31" name="сиделка" dataDxfId="83" totalsRowDxfId="812"/>
    <tableColumn id="32" name="сод-е в госпитализации" dataDxfId="82" totalsRowDxfId="811"/>
    <tableColumn id="33" name="сод-е сан-кур. лечение" dataDxfId="81" totalsRowDxfId="810"/>
    <tableColumn id="34" name="содействие в получ. тех. средств" dataDxfId="80" totalsRowDxfId="809"/>
    <tableColumn id="35" name="сод-е в провед. мед. обслед. (запись)" dataDxfId="79" totalsRowDxfId="808"/>
    <tableColumn id="36" name="консультирование по соц-мед.вопросам" dataDxfId="78" totalsRowDxfId="807"/>
    <tableColumn id="37" name="сод-е в прохождении МСЭ" dataDxfId="77" totalsRowDxfId="806"/>
    <tableColumn id="38" name="вызов врача на дом по телефону" dataDxfId="76" totalsRowDxfId="805"/>
    <tableColumn id="39" name="беседа" dataDxfId="75" totalsRowDxfId="804"/>
    <tableColumn id="40" name="соц-пед.услуги" dataDxfId="74" totalsRowDxfId="803"/>
    <tableColumn id="41" name="оказание помощи в оформлении документов" dataDxfId="73" totalsRowDxfId="802"/>
    <tableColumn id="42" name="помощь в получении юр.услуг" totalsRowFunction="sum" dataDxfId="72" totalsRowDxfId="801"/>
  </tableColumns>
  <tableStyleInfo name="Social" showFirstColumn="0" showLastColumn="0" showRowStripes="1" showColumnStripes="1"/>
</table>
</file>

<file path=xl/tables/table13.xml><?xml version="1.0" encoding="utf-8"?>
<table xmlns="http://schemas.openxmlformats.org/spreadsheetml/2006/main" id="30" name="МартТипСчета" displayName="МартТипСчета" ref="C1:C2" totalsRowShown="0" headerRowDxfId="800" dataDxfId="799">
  <autoFilter ref="C1:C2">
    <filterColumn colId="0" hiddenButton="1"/>
  </autoFilter>
  <tableColumns count="1">
    <tableColumn id="1" name="Тип Счета" dataDxfId="798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МартСиделка" displayName="МартСиделка" ref="E4:E5" totalsRowShown="0" headerRowDxfId="797" dataDxfId="796">
  <autoFilter ref="E4:E5">
    <filterColumn colId="0" hiddenButton="1"/>
  </autoFilter>
  <tableColumns count="1">
    <tableColumn id="1" name="Сиделка" dataDxfId="795"/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id="27" name="АпрельУслуги" displayName="АпрельУслуги" ref="A4:C9" totalsRowShown="0" headerRowDxfId="793" dataDxfId="792">
  <autoFilter ref="A4:C9">
    <filterColumn colId="0" hiddenButton="1"/>
    <filterColumn colId="1" hiddenButton="1"/>
    <filterColumn colId="2" hiddenButton="1"/>
  </autoFilter>
  <tableColumns count="3">
    <tableColumn id="1" name="Услуги" dataDxfId="791"/>
    <tableColumn id="2" name="б/пл." dataDxfId="790"/>
    <tableColumn id="3" name="пл." dataDxfId="789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40" name="АпрельДанные" displayName="АпрельДанные" ref="A11:AN12" headerRowDxfId="788" dataDxfId="787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786" totalsRowDxfId="785"/>
    <tableColumn id="2" name="Получатели ФИО" dataDxfId="784" totalsRowDxfId="783"/>
    <tableColumn id="3" name="Признак учета" dataDxfId="782" totalsRowDxfId="781"/>
    <tableColumn id="5" name="Итого" totalsRowFunction="sum" dataDxfId="780" totalsRowDxfId="779">
      <calculatedColumnFormula>SUM(INDIRECT(ADDRESS(ROW(АпрельДанные[[#This Row],[Итого]]),COLUMN(АпрельДанные[[#This Row],[Итого]])+2)):INDIRECT(ADDRESS(ROW(АпрельДанные[[#This Row],[Итого]]),COUNTA(АпрельДанные[#Headers]))))</calculatedColumnFormula>
    </tableColumn>
    <tableColumn id="6" name="Среднее кол-во услуг на 1 получ. Усл." totalsRowFunction="sum" dataDxfId="143" totalsRowDxfId="778">
      <calculatedColumnFormula>АпрельДанные[[#This Row],[Итого]]/COUNTIFS(АпрельДанные[Соц. Работник],АпрельДанные[[#This Row],[Соц. Работник]])</calculatedColumnFormula>
    </tableColumn>
    <tableColumn id="7" name="покупка продуктов" totalsRowFunction="sum" dataDxfId="142" totalsRowDxfId="777"/>
    <tableColumn id="9" name="помощь в приготовлении пищи" totalsRowFunction="sum" dataDxfId="141" totalsRowDxfId="776"/>
    <tableColumn id="10" name="кормление" totalsRowFunction="sum" dataDxfId="140" totalsRowDxfId="775"/>
    <tableColumn id="11" name="оплата коммунальныхи услуг и связи" totalsRowFunction="sum" dataDxfId="139" totalsRowDxfId="774"/>
    <tableColumn id="12" name="вынос мусора" totalsRowFunction="sum" dataDxfId="138" totalsRowDxfId="773"/>
    <tableColumn id="13" name="смена штор" totalsRowFunction="sum" dataDxfId="137" totalsRowDxfId="772"/>
    <tableColumn id="14" name="уборка б/у" totalsRowFunction="sum" dataDxfId="136" totalsRowDxfId="771"/>
    <tableColumn id="15" name="уборка с/у" totalsRowFunction="sum" dataDxfId="135" totalsRowDxfId="770"/>
    <tableColumn id="16" name="помывка в ванной" totalsRowFunction="sum" dataDxfId="134" totalsRowDxfId="769"/>
    <tableColumn id="17" name="смена постельного белья" totalsRowFunction="sum" dataDxfId="133" totalsRowDxfId="768"/>
    <tableColumn id="18" name="смена нательного белья" totalsRowFunction="sum" dataDxfId="132" totalsRowDxfId="767"/>
    <tableColumn id="19" name="обработка ногтей" totalsRowFunction="sum" dataDxfId="131" totalsRowDxfId="766"/>
    <tableColumn id="20" name="оказание помощи при стирке вещей" totalsRowFunction="sum" dataDxfId="130" totalsRowDxfId="765"/>
    <tableColumn id="21" name="стирка вещей" totalsRowFunction="sum" dataDxfId="129" totalsRowDxfId="764"/>
    <tableColumn id="22" name="доставка воды" totalsRowFunction="sum" dataDxfId="128" totalsRowDxfId="763"/>
    <tableColumn id="23" name="покупка топлива, топка печей" totalsRowFunction="sum" dataDxfId="127" totalsRowDxfId="762"/>
    <tableColumn id="24" name="сод-е в получении услуг в пр.торговли, КБО" totalsRowFunction="sum" dataDxfId="126" totalsRowDxfId="761"/>
    <tableColumn id="25" name="сод-е в организации ритуальных услуг" totalsRowFunction="sum" dataDxfId="125" totalsRowDxfId="760"/>
    <tableColumn id="26" name="присмотр за детьми" totalsRowFunction="sum" dataDxfId="124" totalsRowDxfId="759"/>
    <tableColumn id="27" name="письма" totalsRowFunction="sum" dataDxfId="123" totalsRowDxfId="758"/>
    <tableColumn id="28" name="снег" totalsRowFunction="sum" dataDxfId="122" totalsRowDxfId="757"/>
    <tableColumn id="29" name="вып. процедур, связанных с сохранением здоровья" totalsRowFunction="sum" dataDxfId="121" totalsRowDxfId="756"/>
    <tableColumn id="30" name="покупка лекарств, выписка рецептов" totalsRowFunction="sum" dataDxfId="120" totalsRowDxfId="755"/>
    <tableColumn id="31" name="сиделка" totalsRowFunction="sum" dataDxfId="119" totalsRowDxfId="754"/>
    <tableColumn id="32" name="сод-е в госпитализации" totalsRowFunction="sum" dataDxfId="118" totalsRowDxfId="753"/>
    <tableColumn id="33" name="сод-е сан-кур. лечение" totalsRowFunction="sum" dataDxfId="117" totalsRowDxfId="752"/>
    <tableColumn id="34" name="содействие в получ. тех. средств" totalsRowFunction="sum" dataDxfId="116" totalsRowDxfId="751"/>
    <tableColumn id="35" name="сод-е в провед. мед. обслед. (запись)" totalsRowFunction="sum" dataDxfId="115" totalsRowDxfId="750"/>
    <tableColumn id="36" name="консультирование по соц-мед.вопросам" totalsRowFunction="sum" dataDxfId="114" totalsRowDxfId="749"/>
    <tableColumn id="37" name="сод-е в прохождении МСЭ" totalsRowFunction="sum" dataDxfId="113" totalsRowDxfId="748"/>
    <tableColumn id="38" name="вызов врача на дом по телефону" totalsRowFunction="sum" dataDxfId="112" totalsRowDxfId="747"/>
    <tableColumn id="39" name="беседа" totalsRowFunction="sum" dataDxfId="111" totalsRowDxfId="746"/>
    <tableColumn id="40" name="соц-пед.услуги" totalsRowFunction="sum" dataDxfId="110" totalsRowDxfId="745"/>
    <tableColumn id="41" name="оказание помощи в оформлении документов" totalsRowFunction="sum" dataDxfId="109" totalsRowDxfId="744"/>
    <tableColumn id="42" name="помощь в получении юр.услуг" totalsRowFunction="sum" dataDxfId="108" totalsRowDxfId="743"/>
  </tableColumns>
  <tableStyleInfo name="Social" showFirstColumn="0" showLastColumn="0" showRowStripes="1" showColumnStripes="1"/>
</table>
</file>

<file path=xl/tables/table17.xml><?xml version="1.0" encoding="utf-8"?>
<table xmlns="http://schemas.openxmlformats.org/spreadsheetml/2006/main" id="41" name="АпрельТипСчета" displayName="АпрельТипСчета" ref="C1:C2" totalsRowShown="0" headerRowDxfId="742" dataDxfId="741">
  <autoFilter ref="C1:C2">
    <filterColumn colId="0" hiddenButton="1"/>
  </autoFilter>
  <tableColumns count="1">
    <tableColumn id="1" name="Тип Счета" dataDxfId="740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7" name="АпрельСиделка" displayName="АпрельСиделка" ref="E4:E5" totalsRowShown="0" headerRowDxfId="739" dataDxfId="738">
  <autoFilter ref="E4:E5">
    <filterColumn colId="0" hiddenButton="1"/>
  </autoFilter>
  <tableColumns count="1">
    <tableColumn id="1" name="Сиделка" dataDxfId="737"/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42" name="МайУслуги" displayName="МайУслуги" ref="A4:C9" totalsRowShown="0" headerRowDxfId="735" dataDxfId="734">
  <autoFilter ref="A4:C9">
    <filterColumn colId="0" hiddenButton="1"/>
    <filterColumn colId="1" hiddenButton="1"/>
    <filterColumn colId="2" hiddenButton="1"/>
  </autoFilter>
  <tableColumns count="3">
    <tableColumn id="1" name="Услуги" dataDxfId="733"/>
    <tableColumn id="2" name="б/пл." dataDxfId="732"/>
    <tableColumn id="3" name="пл." dataDxfId="731"/>
  </tableColumns>
  <tableStyleInfo name="TableStyleLight15" showFirstColumn="0" showLastColumn="0" showRowStripes="1" showColumnStripes="0"/>
</table>
</file>

<file path=xl/tables/table20.xml><?xml version="1.0" encoding="utf-8"?>
<table xmlns="http://schemas.openxmlformats.org/spreadsheetml/2006/main" id="43" name="МайДанные" displayName="МайДанные" ref="A11:AN12" headerRowDxfId="730" dataDxfId="729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728" totalsRowDxfId="727"/>
    <tableColumn id="2" name="Получатели ФИО" dataDxfId="726" totalsRowDxfId="725"/>
    <tableColumn id="3" name="Признак учета" dataDxfId="724" totalsRowDxfId="723"/>
    <tableColumn id="5" name="Итого" totalsRowFunction="sum" dataDxfId="722" totalsRowDxfId="721">
      <calculatedColumnFormula>SUM(INDIRECT(ADDRESS(ROW(МайДанные[[#This Row],[Итого]]),COLUMN(МайДанные[[#This Row],[Итого]])+2)):INDIRECT(ADDRESS(ROW(МайДанные[[#This Row],[Итого]]),COUNTA(МайДанные[#Headers]))))</calculatedColumnFormula>
    </tableColumn>
    <tableColumn id="6" name="Среднее кол-во услуг на 1 получ. Усл." totalsRowFunction="sum" dataDxfId="179" totalsRowDxfId="720">
      <calculatedColumnFormula>МайДанные[[#This Row],[Итого]]/COUNTIFS(МайДанные[Соц. Работник],МайДанные[[#This Row],[Соц. Работник]])</calculatedColumnFormula>
    </tableColumn>
    <tableColumn id="7" name="покупка продуктов" totalsRowFunction="sum" dataDxfId="178" totalsRowDxfId="719"/>
    <tableColumn id="9" name="помощь в приготовлении пищи" totalsRowFunction="sum" dataDxfId="177" totalsRowDxfId="718"/>
    <tableColumn id="10" name="кормление" totalsRowFunction="sum" dataDxfId="176" totalsRowDxfId="717"/>
    <tableColumn id="11" name="оплата коммунальныхи услуг и связи" totalsRowFunction="sum" dataDxfId="175" totalsRowDxfId="716"/>
    <tableColumn id="12" name="вынос мусора" totalsRowFunction="sum" dataDxfId="174" totalsRowDxfId="715"/>
    <tableColumn id="13" name="смена штор" totalsRowFunction="sum" dataDxfId="173" totalsRowDxfId="714"/>
    <tableColumn id="14" name="уборка б/у" totalsRowFunction="sum" dataDxfId="172" totalsRowDxfId="713"/>
    <tableColumn id="15" name="уборка с/у" totalsRowFunction="sum" dataDxfId="171" totalsRowDxfId="712"/>
    <tableColumn id="16" name="помывка в ванной" totalsRowFunction="sum" dataDxfId="170" totalsRowDxfId="711"/>
    <tableColumn id="17" name="смена постельного белья" totalsRowFunction="sum" dataDxfId="169" totalsRowDxfId="710"/>
    <tableColumn id="18" name="смена нательного белья" totalsRowFunction="sum" dataDxfId="168" totalsRowDxfId="709"/>
    <tableColumn id="19" name="обработка ногтей" totalsRowFunction="sum" dataDxfId="167" totalsRowDxfId="708"/>
    <tableColumn id="20" name="оказание помощи при стирке вещей" totalsRowFunction="sum" dataDxfId="166" totalsRowDxfId="707"/>
    <tableColumn id="21" name="стирка вещей" totalsRowFunction="sum" dataDxfId="165" totalsRowDxfId="706"/>
    <tableColumn id="22" name="доставка воды" totalsRowFunction="sum" dataDxfId="164" totalsRowDxfId="705"/>
    <tableColumn id="23" name="покупка топлива, топка печей" totalsRowFunction="sum" dataDxfId="163" totalsRowDxfId="704"/>
    <tableColumn id="24" name="сод-е в получении услуг в пр.торговли, КБО" totalsRowFunction="sum" dataDxfId="162" totalsRowDxfId="703"/>
    <tableColumn id="25" name="сод-е в организации ритуальных услуг" totalsRowFunction="sum" dataDxfId="161" totalsRowDxfId="702"/>
    <tableColumn id="26" name="присмотр за детьми" totalsRowFunction="sum" dataDxfId="160" totalsRowDxfId="701"/>
    <tableColumn id="27" name="письма" totalsRowFunction="sum" dataDxfId="159" totalsRowDxfId="700"/>
    <tableColumn id="28" name="снег" totalsRowFunction="sum" dataDxfId="158" totalsRowDxfId="699"/>
    <tableColumn id="29" name="вып. процедур, связанных с сохранением здоровья" totalsRowFunction="sum" dataDxfId="157" totalsRowDxfId="698"/>
    <tableColumn id="30" name="покупка лекарств, выписка рецептов" totalsRowFunction="sum" dataDxfId="156" totalsRowDxfId="697"/>
    <tableColumn id="31" name="сиделка" totalsRowFunction="sum" dataDxfId="155" totalsRowDxfId="696"/>
    <tableColumn id="32" name="сод-е в госпитализации" totalsRowFunction="sum" dataDxfId="154" totalsRowDxfId="695"/>
    <tableColumn id="33" name="сод-е сан-кур. лечение" totalsRowFunction="sum" dataDxfId="153" totalsRowDxfId="694"/>
    <tableColumn id="34" name="содействие в получ. тех. средств" totalsRowFunction="sum" dataDxfId="152" totalsRowDxfId="693"/>
    <tableColumn id="35" name="сод-е в провед. мед. обслед. (запись)" totalsRowFunction="sum" dataDxfId="151" totalsRowDxfId="692"/>
    <tableColumn id="36" name="консультирование по соц-мед.вопросам" totalsRowFunction="sum" dataDxfId="150" totalsRowDxfId="691"/>
    <tableColumn id="37" name="сод-е в прохождении МСЭ" totalsRowFunction="sum" dataDxfId="149" totalsRowDxfId="690"/>
    <tableColumn id="38" name="вызов врача на дом по телефону" totalsRowFunction="sum" dataDxfId="148" totalsRowDxfId="689"/>
    <tableColumn id="39" name="беседа" totalsRowFunction="sum" dataDxfId="147" totalsRowDxfId="688"/>
    <tableColumn id="40" name="соц-пед.услуги" totalsRowFunction="sum" dataDxfId="146" totalsRowDxfId="687"/>
    <tableColumn id="41" name="оказание помощи в оформлении документов" totalsRowFunction="sum" dataDxfId="145" totalsRowDxfId="686"/>
    <tableColumn id="42" name="помощь в получении юр.услуг" totalsRowFunction="sum" dataDxfId="144" totalsRowDxfId="685"/>
  </tableColumns>
  <tableStyleInfo name="Social" showFirstColumn="0" showLastColumn="0" showRowStripes="1" showColumnStripes="1"/>
</table>
</file>

<file path=xl/tables/table21.xml><?xml version="1.0" encoding="utf-8"?>
<table xmlns="http://schemas.openxmlformats.org/spreadsheetml/2006/main" id="44" name="МайТипСчета" displayName="МайТипСчета" ref="C1:C2" totalsRowShown="0" headerRowDxfId="684" dataDxfId="683">
  <autoFilter ref="C1:C2">
    <filterColumn colId="0" hiddenButton="1"/>
  </autoFilter>
  <tableColumns count="1">
    <tableColumn id="1" name="Тип Счета" dataDxfId="682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18" name="МайСиделка" displayName="МайСиделка" ref="E4:E5" totalsRowShown="0" headerRowDxfId="681" dataDxfId="680">
  <autoFilter ref="E4:E5">
    <filterColumn colId="0" hiddenButton="1"/>
  </autoFilter>
  <tableColumns count="1">
    <tableColumn id="1" name="Сиделка" dataDxfId="679"/>
  </tableColumns>
  <tableStyleInfo name="TableStyleLight15" showFirstColumn="0" showLastColumn="0" showRowStripes="1" showColumnStripes="0"/>
</table>
</file>

<file path=xl/tables/table23.xml><?xml version="1.0" encoding="utf-8"?>
<table xmlns="http://schemas.openxmlformats.org/spreadsheetml/2006/main" id="45" name="ИюньУслуги" displayName="ИюньУслуги" ref="A4:C9" totalsRowShown="0" headerRowDxfId="677" dataDxfId="676">
  <autoFilter ref="A4:C9">
    <filterColumn colId="0" hiddenButton="1"/>
    <filterColumn colId="1" hiddenButton="1"/>
    <filterColumn colId="2" hiddenButton="1"/>
  </autoFilter>
  <tableColumns count="3">
    <tableColumn id="1" name="Услуги" dataDxfId="675"/>
    <tableColumn id="2" name="б/пл." dataDxfId="674"/>
    <tableColumn id="3" name="пл." dataDxfId="673"/>
  </tableColumns>
  <tableStyleInfo name="TableStyleLight15" showFirstColumn="0" showLastColumn="0" showRowStripes="1" showColumnStripes="0"/>
</table>
</file>

<file path=xl/tables/table24.xml><?xml version="1.0" encoding="utf-8"?>
<table xmlns="http://schemas.openxmlformats.org/spreadsheetml/2006/main" id="46" name="ИюньДанные" displayName="ИюньДанные" ref="A11:AN12" headerRowDxfId="672" dataDxfId="671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670" totalsRowDxfId="669"/>
    <tableColumn id="2" name="Получатели ФИО" dataDxfId="668" totalsRowDxfId="667"/>
    <tableColumn id="3" name="Признак учета" dataDxfId="666" totalsRowDxfId="665"/>
    <tableColumn id="5" name="Итого" totalsRowFunction="sum" dataDxfId="664" totalsRowDxfId="663">
      <calculatedColumnFormula>SUM(INDIRECT(ADDRESS(ROW(ИюньДанные[[#This Row],[Итого]]),COLUMN(ИюньДанные[[#This Row],[Итого]])+2)):INDIRECT(ADDRESS(ROW(ИюньДанные[[#This Row],[Итого]]),COUNTA(ИюньДанные[#Headers]))))</calculatedColumnFormula>
    </tableColumn>
    <tableColumn id="6" name="Среднее кол-во услуг на 1 получ. Усл." totalsRowFunction="sum" dataDxfId="215" totalsRowDxfId="662">
      <calculatedColumnFormula>ИюньДанные[[#This Row],[Итого]]/COUNTIFS(ИюньДанные[Соц. Работник],ИюньДанные[[#This Row],[Соц. Работник]])</calculatedColumnFormula>
    </tableColumn>
    <tableColumn id="7" name="покупка продуктов" totalsRowFunction="sum" dataDxfId="214" totalsRowDxfId="661"/>
    <tableColumn id="9" name="помощь в приготовлении пищи" totalsRowFunction="sum" dataDxfId="213" totalsRowDxfId="660"/>
    <tableColumn id="10" name="кормление" totalsRowFunction="sum" dataDxfId="212" totalsRowDxfId="659"/>
    <tableColumn id="11" name="оплата коммунальныхи услуг и связи" totalsRowFunction="sum" dataDxfId="211" totalsRowDxfId="658"/>
    <tableColumn id="12" name="вынос мусора" totalsRowFunction="sum" dataDxfId="210" totalsRowDxfId="657"/>
    <tableColumn id="13" name="смена штор" totalsRowFunction="sum" dataDxfId="209" totalsRowDxfId="656"/>
    <tableColumn id="14" name="уборка б/у" totalsRowFunction="sum" dataDxfId="208" totalsRowDxfId="655"/>
    <tableColumn id="15" name="уборка с/у" totalsRowFunction="sum" dataDxfId="207" totalsRowDxfId="654"/>
    <tableColumn id="16" name="помывка в ванной" totalsRowFunction="sum" dataDxfId="206" totalsRowDxfId="653"/>
    <tableColumn id="17" name="смена постельного белья" totalsRowFunction="sum" dataDxfId="205" totalsRowDxfId="652"/>
    <tableColumn id="18" name="смена нательного белья" totalsRowFunction="sum" dataDxfId="204" totalsRowDxfId="651"/>
    <tableColumn id="19" name="обработка ногтей" totalsRowFunction="sum" dataDxfId="203" totalsRowDxfId="650"/>
    <tableColumn id="20" name="оказание помощи при стирке вещей" totalsRowFunction="sum" dataDxfId="202" totalsRowDxfId="649"/>
    <tableColumn id="21" name="стирка вещей" totalsRowFunction="sum" dataDxfId="201" totalsRowDxfId="648"/>
    <tableColumn id="22" name="доставка воды" totalsRowFunction="sum" dataDxfId="200" totalsRowDxfId="647"/>
    <tableColumn id="23" name="покупка топлива, топка печей" totalsRowFunction="sum" dataDxfId="199" totalsRowDxfId="646"/>
    <tableColumn id="24" name="сод-е в получении услуг в пр.торговли, КБО" totalsRowFunction="sum" dataDxfId="198" totalsRowDxfId="645"/>
    <tableColumn id="25" name="сод-е в организации ритуальных услуг" totalsRowFunction="sum" dataDxfId="197" totalsRowDxfId="644"/>
    <tableColumn id="26" name="присмотр за детьми" totalsRowFunction="sum" dataDxfId="196" totalsRowDxfId="643"/>
    <tableColumn id="27" name="письма" totalsRowFunction="sum" dataDxfId="195" totalsRowDxfId="642"/>
    <tableColumn id="28" name="снег" totalsRowFunction="sum" dataDxfId="194" totalsRowDxfId="641"/>
    <tableColumn id="29" name="вып. процедур, связанных с сохранением здоровья" totalsRowFunction="sum" dataDxfId="193" totalsRowDxfId="640"/>
    <tableColumn id="30" name="покупка лекарств, выписка рецептов" totalsRowFunction="sum" dataDxfId="192" totalsRowDxfId="639"/>
    <tableColumn id="31" name="сиделка" totalsRowFunction="sum" dataDxfId="191" totalsRowDxfId="638"/>
    <tableColumn id="32" name="сод-е в госпитализации" totalsRowFunction="sum" dataDxfId="190" totalsRowDxfId="637"/>
    <tableColumn id="33" name="сод-е сан-кур. лечение" totalsRowFunction="sum" dataDxfId="189" totalsRowDxfId="636"/>
    <tableColumn id="34" name="содействие в получ. тех. средств" totalsRowFunction="sum" dataDxfId="188" totalsRowDxfId="635"/>
    <tableColumn id="35" name="сод-е в провед. мед. обслед. (запись)" totalsRowFunction="sum" dataDxfId="187" totalsRowDxfId="634"/>
    <tableColumn id="36" name="консультирование по соц-мед.вопросам" totalsRowFunction="sum" dataDxfId="186" totalsRowDxfId="633"/>
    <tableColumn id="37" name="сод-е в прохождении МСЭ" totalsRowFunction="sum" dataDxfId="185" totalsRowDxfId="632"/>
    <tableColumn id="38" name="вызов врача на дом по телефону" totalsRowFunction="sum" dataDxfId="184" totalsRowDxfId="631"/>
    <tableColumn id="39" name="беседа" totalsRowFunction="sum" dataDxfId="183" totalsRowDxfId="630"/>
    <tableColumn id="40" name="соц-пед.услуги" totalsRowFunction="sum" dataDxfId="182" totalsRowDxfId="629"/>
    <tableColumn id="41" name="оказание помощи в оформлении документов" totalsRowFunction="sum" dataDxfId="181" totalsRowDxfId="628"/>
    <tableColumn id="42" name="помощь в получении юр.услуг" totalsRowFunction="sum" dataDxfId="180" totalsRowDxfId="627"/>
  </tableColumns>
  <tableStyleInfo name="Social" showFirstColumn="0" showLastColumn="0" showRowStripes="1" showColumnStripes="1"/>
</table>
</file>

<file path=xl/tables/table25.xml><?xml version="1.0" encoding="utf-8"?>
<table xmlns="http://schemas.openxmlformats.org/spreadsheetml/2006/main" id="47" name="ИюньТипСчета" displayName="ИюньТипСчета" ref="C1:C2" totalsRowShown="0" headerRowDxfId="626" dataDxfId="625">
  <autoFilter ref="C1:C2">
    <filterColumn colId="0" hiddenButton="1"/>
  </autoFilter>
  <tableColumns count="1">
    <tableColumn id="1" name="Тип Счета" dataDxfId="624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31" name="ИюньСиделка" displayName="ИюньСиделка" ref="E4:E5" totalsRowShown="0" headerRowDxfId="623" dataDxfId="622">
  <autoFilter ref="E4:E5">
    <filterColumn colId="0" hiddenButton="1"/>
  </autoFilter>
  <tableColumns count="1">
    <tableColumn id="1" name="Сиделка" dataDxfId="621"/>
  </tableColumns>
  <tableStyleInfo name="TableStyleLight15" showFirstColumn="0" showLastColumn="0" showRowStripes="1" showColumnStripes="0"/>
</table>
</file>

<file path=xl/tables/table27.xml><?xml version="1.0" encoding="utf-8"?>
<table xmlns="http://schemas.openxmlformats.org/spreadsheetml/2006/main" id="15" name="ИюльУслуги" displayName="ИюльУслуги" ref="A4:C9" totalsRowShown="0" headerRowDxfId="619" dataDxfId="618">
  <autoFilter ref="A4:C9">
    <filterColumn colId="0" hiddenButton="1"/>
    <filterColumn colId="1" hiddenButton="1"/>
    <filterColumn colId="2" hiddenButton="1"/>
  </autoFilter>
  <tableColumns count="3">
    <tableColumn id="1" name="Услуги" dataDxfId="617"/>
    <tableColumn id="2" name="б/пл." dataDxfId="616"/>
    <tableColumn id="3" name="пл." dataDxfId="615"/>
  </tableColumns>
  <tableStyleInfo name="TableStyleLight15" showFirstColumn="0" showLastColumn="0" showRowStripes="1" showColumnStripes="0"/>
</table>
</file>

<file path=xl/tables/table28.xml><?xml version="1.0" encoding="utf-8"?>
<table xmlns="http://schemas.openxmlformats.org/spreadsheetml/2006/main" id="16" name="ИюльДанные" displayName="ИюльДанные" ref="A11:AN12" headerRowDxfId="614" dataDxfId="613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612" totalsRowDxfId="611"/>
    <tableColumn id="2" name="Получатели ФИО" dataDxfId="610" totalsRowDxfId="609"/>
    <tableColumn id="3" name="Признак учета" dataDxfId="608" totalsRowDxfId="607"/>
    <tableColumn id="5" name="Итого" totalsRowFunction="sum" dataDxfId="606" totalsRowDxfId="605">
      <calculatedColumnFormula>SUM(INDIRECT(ADDRESS(ROW(ИюльДанные[[#This Row],[Итого]]),COLUMN(ИюльДанные[[#This Row],[Итого]])+2)):INDIRECT(ADDRESS(ROW(ИюльДанные[[#This Row],[Итого]]),COUNTA(ИюльДанные[#Headers]))))</calculatedColumnFormula>
    </tableColumn>
    <tableColumn id="6" name="Среднее кол-во услуг на 1 получ. Усл." totalsRowFunction="sum" dataDxfId="251" totalsRowDxfId="604">
      <calculatedColumnFormula>ИюльДанные[[#This Row],[Итого]]/COUNTIFS(ИюльДанные[Соц. Работник],ИюльДанные[[#This Row],[Соц. Работник]])</calculatedColumnFormula>
    </tableColumn>
    <tableColumn id="7" name="покупка продуктов" totalsRowFunction="sum" dataDxfId="250" totalsRowDxfId="603"/>
    <tableColumn id="9" name="помощь в приготовлении пищи" totalsRowFunction="sum" dataDxfId="249" totalsRowDxfId="602"/>
    <tableColumn id="10" name="кормление" totalsRowFunction="sum" dataDxfId="248" totalsRowDxfId="601"/>
    <tableColumn id="11" name="оплата коммунальныхи услуг и связи" totalsRowFunction="sum" dataDxfId="247" totalsRowDxfId="600"/>
    <tableColumn id="12" name="вынос мусора" totalsRowFunction="sum" dataDxfId="246" totalsRowDxfId="599"/>
    <tableColumn id="13" name="смена штор" totalsRowFunction="sum" dataDxfId="245" totalsRowDxfId="598"/>
    <tableColumn id="14" name="уборка б/у" totalsRowFunction="sum" dataDxfId="244" totalsRowDxfId="597"/>
    <tableColumn id="15" name="уборка с/у" totalsRowFunction="sum" dataDxfId="243" totalsRowDxfId="596"/>
    <tableColumn id="16" name="помывка в ванной" totalsRowFunction="sum" dataDxfId="242" totalsRowDxfId="595"/>
    <tableColumn id="17" name="смена постельного белья" totalsRowFunction="sum" dataDxfId="241" totalsRowDxfId="594"/>
    <tableColumn id="18" name="смена нательного белья" totalsRowFunction="sum" dataDxfId="240" totalsRowDxfId="593"/>
    <tableColumn id="19" name="обработка ногтей" totalsRowFunction="sum" dataDxfId="239" totalsRowDxfId="592"/>
    <tableColumn id="20" name="оказание помощи при стирке вещей" totalsRowFunction="sum" dataDxfId="238" totalsRowDxfId="591"/>
    <tableColumn id="21" name="стирка вещей" totalsRowFunction="sum" dataDxfId="237" totalsRowDxfId="590"/>
    <tableColumn id="22" name="доставка воды" totalsRowFunction="sum" dataDxfId="236" totalsRowDxfId="589"/>
    <tableColumn id="23" name="покупка топлива, топка печей" totalsRowFunction="sum" dataDxfId="235" totalsRowDxfId="588"/>
    <tableColumn id="24" name="сод-е в получении услуг в пр.торговли, КБО" totalsRowFunction="sum" dataDxfId="234" totalsRowDxfId="587"/>
    <tableColumn id="25" name="сод-е в организации ритуальных услуг" totalsRowFunction="sum" dataDxfId="233" totalsRowDxfId="586"/>
    <tableColumn id="26" name="присмотр за детьми" totalsRowFunction="sum" dataDxfId="232" totalsRowDxfId="585"/>
    <tableColumn id="27" name="письма" totalsRowFunction="sum" dataDxfId="231" totalsRowDxfId="584"/>
    <tableColumn id="28" name="снег" totalsRowFunction="sum" dataDxfId="230" totalsRowDxfId="583"/>
    <tableColumn id="29" name="вып. процедур, связанных с сохранением здоровья" totalsRowFunction="sum" dataDxfId="229" totalsRowDxfId="582"/>
    <tableColumn id="30" name="покупка лекарств, выписка рецептов" totalsRowFunction="sum" dataDxfId="228" totalsRowDxfId="581"/>
    <tableColumn id="31" name="сиделка" totalsRowFunction="sum" dataDxfId="227" totalsRowDxfId="580"/>
    <tableColumn id="32" name="сод-е в госпитализации" totalsRowFunction="sum" dataDxfId="226" totalsRowDxfId="579"/>
    <tableColumn id="33" name="сод-е сан-кур. лечение" totalsRowFunction="sum" dataDxfId="225" totalsRowDxfId="578"/>
    <tableColumn id="34" name="содействие в получ. тех. средств" totalsRowFunction="sum" dataDxfId="224" totalsRowDxfId="577"/>
    <tableColumn id="35" name="сод-е в провед. мед. обслед. (запись)" totalsRowFunction="sum" dataDxfId="223" totalsRowDxfId="576"/>
    <tableColumn id="36" name="консультирование по соц-мед.вопросам" totalsRowFunction="sum" dataDxfId="222" totalsRowDxfId="575"/>
    <tableColumn id="37" name="сод-е в прохождении МСЭ" totalsRowFunction="sum" dataDxfId="221" totalsRowDxfId="574"/>
    <tableColumn id="38" name="вызов врача на дом по телефону" totalsRowFunction="sum" dataDxfId="220" totalsRowDxfId="573"/>
    <tableColumn id="39" name="беседа" totalsRowFunction="sum" dataDxfId="219" totalsRowDxfId="572"/>
    <tableColumn id="40" name="соц-пед.услуги" totalsRowFunction="sum" dataDxfId="218" totalsRowDxfId="571"/>
    <tableColumn id="41" name="оказание помощи в оформлении документов" totalsRowFunction="sum" dataDxfId="217" totalsRowDxfId="570"/>
    <tableColumn id="42" name="помощь в получении юр.услуг" totalsRowFunction="sum" dataDxfId="216" totalsRowDxfId="569"/>
  </tableColumns>
  <tableStyleInfo name="Social" showFirstColumn="0" showLastColumn="0" showRowStripes="1" showColumnStripes="1"/>
</table>
</file>

<file path=xl/tables/table29.xml><?xml version="1.0" encoding="utf-8"?>
<table xmlns="http://schemas.openxmlformats.org/spreadsheetml/2006/main" id="34" name="ИюльТипСчета" displayName="ИюльТипСчета" ref="C1:C2" totalsRowShown="0" headerRowDxfId="568" dataDxfId="567">
  <autoFilter ref="C1:C2">
    <filterColumn colId="0" hiddenButton="1"/>
  </autoFilter>
  <tableColumns count="1">
    <tableColumn id="1" name="Тип Счета" dataDxfId="566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32" name="ИюльСиделка" displayName="ИюльСиделка" ref="E4:E5" totalsRowShown="0" headerRowDxfId="565" dataDxfId="564">
  <autoFilter ref="E4:E5">
    <filterColumn colId="0" hiddenButton="1"/>
  </autoFilter>
  <tableColumns count="1">
    <tableColumn id="1" name="Сиделка" dataDxfId="563"/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id="9" name="АвгустУслуги" displayName="АвгустУслуги" ref="A4:C9" totalsRowShown="0" headerRowDxfId="561" dataDxfId="560">
  <autoFilter ref="A4:C9">
    <filterColumn colId="0" hiddenButton="1"/>
    <filterColumn colId="1" hiddenButton="1"/>
    <filterColumn colId="2" hiddenButton="1"/>
  </autoFilter>
  <tableColumns count="3">
    <tableColumn id="1" name="Услуги" dataDxfId="559"/>
    <tableColumn id="2" name="б/пл." dataDxfId="558"/>
    <tableColumn id="3" name="пл." dataDxfId="557"/>
  </tableColumns>
  <tableStyleInfo name="TableStyleLight15" showFirstColumn="0" showLastColumn="0" showRowStripes="1" showColumnStripes="0"/>
</table>
</file>

<file path=xl/tables/table32.xml><?xml version="1.0" encoding="utf-8"?>
<table xmlns="http://schemas.openxmlformats.org/spreadsheetml/2006/main" id="10" name="АвгустДанные" displayName="АвгустДанные" ref="A11:AN12" headerRowDxfId="556" dataDxfId="555" totalsRowDxfId="554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553" totalsRowDxfId="552"/>
    <tableColumn id="2" name="Получатели ФИО" dataDxfId="551" totalsRowDxfId="550"/>
    <tableColumn id="3" name="Признак учета" dataDxfId="549" totalsRowDxfId="548"/>
    <tableColumn id="5" name="Итого" totalsRowFunction="sum" dataDxfId="547" totalsRowDxfId="546">
      <calculatedColumnFormula>SUM(INDIRECT(ADDRESS(ROW(АвгустДанные[[#This Row],[Итого]]),COLUMN(АвгустДанные[[#This Row],[Итого]])+2)):INDIRECT(ADDRESS(ROW(АвгустДанные[[#This Row],[Итого]]),COUNTA(АвгустДанные[#Headers]))))</calculatedColumnFormula>
    </tableColumn>
    <tableColumn id="6" name="Среднее кол-во услуг на 1 получ. Усл." totalsRowFunction="sum" dataDxfId="287" totalsRowDxfId="545">
      <calculatedColumnFormula>АвгустДанные[[#This Row],[Итого]]/COUNTIFS(АвгустДанные[Соц. Работник],АвгустДанные[[#This Row],[Соц. Работник]])</calculatedColumnFormula>
    </tableColumn>
    <tableColumn id="7" name="покупка продуктов" totalsRowFunction="sum" dataDxfId="286" totalsRowDxfId="544"/>
    <tableColumn id="9" name="помощь в приготовлении пищи" totalsRowFunction="sum" dataDxfId="285" totalsRowDxfId="543"/>
    <tableColumn id="10" name="кормление" totalsRowFunction="sum" dataDxfId="284" totalsRowDxfId="542"/>
    <tableColumn id="11" name="оплата коммунальныхи услуг и связи" totalsRowFunction="sum" dataDxfId="283" totalsRowDxfId="541"/>
    <tableColumn id="12" name="вынос мусора" totalsRowFunction="sum" dataDxfId="282" totalsRowDxfId="540"/>
    <tableColumn id="13" name="смена штор" totalsRowFunction="sum" dataDxfId="281" totalsRowDxfId="539"/>
    <tableColumn id="14" name="уборка б/у" totalsRowFunction="sum" dataDxfId="280" totalsRowDxfId="538"/>
    <tableColumn id="15" name="уборка с/у" totalsRowFunction="sum" dataDxfId="279" totalsRowDxfId="537"/>
    <tableColumn id="16" name="помывка в ванной" totalsRowFunction="sum" dataDxfId="278" totalsRowDxfId="536"/>
    <tableColumn id="17" name="смена постельного белья" totalsRowFunction="sum" dataDxfId="277" totalsRowDxfId="535"/>
    <tableColumn id="18" name="смена нательного белья" totalsRowFunction="sum" dataDxfId="276" totalsRowDxfId="534"/>
    <tableColumn id="19" name="обработка ногтей" totalsRowFunction="sum" dataDxfId="275" totalsRowDxfId="533"/>
    <tableColumn id="20" name="оказание помощи при стирке вещей" totalsRowFunction="sum" dataDxfId="274" totalsRowDxfId="532"/>
    <tableColumn id="21" name="стирка вещей" totalsRowFunction="sum" dataDxfId="273" totalsRowDxfId="531"/>
    <tableColumn id="22" name="доставка воды" totalsRowFunction="sum" dataDxfId="272" totalsRowDxfId="530"/>
    <tableColumn id="23" name="покупка топлива, топка печей" totalsRowFunction="sum" dataDxfId="271" totalsRowDxfId="529"/>
    <tableColumn id="24" name="сод-е в получении услуг в пр.торговли, КБО" totalsRowFunction="sum" dataDxfId="270" totalsRowDxfId="528"/>
    <tableColumn id="25" name="сод-е в организации ритуальных услуг" totalsRowFunction="sum" dataDxfId="269" totalsRowDxfId="527"/>
    <tableColumn id="26" name="присмотр за детьми" totalsRowFunction="sum" dataDxfId="268" totalsRowDxfId="526"/>
    <tableColumn id="27" name="письма" totalsRowFunction="sum" dataDxfId="267" totalsRowDxfId="525"/>
    <tableColumn id="28" name="снег" totalsRowFunction="sum" dataDxfId="266" totalsRowDxfId="524"/>
    <tableColumn id="29" name="вып. процедур, связанных с сохранением здоровья" totalsRowFunction="sum" dataDxfId="265" totalsRowDxfId="523"/>
    <tableColumn id="30" name="покупка лекарств, выписка рецептов" totalsRowFunction="sum" dataDxfId="264" totalsRowDxfId="522"/>
    <tableColumn id="31" name="сиделка" totalsRowFunction="sum" dataDxfId="263" totalsRowDxfId="521"/>
    <tableColumn id="32" name="сод-е в госпитализации" totalsRowFunction="sum" dataDxfId="262" totalsRowDxfId="520"/>
    <tableColumn id="33" name="сод-е сан-кур. лечение" totalsRowFunction="sum" dataDxfId="261" totalsRowDxfId="519"/>
    <tableColumn id="34" name="содействие в получ. тех. средств" totalsRowFunction="sum" dataDxfId="260" totalsRowDxfId="518"/>
    <tableColumn id="35" name="сод-е в провед. мед. обслед. (запись)" totalsRowFunction="sum" dataDxfId="259" totalsRowDxfId="517"/>
    <tableColumn id="36" name="консультирование по соц-мед.вопросам" totalsRowFunction="sum" dataDxfId="258" totalsRowDxfId="516"/>
    <tableColumn id="37" name="сод-е в прохождении МСЭ" totalsRowFunction="sum" dataDxfId="257" totalsRowDxfId="515"/>
    <tableColumn id="38" name="вызов врача на дом по телефону" totalsRowFunction="sum" dataDxfId="256" totalsRowDxfId="514"/>
    <tableColumn id="39" name="беседа" totalsRowFunction="sum" dataDxfId="255" totalsRowDxfId="513"/>
    <tableColumn id="40" name="соц-пед.услуги" totalsRowFunction="sum" dataDxfId="254" totalsRowDxfId="512"/>
    <tableColumn id="41" name="оказание помощи в оформлении документов" totalsRowFunction="sum" dataDxfId="253" totalsRowDxfId="511"/>
    <tableColumn id="42" name="помощь в получении юр.услуг" totalsRowFunction="sum" dataDxfId="252" totalsRowDxfId="510"/>
  </tableColumns>
  <tableStyleInfo name="Social" showFirstColumn="0" showLastColumn="0" showRowStripes="1" showColumnStripes="1"/>
</table>
</file>

<file path=xl/tables/table33.xml><?xml version="1.0" encoding="utf-8"?>
<table xmlns="http://schemas.openxmlformats.org/spreadsheetml/2006/main" id="11" name="АвгустТипСчета" displayName="АвгустТипСчета" ref="C1:C2" totalsRowShown="0" headerRowDxfId="509" dataDxfId="508">
  <autoFilter ref="C1:C2">
    <filterColumn colId="0" hiddenButton="1"/>
  </autoFilter>
  <tableColumns count="1">
    <tableColumn id="1" name="Тип Счета" dataDxfId="507"/>
  </tableColumns>
  <tableStyleInfo name="TableStyleLight16" showFirstColumn="0" showLastColumn="0" showRowStripes="1" showColumnStripes="0"/>
</table>
</file>

<file path=xl/tables/table34.xml><?xml version="1.0" encoding="utf-8"?>
<table xmlns="http://schemas.openxmlformats.org/spreadsheetml/2006/main" id="33" name="АвгустСиделка" displayName="АвгустСиделка" ref="E4:E5" totalsRowShown="0" headerRowDxfId="506" dataDxfId="505">
  <autoFilter ref="E4:E5">
    <filterColumn colId="0" hiddenButton="1"/>
  </autoFilter>
  <tableColumns count="1">
    <tableColumn id="1" name="Сиделка" dataDxfId="504"/>
  </tableColumns>
  <tableStyleInfo name="TableStyleLight15" showFirstColumn="0" showLastColumn="0" showRowStripes="1" showColumnStripes="0"/>
</table>
</file>

<file path=xl/tables/table35.xml><?xml version="1.0" encoding="utf-8"?>
<table xmlns="http://schemas.openxmlformats.org/spreadsheetml/2006/main" id="19" name="СентябрьУслуги" displayName="СентябрьУслуги" ref="A4:C9" totalsRowShown="0" headerRowDxfId="502" dataDxfId="501">
  <autoFilter ref="A4:C9">
    <filterColumn colId="0" hiddenButton="1"/>
    <filterColumn colId="1" hiddenButton="1"/>
    <filterColumn colId="2" hiddenButton="1"/>
  </autoFilter>
  <tableColumns count="3">
    <tableColumn id="1" name="Услуги" dataDxfId="500"/>
    <tableColumn id="2" name="б/пл." dataDxfId="499"/>
    <tableColumn id="3" name="пл." dataDxfId="498"/>
  </tableColumns>
  <tableStyleInfo name="TableStyleLight15" showFirstColumn="0" showLastColumn="0" showRowStripes="1" showColumnStripes="0"/>
</table>
</file>

<file path=xl/tables/table36.xml><?xml version="1.0" encoding="utf-8"?>
<table xmlns="http://schemas.openxmlformats.org/spreadsheetml/2006/main" id="20" name="СентябрьДанные" displayName="СентябрьДанные" ref="A11:AN12" totalsRowShown="0" headerRowDxfId="497" dataDxfId="496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495"/>
    <tableColumn id="2" name="Получатели ФИО" dataDxfId="494"/>
    <tableColumn id="3" name="Признак учета" dataDxfId="493"/>
    <tableColumn id="5" name="Итого" dataDxfId="492">
      <calculatedColumnFormula>SUM(INDIRECT(ADDRESS(ROW(АвгустДанные[[#This Row],[Итого]]),COLUMN(АвгустДанные[[#This Row],[Итого]])+2)):INDIRECT(ADDRESS(ROW(АвгустДанные[[#This Row],[Итого]]),COUNTA(АвгустДанные[#Headers]))))</calculatedColumnFormula>
    </tableColumn>
    <tableColumn id="6" name="Среднее кол-во услуг на 1 получ. Усл." dataDxfId="323">
      <calculatedColumnFormula>АвгустДанные[[#This Row],[Итого]]/COUNTIFS(АвгустДанные[Соц. Работник],АвгустДанные[[#This Row],[Соц. Работник]])</calculatedColumnFormula>
    </tableColumn>
    <tableColumn id="7" name="покупка продуктов" dataDxfId="322"/>
    <tableColumn id="9" name="помощь в приготовлении пищи" dataDxfId="321"/>
    <tableColumn id="10" name="кормление" dataDxfId="320"/>
    <tableColumn id="11" name="оплата коммунальныхи услуг и связи" dataDxfId="319"/>
    <tableColumn id="12" name="вынос мусора" dataDxfId="318"/>
    <tableColumn id="13" name="смена штор" dataDxfId="317"/>
    <tableColumn id="14" name="уборка б/у" dataDxfId="316"/>
    <tableColumn id="15" name="уборка с/у" dataDxfId="315"/>
    <tableColumn id="16" name="помывка в ванной" dataDxfId="314"/>
    <tableColumn id="17" name="смена постельного белья" dataDxfId="313"/>
    <tableColumn id="18" name="смена нательного белья" dataDxfId="312"/>
    <tableColumn id="19" name="обработка ногтей" dataDxfId="311"/>
    <tableColumn id="20" name="оказание помощи при стирке вещей" dataDxfId="310"/>
    <tableColumn id="21" name="стирка вещей" dataDxfId="309"/>
    <tableColumn id="22" name="доставка воды" dataDxfId="308"/>
    <tableColumn id="23" name="покупка топлива, топка печей" dataDxfId="307"/>
    <tableColumn id="24" name="сод-е в получении услуг в пр.торговли, КБО" dataDxfId="306"/>
    <tableColumn id="25" name="сод-е в организации ритуальных услуг" dataDxfId="305"/>
    <tableColumn id="26" name="присмотр за детьми" dataDxfId="304"/>
    <tableColumn id="27" name="письма" dataDxfId="303"/>
    <tableColumn id="28" name="снег" dataDxfId="302"/>
    <tableColumn id="29" name="вып. процедур, связанных с сохранением здоровья" dataDxfId="301"/>
    <tableColumn id="30" name="покупка лекарств, выписка рецептов" dataDxfId="300"/>
    <tableColumn id="31" name="сиделка" dataDxfId="299"/>
    <tableColumn id="32" name="сод-е в госпитализации" dataDxfId="298"/>
    <tableColumn id="33" name="сод-е сан-кур. лечение" dataDxfId="297"/>
    <tableColumn id="34" name="содействие в получ. тех. средств" dataDxfId="296"/>
    <tableColumn id="35" name="сод-е в провед. мед. обслед. (запись)" dataDxfId="295"/>
    <tableColumn id="36" name="консультирование по соц-мед.вопросам" dataDxfId="294"/>
    <tableColumn id="37" name="сод-е в прохождении МСЭ" dataDxfId="293"/>
    <tableColumn id="38" name="вызов врача на дом по телефону" dataDxfId="292"/>
    <tableColumn id="39" name="беседа" dataDxfId="291"/>
    <tableColumn id="40" name="соц-пед.услуги" dataDxfId="290"/>
    <tableColumn id="41" name="оказание помощи в оформлении документов" dataDxfId="289"/>
    <tableColumn id="42" name="помощь в получении юр.услуг" dataDxfId="288"/>
  </tableColumns>
  <tableStyleInfo name="Social" showFirstColumn="0" showLastColumn="0" showRowStripes="1" showColumnStripes="1"/>
</table>
</file>

<file path=xl/tables/table37.xml><?xml version="1.0" encoding="utf-8"?>
<table xmlns="http://schemas.openxmlformats.org/spreadsheetml/2006/main" id="36" name="СентябрьТипСчета" displayName="СентябрьТипСчета" ref="C1:C2" totalsRowShown="0" headerRowDxfId="491" dataDxfId="490">
  <autoFilter ref="C1:C2">
    <filterColumn colId="0" hiddenButton="1"/>
  </autoFilter>
  <tableColumns count="1">
    <tableColumn id="1" name="Тип Счета" dataDxfId="489"/>
  </tableColumns>
  <tableStyleInfo name="TableStyleLight16" showFirstColumn="0" showLastColumn="0" showRowStripes="1" showColumnStripes="0"/>
</table>
</file>

<file path=xl/tables/table38.xml><?xml version="1.0" encoding="utf-8"?>
<table xmlns="http://schemas.openxmlformats.org/spreadsheetml/2006/main" id="35" name="СентябрьСиделка" displayName="СентябрьСиделка" ref="E4:E5" totalsRowShown="0" headerRowDxfId="488" dataDxfId="487">
  <autoFilter ref="E4:E5">
    <filterColumn colId="0" hiddenButton="1"/>
  </autoFilter>
  <tableColumns count="1">
    <tableColumn id="1" name="Сиделка" dataDxfId="486"/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21" name="ОктябрьУслуги" displayName="ОктябрьУслуги" ref="A4:C9" totalsRowShown="0" headerRowDxfId="484" dataDxfId="483">
  <autoFilter ref="A4:C9">
    <filterColumn colId="0" hiddenButton="1"/>
    <filterColumn colId="1" hiddenButton="1"/>
    <filterColumn colId="2" hiddenButton="1"/>
  </autoFilter>
  <tableColumns count="3">
    <tableColumn id="1" name="Услуги" dataDxfId="482"/>
    <tableColumn id="2" name="б/пл." dataDxfId="481"/>
    <tableColumn id="3" name="пл." dataDxfId="480"/>
  </tableColumns>
  <tableStyleInfo name="TableStyleLight15" showFirstColumn="0" showLastColumn="0" showRowStripes="1" showColumnStripes="0"/>
</table>
</file>

<file path=xl/tables/table40.xml><?xml version="1.0" encoding="utf-8"?>
<table xmlns="http://schemas.openxmlformats.org/spreadsheetml/2006/main" id="22" name="ОктябрьДанные" displayName="ОктябрьДанные" ref="A11:AN12" totalsRowShown="0" headerRowDxfId="479" dataDxfId="478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477"/>
    <tableColumn id="2" name="Получатели ФИО" dataDxfId="476"/>
    <tableColumn id="3" name="Признак учета" dataDxfId="475"/>
    <tableColumn id="5" name="Итого" dataDxfId="474">
      <calculatedColumnFormula>SUM(INDIRECT(ADDRESS(ROW(ОктябрьДанные[[#This Row],[Итого]]),COLUMN(ОктябрьДанные[[#This Row],[Итого]])+2)):INDIRECT(ADDRESS(ROW(ОктябрьДанные[[#This Row],[Итого]]),COUNTA(ОктябрьДанные[#Headers]))))</calculatedColumnFormula>
    </tableColumn>
    <tableColumn id="6" name="Среднее кол-во услуг на 1 получ. Усл." dataDxfId="359">
      <calculatedColumnFormula>ОктябрьДанные[[#This Row],[Итого]]/COUNTIFS(ОктябрьДанные[Соц. Работник],ОктябрьДанные[[#This Row],[Соц. Работник]])</calculatedColumnFormula>
    </tableColumn>
    <tableColumn id="7" name="покупка продуктов" dataDxfId="358"/>
    <tableColumn id="9" name="помощь в приготовлении пищи" dataDxfId="357"/>
    <tableColumn id="10" name="кормление" dataDxfId="356"/>
    <tableColumn id="11" name="оплата коммунальныхи услуг и связи" dataDxfId="355"/>
    <tableColumn id="12" name="вынос мусора" dataDxfId="354"/>
    <tableColumn id="13" name="смена штор" dataDxfId="353"/>
    <tableColumn id="14" name="уборка б/у" dataDxfId="352"/>
    <tableColumn id="15" name="уборка с/у" dataDxfId="351"/>
    <tableColumn id="16" name="помывка в ванной" dataDxfId="350"/>
    <tableColumn id="17" name="смена постельного белья" dataDxfId="349"/>
    <tableColumn id="18" name="смена нательного белья" dataDxfId="348"/>
    <tableColumn id="19" name="обработка ногтей" dataDxfId="347"/>
    <tableColumn id="20" name="оказание помощи при стирке вещей" dataDxfId="346"/>
    <tableColumn id="21" name="стирка вещей" dataDxfId="345"/>
    <tableColumn id="22" name="доставка воды" dataDxfId="344"/>
    <tableColumn id="23" name="покупка топлива, топка печей" dataDxfId="343"/>
    <tableColumn id="24" name="сод-е в получении услуг в пр.торговли, КБО" dataDxfId="342"/>
    <tableColumn id="25" name="сод-е в организации ритуальных услуг" dataDxfId="341"/>
    <tableColumn id="26" name="присмотр за детьми" dataDxfId="340"/>
    <tableColumn id="27" name="письма" dataDxfId="339"/>
    <tableColumn id="28" name="снег" dataDxfId="338"/>
    <tableColumn id="29" name="вып. процедур, связанных с сохранением здоровья" dataDxfId="337"/>
    <tableColumn id="30" name="покупка лекарств, выписка рецептов" dataDxfId="336"/>
    <tableColumn id="31" name="сиделка" dataDxfId="335"/>
    <tableColumn id="32" name="сод-е в госпитализации" dataDxfId="334"/>
    <tableColumn id="33" name="сод-е сан-кур. лечение" dataDxfId="333"/>
    <tableColumn id="34" name="содействие в получ. тех. средств" dataDxfId="332"/>
    <tableColumn id="35" name="сод-е в провед. мед. обслед. (запись)" dataDxfId="331"/>
    <tableColumn id="36" name="консультирование по соц-мед.вопросам" dataDxfId="330"/>
    <tableColumn id="37" name="сод-е в прохождении МСЭ" dataDxfId="329"/>
    <tableColumn id="38" name="вызов врача на дом по телефону" dataDxfId="328"/>
    <tableColumn id="39" name="беседа" dataDxfId="327"/>
    <tableColumn id="40" name="соц-пед.услуги" dataDxfId="326"/>
    <tableColumn id="41" name="оказание помощи в оформлении документов" dataDxfId="325"/>
    <tableColumn id="42" name="помощь в получении юр.услуг" dataDxfId="324"/>
  </tableColumns>
  <tableStyleInfo name="Social" showFirstColumn="0" showLastColumn="0" showRowStripes="1" showColumnStripes="1"/>
</table>
</file>

<file path=xl/tables/table41.xml><?xml version="1.0" encoding="utf-8"?>
<table xmlns="http://schemas.openxmlformats.org/spreadsheetml/2006/main" id="37" name="ОктябрьТипСчета" displayName="ОктябрьТипСчета" ref="C1:C2" totalsRowShown="0" headerRowDxfId="473" dataDxfId="472">
  <autoFilter ref="C1:C2">
    <filterColumn colId="0" hiddenButton="1"/>
  </autoFilter>
  <tableColumns count="1">
    <tableColumn id="1" name="Тип Счета" dataDxfId="471"/>
  </tableColumns>
  <tableStyleInfo name="TableStyleLight16" showFirstColumn="0" showLastColumn="0" showRowStripes="1" showColumnStripes="0"/>
</table>
</file>

<file path=xl/tables/table42.xml><?xml version="1.0" encoding="utf-8"?>
<table xmlns="http://schemas.openxmlformats.org/spreadsheetml/2006/main" id="48" name="ОктябрьСиделка" displayName="ОктябрьСиделка" ref="E4:E5" totalsRowShown="0" headerRowDxfId="470" dataDxfId="469">
  <autoFilter ref="E4:E5">
    <filterColumn colId="0" hiddenButton="1"/>
  </autoFilter>
  <tableColumns count="1">
    <tableColumn id="1" name="Сиделка" dataDxfId="468"/>
  </tableColumns>
  <tableStyleInfo name="TableStyleLight15" showFirstColumn="0" showLastColumn="0" showRowStripes="1" showColumnStripes="0"/>
</table>
</file>

<file path=xl/tables/table43.xml><?xml version="1.0" encoding="utf-8"?>
<table xmlns="http://schemas.openxmlformats.org/spreadsheetml/2006/main" id="23" name="НоябрьУслуги" displayName="НоябрьУслуги" ref="A4:C9" totalsRowShown="0" headerRowDxfId="466" dataDxfId="465">
  <autoFilter ref="A4:C9">
    <filterColumn colId="0" hiddenButton="1"/>
    <filterColumn colId="1" hiddenButton="1"/>
    <filterColumn colId="2" hiddenButton="1"/>
  </autoFilter>
  <tableColumns count="3">
    <tableColumn id="1" name="Услуги" dataDxfId="464"/>
    <tableColumn id="2" name="б/пл." dataDxfId="463"/>
    <tableColumn id="3" name="пл." dataDxfId="462"/>
  </tableColumns>
  <tableStyleInfo name="TableStyleLight15" showFirstColumn="0" showLastColumn="0" showRowStripes="1" showColumnStripes="0"/>
</table>
</file>

<file path=xl/tables/table44.xml><?xml version="1.0" encoding="utf-8"?>
<table xmlns="http://schemas.openxmlformats.org/spreadsheetml/2006/main" id="24" name="НоябрьДанные" displayName="НоябрьДанные" ref="A11:AN12" totalsRowShown="0" headerRowDxfId="461" dataDxfId="460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459"/>
    <tableColumn id="2" name="Получатели ФИО" dataDxfId="458"/>
    <tableColumn id="3" name="Признак учета" dataDxfId="457"/>
    <tableColumn id="5" name="Итого" dataDxfId="456">
      <calculatedColumnFormula>SUM(INDIRECT(ADDRESS(ROW(НоябрьДанные[[#This Row],[Итого]]),COLUMN(НоябрьДанные[[#This Row],[Итого]])+2)):INDIRECT(ADDRESS(ROW(НоябрьДанные[[#This Row],[Итого]]),COUNTA(НоябрьДанные[#Headers]))))</calculatedColumnFormula>
    </tableColumn>
    <tableColumn id="6" name="Среднее кол-во услуг на 1 получ. Усл." dataDxfId="395">
      <calculatedColumnFormula>НоябрьДанные[[#This Row],[Итого]]/COUNTIFS(НоябрьДанные[Соц. Работник],НоябрьДанные[[#This Row],[Соц. Работник]])</calculatedColumnFormula>
    </tableColumn>
    <tableColumn id="7" name="покупка продуктов" dataDxfId="394"/>
    <tableColumn id="9" name="помощь в приготовлении пищи" dataDxfId="393"/>
    <tableColumn id="10" name="кормление" dataDxfId="392"/>
    <tableColumn id="11" name="оплата коммунальныхи услуг и связи" dataDxfId="391"/>
    <tableColumn id="12" name="вынос мусора" dataDxfId="390"/>
    <tableColumn id="13" name="смена штор" dataDxfId="389"/>
    <tableColumn id="14" name="уборка б/у" dataDxfId="388"/>
    <tableColumn id="15" name="уборка с/у" dataDxfId="387"/>
    <tableColumn id="16" name="помывка в ванной" dataDxfId="386"/>
    <tableColumn id="17" name="смена постельного белья" dataDxfId="385"/>
    <tableColumn id="18" name="смена нательного белья" dataDxfId="384"/>
    <tableColumn id="19" name="обработка ногтей" dataDxfId="383"/>
    <tableColumn id="20" name="оказание помощи при стирке вещей" dataDxfId="382"/>
    <tableColumn id="21" name="стирка вещей" dataDxfId="381"/>
    <tableColumn id="22" name="доставка воды" dataDxfId="380"/>
    <tableColumn id="23" name="покупка топлива, топка печей" dataDxfId="379"/>
    <tableColumn id="24" name="сод-е в получении услуг в пр.торговли, КБО" dataDxfId="378"/>
    <tableColumn id="25" name="сод-е в организации ритуальных услуг" dataDxfId="377"/>
    <tableColumn id="26" name="присмотр за детьми" dataDxfId="376"/>
    <tableColumn id="27" name="письма" dataDxfId="375"/>
    <tableColumn id="28" name="снег" dataDxfId="374"/>
    <tableColumn id="29" name="вып. процедур, связанных с сохранением здоровья" dataDxfId="373"/>
    <tableColumn id="30" name="покупка лекарств, выписка рецептов" dataDxfId="372"/>
    <tableColumn id="31" name="сиделка" dataDxfId="371"/>
    <tableColumn id="32" name="сод-е в госпитализации" dataDxfId="370"/>
    <tableColumn id="33" name="сод-е сан-кур. лечение" dataDxfId="369"/>
    <tableColumn id="34" name="содействие в получ. тех. средств" dataDxfId="368"/>
    <tableColumn id="35" name="сод-е в провед. мед. обслед. (запись)" dataDxfId="367"/>
    <tableColumn id="36" name="консультирование по соц-мед.вопросам" dataDxfId="366"/>
    <tableColumn id="37" name="сод-е в прохождении МСЭ" dataDxfId="365"/>
    <tableColumn id="38" name="вызов врача на дом по телефону" dataDxfId="364"/>
    <tableColumn id="39" name="беседа" dataDxfId="363"/>
    <tableColumn id="40" name="соц-пед.услуги" dataDxfId="362"/>
    <tableColumn id="41" name="оказание помощи в оформлении документов" dataDxfId="361"/>
    <tableColumn id="42" name="помощь в получении юр.услуг" dataDxfId="360"/>
  </tableColumns>
  <tableStyleInfo name="Social" showFirstColumn="0" showLastColumn="0" showRowStripes="1" showColumnStripes="1"/>
</table>
</file>

<file path=xl/tables/table45.xml><?xml version="1.0" encoding="utf-8"?>
<table xmlns="http://schemas.openxmlformats.org/spreadsheetml/2006/main" id="38" name="НоябрьТипСчета" displayName="НоябрьТипСчета" ref="C1:C2" totalsRowShown="0" headerRowDxfId="455" dataDxfId="454">
  <autoFilter ref="C1:C2">
    <filterColumn colId="0" hiddenButton="1"/>
  </autoFilter>
  <tableColumns count="1">
    <tableColumn id="1" name="Тип Счета" dataDxfId="453"/>
  </tableColumns>
  <tableStyleInfo name="TableStyleLight16" showFirstColumn="0" showLastColumn="0" showRowStripes="1" showColumnStripes="0"/>
</table>
</file>

<file path=xl/tables/table46.xml><?xml version="1.0" encoding="utf-8"?>
<table xmlns="http://schemas.openxmlformats.org/spreadsheetml/2006/main" id="49" name="НоябрьСиделка" displayName="НоябрьСиделка" ref="E4:E5" totalsRowShown="0" headerRowDxfId="452" dataDxfId="451">
  <autoFilter ref="E4:E5">
    <filterColumn colId="0" hiddenButton="1"/>
  </autoFilter>
  <tableColumns count="1">
    <tableColumn id="1" name="Сиделка" dataDxfId="450"/>
  </tableColumns>
  <tableStyleInfo name="TableStyleLight15" showFirstColumn="0" showLastColumn="0" showRowStripes="1" showColumnStripes="0"/>
</table>
</file>

<file path=xl/tables/table47.xml><?xml version="1.0" encoding="utf-8"?>
<table xmlns="http://schemas.openxmlformats.org/spreadsheetml/2006/main" id="25" name="ДекабрьУслуги" displayName="ДекабрьУслуги" ref="A4:C9" totalsRowShown="0" headerRowDxfId="448" dataDxfId="447">
  <autoFilter ref="A4:C9">
    <filterColumn colId="0" hiddenButton="1"/>
    <filterColumn colId="1" hiddenButton="1"/>
    <filterColumn colId="2" hiddenButton="1"/>
  </autoFilter>
  <tableColumns count="3">
    <tableColumn id="1" name="Услуги" dataDxfId="446"/>
    <tableColumn id="2" name="б/пл." dataDxfId="445"/>
    <tableColumn id="3" name="пл." dataDxfId="444"/>
  </tableColumns>
  <tableStyleInfo name="TableStyleLight15" showFirstColumn="0" showLastColumn="0" showRowStripes="1" showColumnStripes="0"/>
</table>
</file>

<file path=xl/tables/table48.xml><?xml version="1.0" encoding="utf-8"?>
<table xmlns="http://schemas.openxmlformats.org/spreadsheetml/2006/main" id="26" name="ДекабрьДанные" displayName="ДекабрьДанные" ref="A11:AN12" totalsRowShown="0" headerRowDxfId="443" dataDxfId="44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441"/>
    <tableColumn id="2" name="Получатели ФИО" dataDxfId="440"/>
    <tableColumn id="3" name="Признак учета" dataDxfId="439"/>
    <tableColumn id="5" name="Итого" dataDxfId="438">
      <calculatedColumnFormula>SUM(INDIRECT(ADDRESS(ROW(ДекабрьДанные[[#This Row],[Итого]]),COLUMN(ДекабрьДанные[[#This Row],[Итого]])+2)):INDIRECT(ADDRESS(ROW(ДекабрьДанные[[#This Row],[Итого]]),COUNTA(ДекабрьДанные[#Headers]))))</calculatedColumnFormula>
    </tableColumn>
    <tableColumn id="6" name="Среднее кол-во услуг на 1 получ. Усл." dataDxfId="431">
      <calculatedColumnFormula>ДекабрьДанные[[#This Row],[Итого]]/COUNTIFS(ДекабрьДанные[Соц. Работник],ДекабрьДанные[[#This Row],[Соц. Работник]])</calculatedColumnFormula>
    </tableColumn>
    <tableColumn id="7" name="покупка продуктов" dataDxfId="430"/>
    <tableColumn id="9" name="помощь в приготовлении пищи" dataDxfId="429"/>
    <tableColumn id="10" name="кормление" dataDxfId="428"/>
    <tableColumn id="11" name="оплата коммунальныхи услуг и связи" dataDxfId="427"/>
    <tableColumn id="12" name="вынос мусора" dataDxfId="426"/>
    <tableColumn id="13" name="смена штор" dataDxfId="425"/>
    <tableColumn id="14" name="уборка б/у" dataDxfId="424"/>
    <tableColumn id="15" name="уборка с/у" dataDxfId="423"/>
    <tableColumn id="16" name="помывка в ванной" dataDxfId="422"/>
    <tableColumn id="17" name="смена постельного белья" dataDxfId="421"/>
    <tableColumn id="18" name="смена нательного белья" dataDxfId="420"/>
    <tableColumn id="19" name="обработка ногтей" dataDxfId="419"/>
    <tableColumn id="20" name="оказание помощи при стирке вещей" dataDxfId="418"/>
    <tableColumn id="21" name="стирка вещей" dataDxfId="417"/>
    <tableColumn id="22" name="доставка воды" dataDxfId="416"/>
    <tableColumn id="23" name="покупка топлива, топка печей" dataDxfId="415"/>
    <tableColumn id="24" name="сод-е в получении услуг в пр.торговли, КБО" dataDxfId="414"/>
    <tableColumn id="25" name="сод-е в организации ритуальных услуг" dataDxfId="413"/>
    <tableColumn id="26" name="присмотр за детьми" dataDxfId="412"/>
    <tableColumn id="27" name="письма" dataDxfId="411"/>
    <tableColumn id="28" name="снег" dataDxfId="410"/>
    <tableColumn id="29" name="вып. процедур, связанных с сохранением здоровья" dataDxfId="409"/>
    <tableColumn id="30" name="покупка лекарств, выписка рецептов" dataDxfId="408"/>
    <tableColumn id="31" name="сиделка" dataDxfId="407"/>
    <tableColumn id="32" name="сод-е в госпитализации" dataDxfId="406"/>
    <tableColumn id="33" name="сод-е сан-кур. лечение" dataDxfId="405"/>
    <tableColumn id="34" name="содействие в получ. тех. средств" dataDxfId="404"/>
    <tableColumn id="35" name="сод-е в провед. мед. обслед. (запись)" dataDxfId="403"/>
    <tableColumn id="36" name="консультирование по соц-мед.вопросам" dataDxfId="402"/>
    <tableColumn id="37" name="сод-е в прохождении МСЭ" dataDxfId="401"/>
    <tableColumn id="38" name="вызов врача на дом по телефону" dataDxfId="400"/>
    <tableColumn id="39" name="беседа" dataDxfId="399"/>
    <tableColumn id="40" name="соц-пед.услуги" dataDxfId="398"/>
    <tableColumn id="41" name="оказание помощи в оформлении документов" dataDxfId="397"/>
    <tableColumn id="42" name="помощь в получении юр.услуг" dataDxfId="396"/>
  </tableColumns>
  <tableStyleInfo name="Social" showFirstColumn="0" showLastColumn="0" showRowStripes="1" showColumnStripes="1"/>
</table>
</file>

<file path=xl/tables/table49.xml><?xml version="1.0" encoding="utf-8"?>
<table xmlns="http://schemas.openxmlformats.org/spreadsheetml/2006/main" id="39" name="ДекабрьТипСчета" displayName="ДекабрьТипСчета" ref="C1:C2" totalsRowShown="0" headerRowDxfId="437" dataDxfId="436">
  <autoFilter ref="C1:C2">
    <filterColumn colId="0" hiddenButton="1"/>
  </autoFilter>
  <tableColumns count="1">
    <tableColumn id="1" name="Тип Счета" dataDxfId="435"/>
  </tableColumns>
  <tableStyleInfo name="TableStyleLight16" showFirstColumn="0" showLastColumn="0" showRowStripes="1" showColumnStripes="0"/>
</table>
</file>

<file path=xl/tables/table50.xml><?xml version="1.0" encoding="utf-8"?>
<table xmlns="http://schemas.openxmlformats.org/spreadsheetml/2006/main" id="50" name="ДекабрьСиделка" displayName="ДекабрьСиделка" ref="E4:E5" totalsRowShown="0" headerRowDxfId="434" dataDxfId="433">
  <autoFilter ref="E4:E5">
    <filterColumn colId="0" hiddenButton="1"/>
  </autoFilter>
  <tableColumns count="1">
    <tableColumn id="1" name="Сиделка" dataDxfId="43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7" Type="http://schemas.microsoft.com/office/2007/relationships/slicer" Target="../slicers/slicer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microsoft.com/office/2007/relationships/slicer" Target="../slicers/slicer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microsoft.com/office/2007/relationships/slicer" Target="../slicers/slicer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7" Type="http://schemas.microsoft.com/office/2007/relationships/slicer" Target="../slicers/slicer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42.xml"/><Relationship Id="rId5" Type="http://schemas.openxmlformats.org/officeDocument/2006/relationships/table" Target="../tables/table41.xml"/><Relationship Id="rId4" Type="http://schemas.openxmlformats.org/officeDocument/2006/relationships/table" Target="../tables/table4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7" Type="http://schemas.microsoft.com/office/2007/relationships/slicer" Target="../slicers/slicer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46.xml"/><Relationship Id="rId5" Type="http://schemas.openxmlformats.org/officeDocument/2006/relationships/table" Target="../tables/table45.xml"/><Relationship Id="rId4" Type="http://schemas.openxmlformats.org/officeDocument/2006/relationships/table" Target="../tables/table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7" Type="http://schemas.microsoft.com/office/2007/relationships/slicer" Target="../slicers/slicer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36"/>
  <sheetViews>
    <sheetView topLeftCell="A7" workbookViewId="0">
      <selection activeCell="A37" sqref="A37"/>
    </sheetView>
  </sheetViews>
  <sheetFormatPr defaultColWidth="9.140625" defaultRowHeight="15.75" x14ac:dyDescent="0.25"/>
  <cols>
    <col min="1" max="1" width="54.5703125" style="1" customWidth="1"/>
    <col min="2" max="2" width="27.42578125" style="1" customWidth="1"/>
    <col min="3" max="5" width="9.140625" style="1"/>
    <col min="6" max="6" width="38.85546875" style="1" customWidth="1"/>
    <col min="7" max="16384" width="9.140625" style="1"/>
  </cols>
  <sheetData>
    <row r="1" spans="1:6" x14ac:dyDescent="0.25">
      <c r="A1" s="2" t="s">
        <v>0</v>
      </c>
      <c r="B1" s="17" t="s">
        <v>67</v>
      </c>
      <c r="F1" s="2" t="s">
        <v>68</v>
      </c>
    </row>
    <row r="2" spans="1:6" x14ac:dyDescent="0.25">
      <c r="A2" s="1" t="s">
        <v>1</v>
      </c>
      <c r="B2" s="1" t="s">
        <v>58</v>
      </c>
      <c r="F2" s="1" t="s">
        <v>58</v>
      </c>
    </row>
    <row r="3" spans="1:6" x14ac:dyDescent="0.25">
      <c r="A3" s="1" t="s">
        <v>2</v>
      </c>
      <c r="B3" s="1" t="s">
        <v>58</v>
      </c>
      <c r="F3" s="1" t="s">
        <v>59</v>
      </c>
    </row>
    <row r="4" spans="1:6" x14ac:dyDescent="0.25">
      <c r="A4" s="1" t="s">
        <v>3</v>
      </c>
      <c r="B4" s="1" t="s">
        <v>58</v>
      </c>
      <c r="F4" s="1" t="s">
        <v>60</v>
      </c>
    </row>
    <row r="5" spans="1:6" x14ac:dyDescent="0.25">
      <c r="A5" s="1" t="s">
        <v>4</v>
      </c>
      <c r="B5" s="1" t="s">
        <v>58</v>
      </c>
      <c r="F5" s="1" t="s">
        <v>61</v>
      </c>
    </row>
    <row r="6" spans="1:6" x14ac:dyDescent="0.25">
      <c r="A6" s="1" t="s">
        <v>5</v>
      </c>
      <c r="B6" s="1" t="s">
        <v>58</v>
      </c>
      <c r="F6" s="1" t="s">
        <v>62</v>
      </c>
    </row>
    <row r="7" spans="1:6" x14ac:dyDescent="0.25">
      <c r="A7" s="1" t="s">
        <v>6</v>
      </c>
      <c r="B7" s="1" t="s">
        <v>58</v>
      </c>
    </row>
    <row r="8" spans="1:6" x14ac:dyDescent="0.25">
      <c r="A8" s="1" t="s">
        <v>7</v>
      </c>
      <c r="B8" s="1" t="s">
        <v>58</v>
      </c>
    </row>
    <row r="9" spans="1:6" x14ac:dyDescent="0.25">
      <c r="A9" s="1" t="s">
        <v>8</v>
      </c>
      <c r="B9" s="1" t="s">
        <v>58</v>
      </c>
    </row>
    <row r="10" spans="1:6" x14ac:dyDescent="0.25">
      <c r="A10" s="1" t="s">
        <v>9</v>
      </c>
      <c r="B10" s="1" t="s">
        <v>58</v>
      </c>
    </row>
    <row r="11" spans="1:6" x14ac:dyDescent="0.25">
      <c r="A11" s="1" t="s">
        <v>10</v>
      </c>
      <c r="B11" s="1" t="s">
        <v>58</v>
      </c>
    </row>
    <row r="12" spans="1:6" x14ac:dyDescent="0.25">
      <c r="A12" s="1" t="s">
        <v>11</v>
      </c>
      <c r="B12" s="1" t="s">
        <v>58</v>
      </c>
    </row>
    <row r="13" spans="1:6" x14ac:dyDescent="0.25">
      <c r="A13" s="1" t="s">
        <v>12</v>
      </c>
      <c r="B13" s="1" t="s">
        <v>58</v>
      </c>
    </row>
    <row r="14" spans="1:6" x14ac:dyDescent="0.25">
      <c r="A14" s="1" t="s">
        <v>13</v>
      </c>
      <c r="B14" s="1" t="s">
        <v>58</v>
      </c>
    </row>
    <row r="15" spans="1:6" x14ac:dyDescent="0.25">
      <c r="A15" s="1" t="s">
        <v>14</v>
      </c>
      <c r="B15" s="1" t="s">
        <v>58</v>
      </c>
    </row>
    <row r="16" spans="1:6" x14ac:dyDescent="0.25">
      <c r="A16" s="1" t="s">
        <v>15</v>
      </c>
      <c r="B16" s="1" t="s">
        <v>58</v>
      </c>
    </row>
    <row r="17" spans="1:2" x14ac:dyDescent="0.25">
      <c r="A17" s="1" t="s">
        <v>16</v>
      </c>
      <c r="B17" s="1" t="s">
        <v>58</v>
      </c>
    </row>
    <row r="18" spans="1:2" x14ac:dyDescent="0.25">
      <c r="A18" s="1" t="s">
        <v>17</v>
      </c>
      <c r="B18" s="1" t="s">
        <v>58</v>
      </c>
    </row>
    <row r="19" spans="1:2" x14ac:dyDescent="0.25">
      <c r="A19" s="1" t="s">
        <v>18</v>
      </c>
      <c r="B19" s="1" t="s">
        <v>58</v>
      </c>
    </row>
    <row r="20" spans="1:2" x14ac:dyDescent="0.25">
      <c r="A20" s="1" t="s">
        <v>19</v>
      </c>
      <c r="B20" s="1" t="s">
        <v>58</v>
      </c>
    </row>
    <row r="21" spans="1:2" x14ac:dyDescent="0.25">
      <c r="A21" s="1" t="s">
        <v>20</v>
      </c>
      <c r="B21" s="1" t="s">
        <v>58</v>
      </c>
    </row>
    <row r="22" spans="1:2" x14ac:dyDescent="0.25">
      <c r="A22" s="1" t="s">
        <v>21</v>
      </c>
      <c r="B22" s="1" t="s">
        <v>58</v>
      </c>
    </row>
    <row r="23" spans="1:2" x14ac:dyDescent="0.25">
      <c r="A23" s="1" t="s">
        <v>22</v>
      </c>
      <c r="B23" s="1" t="s">
        <v>59</v>
      </c>
    </row>
    <row r="24" spans="1:2" x14ac:dyDescent="0.25">
      <c r="A24" s="1" t="s">
        <v>23</v>
      </c>
      <c r="B24" s="1" t="s">
        <v>59</v>
      </c>
    </row>
    <row r="25" spans="1:2" x14ac:dyDescent="0.25">
      <c r="A25" s="1" t="s">
        <v>24</v>
      </c>
      <c r="B25" s="1" t="s">
        <v>59</v>
      </c>
    </row>
    <row r="26" spans="1:2" x14ac:dyDescent="0.25">
      <c r="A26" s="1" t="s">
        <v>25</v>
      </c>
      <c r="B26" s="1" t="s">
        <v>59</v>
      </c>
    </row>
    <row r="27" spans="1:2" x14ac:dyDescent="0.25">
      <c r="A27" s="1" t="s">
        <v>26</v>
      </c>
      <c r="B27" s="1" t="s">
        <v>59</v>
      </c>
    </row>
    <row r="28" spans="1:2" x14ac:dyDescent="0.25">
      <c r="A28" s="1" t="s">
        <v>27</v>
      </c>
      <c r="B28" s="1" t="s">
        <v>59</v>
      </c>
    </row>
    <row r="29" spans="1:2" x14ac:dyDescent="0.25">
      <c r="A29" s="1" t="s">
        <v>28</v>
      </c>
      <c r="B29" s="1" t="s">
        <v>59</v>
      </c>
    </row>
    <row r="30" spans="1:2" x14ac:dyDescent="0.25">
      <c r="A30" s="1" t="s">
        <v>29</v>
      </c>
      <c r="B30" s="1" t="s">
        <v>59</v>
      </c>
    </row>
    <row r="31" spans="1:2" x14ac:dyDescent="0.25">
      <c r="A31" s="1" t="s">
        <v>30</v>
      </c>
      <c r="B31" s="1" t="s">
        <v>59</v>
      </c>
    </row>
    <row r="32" spans="1:2" x14ac:dyDescent="0.25">
      <c r="A32" s="1" t="s">
        <v>31</v>
      </c>
      <c r="B32" s="1" t="s">
        <v>59</v>
      </c>
    </row>
    <row r="33" spans="1:2" x14ac:dyDescent="0.25">
      <c r="A33" s="1" t="s">
        <v>32</v>
      </c>
      <c r="B33" s="1" t="s">
        <v>60</v>
      </c>
    </row>
    <row r="34" spans="1:2" x14ac:dyDescent="0.25">
      <c r="A34" s="1" t="s">
        <v>33</v>
      </c>
      <c r="B34" s="1" t="s">
        <v>61</v>
      </c>
    </row>
    <row r="35" spans="1:2" x14ac:dyDescent="0.25">
      <c r="A35" s="1" t="s">
        <v>34</v>
      </c>
      <c r="B35" s="1" t="s">
        <v>62</v>
      </c>
    </row>
    <row r="36" spans="1:2" x14ac:dyDescent="0.25">
      <c r="A36" s="1" t="s">
        <v>35</v>
      </c>
      <c r="B36" s="1" t="s">
        <v>62</v>
      </c>
    </row>
  </sheetData>
  <dataValidations count="1">
    <dataValidation type="list" allowBlank="1" showInputMessage="1" showErrorMessage="1" sqref="B2:B100">
      <formula1>ТипУслуги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"/>
  <sheetViews>
    <sheetView workbookViewId="0">
      <selection activeCell="A3" sqref="A3"/>
    </sheetView>
  </sheetViews>
  <sheetFormatPr defaultColWidth="9.140625" defaultRowHeight="15.75" x14ac:dyDescent="0.25"/>
  <cols>
    <col min="1" max="1" width="30" style="1" customWidth="1"/>
    <col min="2" max="16384" width="9.140625" style="1"/>
  </cols>
  <sheetData>
    <row r="1" spans="1:1" x14ac:dyDescent="0.25">
      <c r="A1" s="2" t="s">
        <v>36</v>
      </c>
    </row>
    <row r="2" spans="1:1" x14ac:dyDescent="0.25">
      <c r="A2" s="1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3"/>
  <sheetViews>
    <sheetView workbookViewId="0">
      <selection activeCell="A4" sqref="A4"/>
    </sheetView>
  </sheetViews>
  <sheetFormatPr defaultColWidth="9.140625" defaultRowHeight="15.75" x14ac:dyDescent="0.25"/>
  <cols>
    <col min="1" max="1" width="18.7109375" style="1" customWidth="1"/>
    <col min="2" max="16384" width="9.140625" style="1"/>
  </cols>
  <sheetData>
    <row r="1" spans="1:1" x14ac:dyDescent="0.25">
      <c r="A1" s="2" t="s">
        <v>37</v>
      </c>
    </row>
    <row r="2" spans="1:1" x14ac:dyDescent="0.25">
      <c r="A2" s="1" t="s">
        <v>38</v>
      </c>
    </row>
    <row r="3" spans="1:1" x14ac:dyDescent="0.25">
      <c r="A3" s="1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13"/>
  <sheetViews>
    <sheetView workbookViewId="0">
      <selection activeCell="A14" sqref="A14"/>
    </sheetView>
  </sheetViews>
  <sheetFormatPr defaultColWidth="9.140625" defaultRowHeight="15.75" x14ac:dyDescent="0.25"/>
  <cols>
    <col min="1" max="1" width="17.7109375" style="1" customWidth="1"/>
    <col min="2" max="16384" width="9.140625" style="1"/>
  </cols>
  <sheetData>
    <row r="1" spans="1:1" x14ac:dyDescent="0.25">
      <c r="A1" s="2" t="s">
        <v>40</v>
      </c>
    </row>
    <row r="2" spans="1:1" x14ac:dyDescent="0.25">
      <c r="A2" s="1" t="s">
        <v>41</v>
      </c>
    </row>
    <row r="3" spans="1:1" x14ac:dyDescent="0.25">
      <c r="A3" s="1" t="s">
        <v>42</v>
      </c>
    </row>
    <row r="4" spans="1:1" x14ac:dyDescent="0.25">
      <c r="A4" s="1" t="s">
        <v>43</v>
      </c>
    </row>
    <row r="5" spans="1:1" x14ac:dyDescent="0.25">
      <c r="A5" s="1" t="s">
        <v>44</v>
      </c>
    </row>
    <row r="6" spans="1:1" x14ac:dyDescent="0.25">
      <c r="A6" s="1" t="s">
        <v>45</v>
      </c>
    </row>
    <row r="7" spans="1:1" x14ac:dyDescent="0.25">
      <c r="A7" s="1" t="s">
        <v>46</v>
      </c>
    </row>
    <row r="8" spans="1:1" x14ac:dyDescent="0.25">
      <c r="A8" s="1" t="s">
        <v>47</v>
      </c>
    </row>
    <row r="9" spans="1:1" x14ac:dyDescent="0.25">
      <c r="A9" s="1" t="s">
        <v>48</v>
      </c>
    </row>
    <row r="10" spans="1:1" x14ac:dyDescent="0.25">
      <c r="A10" s="1" t="s">
        <v>49</v>
      </c>
    </row>
    <row r="11" spans="1:1" x14ac:dyDescent="0.25">
      <c r="A11" s="1" t="s">
        <v>50</v>
      </c>
    </row>
    <row r="12" spans="1:1" x14ac:dyDescent="0.25">
      <c r="A12" s="1" t="s">
        <v>51</v>
      </c>
    </row>
    <row r="13" spans="1:1" x14ac:dyDescent="0.25">
      <c r="A13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"/>
  <sheetViews>
    <sheetView workbookViewId="0">
      <selection activeCell="D6" sqref="D6"/>
    </sheetView>
  </sheetViews>
  <sheetFormatPr defaultColWidth="9.140625" defaultRowHeight="15.75" x14ac:dyDescent="0.25"/>
  <cols>
    <col min="1" max="1" width="9.140625" style="1" customWidth="1"/>
    <col min="2" max="2" width="15.5703125" style="1" customWidth="1"/>
    <col min="3" max="16384" width="9.140625" style="1"/>
  </cols>
  <sheetData>
    <row r="1" spans="1:6" ht="18.75" x14ac:dyDescent="0.3">
      <c r="A1" s="27" t="s">
        <v>69</v>
      </c>
      <c r="B1" s="27"/>
      <c r="C1" s="27"/>
      <c r="D1" s="27"/>
      <c r="E1" s="27"/>
      <c r="F1" s="27"/>
    </row>
    <row r="3" spans="1:6" x14ac:dyDescent="0.25">
      <c r="B3" s="1" t="s">
        <v>70</v>
      </c>
    </row>
    <row r="4" spans="1:6" x14ac:dyDescent="0.25">
      <c r="A4" s="26"/>
      <c r="B4" s="25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3"/>
  <sheetViews>
    <sheetView workbookViewId="0">
      <selection activeCell="C2" sqref="C2"/>
    </sheetView>
  </sheetViews>
  <sheetFormatPr defaultColWidth="9.140625" defaultRowHeight="15.75" x14ac:dyDescent="0.25"/>
  <cols>
    <col min="1" max="1" width="11.28515625" style="1" bestFit="1" customWidth="1"/>
    <col min="2" max="16384" width="9.140625" style="1"/>
  </cols>
  <sheetData>
    <row r="1" spans="1:1" x14ac:dyDescent="0.25">
      <c r="A1" s="2" t="s">
        <v>73</v>
      </c>
    </row>
    <row r="2" spans="1:1" x14ac:dyDescent="0.25">
      <c r="A2" s="1" t="s">
        <v>71</v>
      </c>
    </row>
    <row r="3" spans="1:1" x14ac:dyDescent="0.25">
      <c r="A3" s="1" t="s">
        <v>72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E11"/>
  <sheetViews>
    <sheetView tabSelected="1" workbookViewId="0">
      <selection activeCell="B8" sqref="B8"/>
    </sheetView>
  </sheetViews>
  <sheetFormatPr defaultColWidth="9.140625" defaultRowHeight="18.75" x14ac:dyDescent="0.3"/>
  <cols>
    <col min="1" max="1" width="9.140625" style="3"/>
    <col min="2" max="4" width="28.5703125" style="3" customWidth="1"/>
    <col min="5" max="5" width="28.7109375" style="3" customWidth="1"/>
    <col min="6" max="16384" width="9.140625" style="3"/>
  </cols>
  <sheetData>
    <row r="1" spans="2:5" ht="25.5" x14ac:dyDescent="0.3">
      <c r="B1" s="34" t="s">
        <v>53</v>
      </c>
      <c r="C1" s="34"/>
      <c r="D1" s="34"/>
      <c r="E1" s="34"/>
    </row>
    <row r="2" spans="2:5" x14ac:dyDescent="0.3">
      <c r="B2" s="35" t="s">
        <v>54</v>
      </c>
      <c r="C2" s="35"/>
      <c r="D2" s="35"/>
      <c r="E2" s="35"/>
    </row>
    <row r="3" spans="2:5" ht="19.5" thickBot="1" x14ac:dyDescent="0.35">
      <c r="B3"/>
      <c r="C3"/>
      <c r="D3"/>
      <c r="E3"/>
    </row>
    <row r="4" spans="2:5" x14ac:dyDescent="0.3">
      <c r="B4" s="6" t="s">
        <v>41</v>
      </c>
      <c r="C4" s="7" t="s">
        <v>42</v>
      </c>
      <c r="D4" s="9" t="s">
        <v>43</v>
      </c>
      <c r="E4" s="10" t="s">
        <v>44</v>
      </c>
    </row>
    <row r="5" spans="2:5" x14ac:dyDescent="0.3">
      <c r="B5" s="11" t="s">
        <v>45</v>
      </c>
      <c r="C5" s="12" t="s">
        <v>46</v>
      </c>
      <c r="D5" s="12" t="s">
        <v>47</v>
      </c>
      <c r="E5" s="13" t="s">
        <v>48</v>
      </c>
    </row>
    <row r="6" spans="2:5" x14ac:dyDescent="0.3">
      <c r="B6" s="14" t="s">
        <v>49</v>
      </c>
      <c r="C6" s="15" t="s">
        <v>50</v>
      </c>
      <c r="D6" s="15" t="s">
        <v>51</v>
      </c>
      <c r="E6" s="8" t="s">
        <v>52</v>
      </c>
    </row>
    <row r="7" spans="2:5" x14ac:dyDescent="0.3">
      <c r="B7" s="4"/>
      <c r="C7" s="4"/>
      <c r="D7" s="4"/>
      <c r="E7" s="4"/>
    </row>
    <row r="8" spans="2:5" x14ac:dyDescent="0.3">
      <c r="B8" s="4"/>
      <c r="C8" s="4"/>
      <c r="D8" s="4"/>
      <c r="E8" s="4"/>
    </row>
    <row r="9" spans="2:5" x14ac:dyDescent="0.3">
      <c r="B9" s="4"/>
      <c r="C9" s="4"/>
      <c r="D9" s="4"/>
      <c r="E9" s="4"/>
    </row>
    <row r="10" spans="2:5" x14ac:dyDescent="0.3">
      <c r="B10" s="4"/>
      <c r="C10" s="4"/>
      <c r="D10" s="4"/>
      <c r="E10" s="4"/>
    </row>
    <row r="11" spans="2:5" x14ac:dyDescent="0.3">
      <c r="B11" s="4"/>
      <c r="C11" s="4"/>
      <c r="D11" s="4"/>
      <c r="E11" s="4"/>
    </row>
  </sheetData>
  <mergeCells count="2">
    <mergeCell ref="B1:E1"/>
    <mergeCell ref="B2:E2"/>
  </mergeCells>
  <hyperlinks>
    <hyperlink ref="B4" location="Январь!A1" display="Январь"/>
    <hyperlink ref="C4" location="Февраль!A1" display="Февраль"/>
    <hyperlink ref="D4" location="Март!A1" display="Март"/>
    <hyperlink ref="E4" location="Апрель!A1" display="Апрель"/>
    <hyperlink ref="B5" location="Май!A1" display="Май"/>
    <hyperlink ref="C5" location="Июнь!A1" display="Июнь"/>
    <hyperlink ref="D5" location="Июль!A1" display="Июль"/>
    <hyperlink ref="E5" location="Август!A1" display="Август"/>
    <hyperlink ref="B6" location="Сентябрь!A1" display="Сентябрь"/>
    <hyperlink ref="C6" location="Октябрь!A1" display="Октябрь"/>
    <hyperlink ref="D6" location="Ноябрь!A1" display="Ноябрь"/>
    <hyperlink ref="E6" location="Декабрь!A1" display="Декабрь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3.42578125" style="1" bestFit="1" customWidth="1"/>
    <col min="28" max="28" width="7.28515625" style="1" bestFit="1" customWidth="1"/>
    <col min="29" max="29" width="4.28515625" style="1" bestFit="1" customWidth="1"/>
    <col min="30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41</v>
      </c>
      <c r="C1" s="31" t="s">
        <v>73</v>
      </c>
      <c r="G1"/>
    </row>
    <row r="2" spans="1:40" ht="26.25" x14ac:dyDescent="0.4">
      <c r="A2" s="5" t="s">
        <v>55</v>
      </c>
      <c r="B2" s="29"/>
      <c r="C2" s="30" t="s">
        <v>72</v>
      </c>
      <c r="G2"/>
    </row>
    <row r="3" spans="1:40" x14ac:dyDescent="0.25">
      <c r="G3"/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  <c r="F4"/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  <c r="F5"/>
    </row>
    <row r="6" spans="1:40" x14ac:dyDescent="0.25">
      <c r="A6" s="1" t="s">
        <v>59</v>
      </c>
      <c r="B6" s="1">
        <v>0</v>
      </c>
      <c r="C6" s="1">
        <v>0</v>
      </c>
      <c r="F6"/>
    </row>
    <row r="7" spans="1:40" x14ac:dyDescent="0.25">
      <c r="A7" s="1" t="s">
        <v>60</v>
      </c>
      <c r="B7" s="1">
        <v>0</v>
      </c>
      <c r="C7" s="1">
        <v>0</v>
      </c>
      <c r="F7"/>
    </row>
    <row r="8" spans="1:40" x14ac:dyDescent="0.25">
      <c r="A8" s="1" t="s">
        <v>61</v>
      </c>
      <c r="B8" s="1">
        <v>0</v>
      </c>
      <c r="C8" s="1">
        <v>0</v>
      </c>
      <c r="F8"/>
    </row>
    <row r="9" spans="1:40" x14ac:dyDescent="0.25">
      <c r="A9" s="1" t="s">
        <v>62</v>
      </c>
      <c r="B9" s="1">
        <v>0</v>
      </c>
      <c r="C9" s="1">
        <v>0</v>
      </c>
      <c r="F9"/>
    </row>
    <row r="10" spans="1:40" x14ac:dyDescent="0.25">
      <c r="G10"/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SUM(INDIRECT(ADDRESS(ROW(ЯнварьДанные[[#This Row],[Итого]]),COLUMN(ЯнварьДанные[[#This Row],[Итого]])+2)):INDIRECT(ADDRESS(ROW(ЯнварьДанные[[#This Row],[Итого]]),COUNTA(ЯнварьДанные[#Headers]))))</f>
        <v>0</v>
      </c>
      <c r="E12" s="28">
        <f ca="1">ЯнварьДанные[[#This Row],[Итого]]/COUNTIFS(ЯнварьДанные[Соц. Работник],ЯнварьДанные[[#This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968" priority="149"/>
  </conditionalFormatting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8" width="4.28515625" style="1" bestFit="1" customWidth="1"/>
    <col min="9" max="9" width="7.28515625" style="1" bestFit="1" customWidth="1"/>
    <col min="10" max="17" width="4.28515625" style="1" bestFit="1" customWidth="1"/>
    <col min="18" max="18" width="7.28515625" style="1" bestFit="1" customWidth="1"/>
    <col min="19" max="21" width="4.28515625" style="1" bestFit="1" customWidth="1"/>
    <col min="22" max="23" width="7.28515625" style="1" bestFit="1" customWidth="1"/>
    <col min="24" max="26" width="4.28515625" style="1" bestFit="1" customWidth="1"/>
    <col min="27" max="28" width="7.28515625" style="1" bestFit="1" customWidth="1"/>
    <col min="29" max="32" width="4.28515625" style="1" bestFit="1" customWidth="1"/>
    <col min="33" max="34" width="7.28515625" style="1" bestFit="1" customWidth="1"/>
    <col min="35" max="38" width="4.28515625" style="1" bestFit="1" customWidth="1"/>
    <col min="39" max="39" width="7.28515625" style="1" bestFit="1" customWidth="1"/>
    <col min="40" max="40" width="4.28515625" style="1" bestFit="1" customWidth="1"/>
    <col min="41" max="41" width="7.140625" style="1" bestFit="1" customWidth="1"/>
    <col min="42" max="42" width="9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42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204.7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SUM(INDIRECT(ADDRESS(ROW(ФевральДанные[[#This Row],[Итого]]),COLUMN(ФевральДанные[[#This Row],[Итого]])+2)):INDIRECT(ADDRESS(ROW(ФевральДанные[[#This Row],[Итого]]),COUNTA(ФевральДанные[#Headers]))))</f>
        <v>0</v>
      </c>
      <c r="E12" s="28">
        <f ca="1">ФевральДанные[[#This Row],[Итого]]/COUNTIFS(ФевральДанные[Соц. Работник],ФевральДанные[[#This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910" priority="148"/>
  </conditionalFormatting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N12"/>
  <sheetViews>
    <sheetView zoomScale="70" zoomScaleNormal="70" workbookViewId="0">
      <selection activeCell="A12" sqref="A12:XFD1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3.42578125" style="1" bestFit="1" customWidth="1"/>
    <col min="28" max="28" width="7.28515625" style="1" bestFit="1" customWidth="1"/>
    <col min="29" max="29" width="4.28515625" style="1" bestFit="1" customWidth="1"/>
    <col min="30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43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SUM(INDIRECT(ADDRESS(ROW(МартДанные[[#This Row],[Итого]]),COLUMN(МартДанные[[#This Row],[Итого]])+2)):INDIRECT(ADDRESS(ROW(МартДанные[[#This Row],[Итого]]),COUNTA(МартДанные[#Headers]))))</f>
        <v>0</v>
      </c>
      <c r="E12" s="28">
        <f ca="1">МартДанные[[#This Row],[Итого]]/COUNTIFS(МартДанные[Соц. Работник],МартДанные[[#This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852" priority="147"/>
  </conditionalFormatting>
  <dataValidations count="6">
    <dataValidation type="list" allowBlank="1" showInputMessage="1" showErrorMessage="1" sqref="A5:A9">
      <formula1>ТипУслуги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3.42578125" style="1" bestFit="1" customWidth="1"/>
    <col min="28" max="28" width="7.28515625" style="1" bestFit="1" customWidth="1"/>
    <col min="29" max="29" width="4.28515625" style="1" bestFit="1" customWidth="1"/>
    <col min="30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44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SUM(INDIRECT(ADDRESS(ROW(АпрельДанные[[#This Row],[Итого]]),COLUMN(АпрельДанные[[#This Row],[Итого]])+2)):INDIRECT(ADDRESS(ROW(АпрельДанные[[#This Row],[Итого]]),COUNTA(АпрельДанные[#Headers]))))</f>
        <v>0</v>
      </c>
      <c r="E12" s="28">
        <f ca="1">АпрельДанные[[#This Row],[Итого]]/COUNTIFS(АпрельДанные[Соц. Работник],АпрельДанные[[#This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794" priority="116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3.42578125" style="1" bestFit="1" customWidth="1"/>
    <col min="28" max="28" width="7.28515625" style="1" bestFit="1" customWidth="1"/>
    <col min="29" max="29" width="4.28515625" style="1" bestFit="1" customWidth="1"/>
    <col min="30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45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34.2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SUM(INDIRECT(ADDRESS(ROW(МайДанные[[#This Row],[Итого]]),COLUMN(МайДанные[[#This Row],[Итого]])+2)):INDIRECT(ADDRESS(ROW(МайДанные[[#This Row],[Итого]]),COUNTA(МайДанные[#Headers]))))</f>
        <v>0</v>
      </c>
      <c r="E12" s="28">
        <f ca="1">МайДанные[[#This Row],[Итого]]/COUNTIFS(МайДанные[Соц. Работник],МайДанные[[#This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736" priority="117"/>
  </conditionalFormatting>
  <dataValidations count="6">
    <dataValidation type="list" allowBlank="1" showInputMessage="1" showErrorMessage="1" sqref="A5:A9">
      <formula1>ТипУслуги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7" width="4.28515625" style="1" bestFit="1" customWidth="1"/>
    <col min="18" max="18" width="7.28515625" style="1" bestFit="1" customWidth="1"/>
    <col min="19" max="20" width="4.28515625" style="1" bestFit="1" customWidth="1"/>
    <col min="21" max="23" width="7.28515625" style="1" bestFit="1" customWidth="1"/>
    <col min="24" max="26" width="4.28515625" style="1" bestFit="1" customWidth="1"/>
    <col min="27" max="28" width="7.28515625" style="1" bestFit="1" customWidth="1"/>
    <col min="29" max="31" width="4.28515625" style="1" bestFit="1" customWidth="1"/>
    <col min="32" max="34" width="7.28515625" style="1" bestFit="1" customWidth="1"/>
    <col min="35" max="35" width="4.28515625" style="1" bestFit="1" customWidth="1"/>
    <col min="36" max="36" width="7.28515625" style="1" bestFit="1" customWidth="1"/>
    <col min="37" max="38" width="4.28515625" style="1" bestFit="1" customWidth="1"/>
    <col min="39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46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71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SUM(INDIRECT(ADDRESS(ROW(ИюньДанные[[#This Row],[Итого]]),COLUMN(ИюньДанные[[#This Row],[Итого]])+2)):INDIRECT(ADDRESS(ROW(ИюньДанные[[#This Row],[Итого]]),COUNTA(ИюньДанные[#Headers]))))</f>
        <v>0</v>
      </c>
      <c r="E12" s="28">
        <f ca="1">ИюньДанные[[#This Row],[Итого]]/COUNTIFS(ИюньДанные[Соц. Работник],ИюньДанные[[#This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678" priority="118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3" width="7.28515625" style="1" bestFit="1" customWidth="1"/>
    <col min="24" max="26" width="4.28515625" style="1" bestFit="1" customWidth="1"/>
    <col min="27" max="27" width="10.28515625" style="1" bestFit="1" customWidth="1"/>
    <col min="28" max="28" width="7.28515625" style="1" bestFit="1" customWidth="1"/>
    <col min="29" max="31" width="4.28515625" style="1" bestFit="1" customWidth="1"/>
    <col min="32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47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5.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21">
        <f ca="1">SUM(INDIRECT(ADDRESS(ROW(ИюльДанные[[#This Row],[Итого]]),COLUMN(ИюльДанные[[#This Row],[Итого]])+2)):INDIRECT(ADDRESS(ROW(ИюльДанные[[#This Row],[Итого]]),COUNTA(ИюльДанные[#Headers]))))</f>
        <v>0</v>
      </c>
      <c r="E12" s="28">
        <f ca="1">ИюльДанные[[#This Row],[Итого]]/COUNTIFS(ИюльДанные[Соц. Работник],ИюльДанные[[#This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620" priority="119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7" width="4.28515625" style="1" bestFit="1" customWidth="1"/>
    <col min="18" max="18" width="7.28515625" style="1" bestFit="1" customWidth="1"/>
    <col min="19" max="20" width="4.28515625" style="1" bestFit="1" customWidth="1"/>
    <col min="21" max="23" width="7.28515625" style="1" bestFit="1" customWidth="1"/>
    <col min="24" max="26" width="4.28515625" style="1" bestFit="1" customWidth="1"/>
    <col min="27" max="28" width="7.28515625" style="1" bestFit="1" customWidth="1"/>
    <col min="29" max="31" width="4.28515625" style="1" bestFit="1" customWidth="1"/>
    <col min="32" max="34" width="7.28515625" style="1" bestFit="1" customWidth="1"/>
    <col min="35" max="35" width="4.28515625" style="1" bestFit="1" customWidth="1"/>
    <col min="36" max="36" width="7.28515625" style="1" bestFit="1" customWidth="1"/>
    <col min="37" max="38" width="4.28515625" style="1" bestFit="1" customWidth="1"/>
    <col min="39" max="40" width="7.28515625" style="1" bestFit="1" customWidth="1"/>
    <col min="41" max="41" width="7.140625" style="1" bestFit="1" customWidth="1"/>
    <col min="42" max="42" width="10.28515625" style="1" customWidth="1"/>
    <col min="43" max="43" width="9.140625" style="1"/>
    <col min="44" max="45" width="10.140625" style="1" bestFit="1" customWidth="1"/>
    <col min="46" max="66" width="9.140625" style="1"/>
    <col min="67" max="68" width="10.140625" style="1" bestFit="1" customWidth="1"/>
    <col min="69" max="16384" width="9.140625" style="1"/>
  </cols>
  <sheetData>
    <row r="1" spans="1:40" ht="26.25" x14ac:dyDescent="0.4">
      <c r="A1" s="5" t="s">
        <v>0</v>
      </c>
      <c r="B1" s="5" t="s">
        <v>48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74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3" t="s">
        <v>77</v>
      </c>
      <c r="B12" s="23" t="s">
        <v>76</v>
      </c>
      <c r="C12" s="23" t="s">
        <v>38</v>
      </c>
      <c r="D12" s="32">
        <f ca="1">SUM(INDIRECT(ADDRESS(ROW(АвгустДанные[[#This Row],[Итого]]),COLUMN(АвгустДанные[[#This Row],[Итого]])+2)):INDIRECT(ADDRESS(ROW(АвгустДанные[[#This Row],[Итого]]),COUNTA(АвгустДанные[#Headers]))))</f>
        <v>0</v>
      </c>
      <c r="E12" s="33">
        <f ca="1">АвгустДанные[[#This Row],[Итого]]/COUNTIFS(АвгустДанные[Соц. Работник],АвгустДанные[[#This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562" priority="120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0.28515625" style="1" bestFit="1" customWidth="1"/>
    <col min="28" max="28" width="7.28515625" style="1" bestFit="1" customWidth="1"/>
    <col min="29" max="31" width="4.28515625" style="1" bestFit="1" customWidth="1"/>
    <col min="32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49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1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3" t="s">
        <v>77</v>
      </c>
      <c r="B12" s="23" t="s">
        <v>76</v>
      </c>
      <c r="C12" s="23" t="s">
        <v>38</v>
      </c>
      <c r="D12" s="32">
        <f ca="1">SUM(INDIRECT(ADDRESS(ROW(АвгустДанные[[#This Row],[Итого]]),COLUMN(АвгустДанные[[#This Row],[Итого]])+2)):INDIRECT(ADDRESS(ROW(АвгустДанные[[#This Row],[Итого]]),COUNTA(АвгустДанные[#Headers]))))</f>
        <v>0</v>
      </c>
      <c r="E12" s="33">
        <f ca="1">АвгустДанные[[#This Row],[Итого]]/COUNTIFS(АвгустДанные[Соц. Работник],АвгустДанные[[#This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503" priority="121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0.28515625" style="1" bestFit="1" customWidth="1"/>
    <col min="28" max="28" width="7.28515625" style="1" bestFit="1" customWidth="1"/>
    <col min="29" max="31" width="4.28515625" style="1" bestFit="1" customWidth="1"/>
    <col min="32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50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1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3" t="s">
        <v>77</v>
      </c>
      <c r="B12" s="23" t="s">
        <v>76</v>
      </c>
      <c r="C12" s="23" t="s">
        <v>38</v>
      </c>
      <c r="D12" s="21">
        <f ca="1">SUM(INDIRECT(ADDRESS(ROW(ОктябрьДанные[[#This Row],[Итого]]),COLUMN(ОктябрьДанные[[#This Row],[Итого]])+2)):INDIRECT(ADDRESS(ROW(ОктябрьДанные[[#This Row],[Итого]]),COUNTA(ОктябрьДанные[#Headers]))))</f>
        <v>0</v>
      </c>
      <c r="E12" s="28">
        <f ca="1">ОктябрьДанные[[#This Row],[Итого]]/COUNTIFS(ОктябрьДанные[Соц. Работник],ОктябрьДанные[[#This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485" priority="122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10.28515625" style="1" bestFit="1" customWidth="1"/>
    <col min="10" max="14" width="4.28515625" style="1" bestFit="1" customWidth="1"/>
    <col min="15" max="16" width="7.28515625" style="1" bestFit="1" customWidth="1"/>
    <col min="17" max="17" width="4.28515625" style="1" bestFit="1" customWidth="1"/>
    <col min="18" max="18" width="7.28515625" style="1" bestFit="1" customWidth="1"/>
    <col min="19" max="20" width="4.28515625" style="1" bestFit="1" customWidth="1"/>
    <col min="21" max="21" width="7.28515625" style="1" bestFit="1" customWidth="1"/>
    <col min="22" max="22" width="10.28515625" style="1" bestFit="1" customWidth="1"/>
    <col min="23" max="23" width="7.28515625" style="1" bestFit="1" customWidth="1"/>
    <col min="24" max="26" width="4.28515625" style="1" bestFit="1" customWidth="1"/>
    <col min="27" max="27" width="10.28515625" style="1" bestFit="1" customWidth="1"/>
    <col min="28" max="28" width="7.28515625" style="1" bestFit="1" customWidth="1"/>
    <col min="29" max="31" width="4.28515625" style="1" bestFit="1" customWidth="1"/>
    <col min="32" max="36" width="7.28515625" style="1" bestFit="1" customWidth="1"/>
    <col min="37" max="38" width="4.28515625" style="1" bestFit="1" customWidth="1"/>
    <col min="39" max="39" width="10.28515625" style="1" bestFit="1" customWidth="1"/>
    <col min="40" max="40" width="7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51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141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3" t="s">
        <v>77</v>
      </c>
      <c r="B12" s="23" t="s">
        <v>76</v>
      </c>
      <c r="C12" s="23" t="s">
        <v>38</v>
      </c>
      <c r="D12" s="21">
        <f ca="1">SUM(INDIRECT(ADDRESS(ROW(НоябрьДанные[[#This Row],[Итого]]),COLUMN(НоябрьДанные[[#This Row],[Итого]])+2)):INDIRECT(ADDRESS(ROW(НоябрьДанные[[#This Row],[Итого]]),COUNTA(НоябрьДанные[#Headers]))))</f>
        <v>0</v>
      </c>
      <c r="E12" s="28">
        <f ca="1">НоябрьДанные[[#This Row],[Итого]]/COUNTIFS(НоябрьДанные[Соц. Работник],НоябрьДанные[[#This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467" priority="123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AN12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10.7109375" style="1" bestFit="1" customWidth="1"/>
    <col min="6" max="6" width="7.28515625" style="1" bestFit="1" customWidth="1"/>
    <col min="7" max="7" width="10.28515625" style="1" bestFit="1" customWidth="1"/>
    <col min="8" max="8" width="4.28515625" style="1" bestFit="1" customWidth="1"/>
    <col min="9" max="9" width="13.42578125" style="1" bestFit="1" customWidth="1"/>
    <col min="10" max="13" width="4.28515625" style="1" bestFit="1" customWidth="1"/>
    <col min="14" max="14" width="7.28515625" style="1" bestFit="1" customWidth="1"/>
    <col min="15" max="16" width="10.28515625" style="1" bestFit="1" customWidth="1"/>
    <col min="17" max="17" width="7.28515625" style="1" bestFit="1" customWidth="1"/>
    <col min="18" max="18" width="10.28515625" style="1" bestFit="1" customWidth="1"/>
    <col min="19" max="20" width="4.28515625" style="1" bestFit="1" customWidth="1"/>
    <col min="21" max="21" width="10.28515625" style="1" bestFit="1" customWidth="1"/>
    <col min="22" max="22" width="16.42578125" style="1" bestFit="1" customWidth="1"/>
    <col min="23" max="23" width="13.42578125" style="1" bestFit="1" customWidth="1"/>
    <col min="24" max="24" width="7.28515625" style="1" bestFit="1" customWidth="1"/>
    <col min="25" max="26" width="4.28515625" style="1" bestFit="1" customWidth="1"/>
    <col min="27" max="28" width="13.42578125" style="1" bestFit="1" customWidth="1"/>
    <col min="29" max="29" width="4.28515625" style="1" bestFit="1" customWidth="1"/>
    <col min="30" max="30" width="10.28515625" style="1" bestFit="1" customWidth="1"/>
    <col min="31" max="31" width="7.28515625" style="1" bestFit="1" customWidth="1"/>
    <col min="32" max="36" width="10.28515625" style="1" bestFit="1" customWidth="1"/>
    <col min="37" max="38" width="4.28515625" style="1" bestFit="1" customWidth="1"/>
    <col min="39" max="39" width="13.42578125" style="1" bestFit="1" customWidth="1"/>
    <col min="40" max="40" width="10.28515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52</v>
      </c>
      <c r="C1" s="1" t="s">
        <v>74</v>
      </c>
    </row>
    <row r="2" spans="1:40" ht="26.25" x14ac:dyDescent="0.4">
      <c r="A2" s="5" t="s">
        <v>55</v>
      </c>
      <c r="B2" s="16"/>
      <c r="C2" s="1" t="s">
        <v>72</v>
      </c>
    </row>
    <row r="4" spans="1:40" x14ac:dyDescent="0.25">
      <c r="A4" s="1" t="s">
        <v>0</v>
      </c>
      <c r="B4" s="1" t="s">
        <v>56</v>
      </c>
      <c r="C4" s="1" t="s">
        <v>57</v>
      </c>
      <c r="E4" s="1" t="s">
        <v>75</v>
      </c>
    </row>
    <row r="5" spans="1:40" x14ac:dyDescent="0.25">
      <c r="A5" s="1" t="s">
        <v>58</v>
      </c>
      <c r="B5" s="1">
        <v>0</v>
      </c>
      <c r="C5" s="1">
        <v>0</v>
      </c>
      <c r="E5" s="1">
        <v>0</v>
      </c>
    </row>
    <row r="6" spans="1:40" x14ac:dyDescent="0.25">
      <c r="A6" s="1" t="s">
        <v>59</v>
      </c>
      <c r="B6" s="1">
        <v>0</v>
      </c>
      <c r="C6" s="1">
        <v>0</v>
      </c>
    </row>
    <row r="7" spans="1:40" x14ac:dyDescent="0.25">
      <c r="A7" s="1" t="s">
        <v>60</v>
      </c>
      <c r="B7" s="1">
        <v>0</v>
      </c>
      <c r="C7" s="1">
        <v>0</v>
      </c>
    </row>
    <row r="8" spans="1:40" x14ac:dyDescent="0.25">
      <c r="A8" s="1" t="s">
        <v>61</v>
      </c>
      <c r="B8" s="1">
        <v>0</v>
      </c>
      <c r="C8" s="1">
        <v>0</v>
      </c>
    </row>
    <row r="9" spans="1:40" x14ac:dyDescent="0.25">
      <c r="A9" s="1" t="s">
        <v>62</v>
      </c>
      <c r="B9" s="1">
        <v>0</v>
      </c>
      <c r="C9" s="1">
        <v>0</v>
      </c>
    </row>
    <row r="11" spans="1:40" s="18" customFormat="1" ht="94.5" x14ac:dyDescent="0.25">
      <c r="A11" s="20" t="s">
        <v>63</v>
      </c>
      <c r="B11" s="20" t="s">
        <v>64</v>
      </c>
      <c r="C11" s="20" t="s">
        <v>37</v>
      </c>
      <c r="D11" s="19" t="s">
        <v>65</v>
      </c>
      <c r="E11" s="19" t="s">
        <v>66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3" t="s">
        <v>77</v>
      </c>
      <c r="B12" s="23" t="s">
        <v>76</v>
      </c>
      <c r="C12" s="23" t="s">
        <v>38</v>
      </c>
      <c r="D12" s="21">
        <f ca="1">SUM(INDIRECT(ADDRESS(ROW(ДекабрьДанные[[#This Row],[Итого]]),COLUMN(ДекабрьДанные[[#This Row],[Итого]])+2)):INDIRECT(ADDRESS(ROW(ДекабрьДанные[[#This Row],[Итого]]),COUNTA(ДекабрьДанные[#Headers]))))</f>
        <v>0</v>
      </c>
      <c r="E12" s="28">
        <f ca="1">ДекабрьДанные[[#This Row],[Итого]]/COUNTIFS(ДекабрьДанные[Соц. Работник],ДекабрьДанные[[#This Row],[Соц. Работник]])</f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</row>
  </sheetData>
  <conditionalFormatting sqref="B12">
    <cfRule type="duplicateValues" dxfId="449" priority="124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month" Type="http://schemas.openxmlformats.org/officeDocument/2006/relationships/image" Target="images/btn-month.png"/><Relationship Id="btn-update" Type="http://schemas.openxmlformats.org/officeDocument/2006/relationships/image" Target="images/btn-update.png"/><Relationship Id="kvartal-four" Type="http://schemas.openxmlformats.org/officeDocument/2006/relationships/image" Target="images/kvartal-four.png"/><Relationship Id="btn-ok" Type="http://schemas.openxmlformats.org/officeDocument/2006/relationships/image" Target="images/btn-ok.png"/><Relationship Id="clear-errors" Type="http://schemas.openxmlformats.org/officeDocument/2006/relationships/image" Target="images/clear-errors.png"/><Relationship Id="kvartal-two" Type="http://schemas.openxmlformats.org/officeDocument/2006/relationships/image" Target="images/kvartal-two.png"/><Relationship Id="select-list" Type="http://schemas.openxmlformats.org/officeDocument/2006/relationships/image" Target="images/select-list.png"/><Relationship Id="services" Type="http://schemas.openxmlformats.org/officeDocument/2006/relationships/image" Target="images/services.png"/><Relationship Id="reset-columns" Type="http://schemas.openxmlformats.org/officeDocument/2006/relationships/image" Target="images/reset-columns.png"/><Relationship Id="update-columns" Type="http://schemas.openxmlformats.org/officeDocument/2006/relationships/image" Target="images/update-columns.png"/><Relationship Id="Color" Type="http://schemas.openxmlformats.org/officeDocument/2006/relationships/image" Target="images/Color.png"/><Relationship Id="NoColor" Type="http://schemas.openxmlformats.org/officeDocument/2006/relationships/image" Target="images/NoColor.png"/><Relationship Id="btn-list" Type="http://schemas.openxmlformats.org/officeDocument/2006/relationships/image" Target="images/btn-list.png"/><Relationship Id="clear-double" Type="http://schemas.openxmlformats.org/officeDocument/2006/relationships/image" Target="images/clear-double.png"/><Relationship Id="update-rows" Type="http://schemas.openxmlformats.org/officeDocument/2006/relationships/image" Target="images/update-rows.png"/><Relationship Id="accounting-btn" Type="http://schemas.openxmlformats.org/officeDocument/2006/relationships/image" Target="images/accounting-btn.png"/><Relationship Id="add-columns" Type="http://schemas.openxmlformats.org/officeDocument/2006/relationships/image" Target="images/add-columns.png"/><Relationship Id="btn-prev" Type="http://schemas.openxmlformats.org/officeDocument/2006/relationships/image" Target="images/btn-prev.png"/><Relationship Id="CreateName" Type="http://schemas.openxmlformats.org/officeDocument/2006/relationships/image" Target="images/CreateName.png"/><Relationship Id="Main" Type="http://schemas.openxmlformats.org/officeDocument/2006/relationships/image" Target="images/Main.png"/><Relationship Id="btn-resize" Type="http://schemas.openxmlformats.org/officeDocument/2006/relationships/image" Target="images/btn-resize.png"/><Relationship Id="reset-btn" Type="http://schemas.openxmlformats.org/officeDocument/2006/relationships/image" Target="images/reset-btn.png"/><Relationship Id="reset-rows" Type="http://schemas.openxmlformats.org/officeDocument/2006/relationships/image" Target="images/reset-rows.png"/><Relationship Id="worker" Type="http://schemas.openxmlformats.org/officeDocument/2006/relationships/image" Target="images/worker.png"/><Relationship Id="config-icon" Type="http://schemas.openxmlformats.org/officeDocument/2006/relationships/image" Target="images/config-icon.png"/><Relationship Id="btn-up" Type="http://schemas.openxmlformats.org/officeDocument/2006/relationships/image" Target="images/btn-up.png"/><Relationship Id="kvartal-menu" Type="http://schemas.openxmlformats.org/officeDocument/2006/relationships/image" Target="images/kvartal-menu.png"/><Relationship Id="kvartal-one" Type="http://schemas.openxmlformats.org/officeDocument/2006/relationships/image" Target="images/kvartal-one.png"/><Relationship Id="add-rows" Type="http://schemas.openxmlformats.org/officeDocument/2006/relationships/image" Target="images/add-rows.png"/><Relationship Id="btn-next" Type="http://schemas.openxmlformats.org/officeDocument/2006/relationships/image" Target="images/btn-next.png"/><Relationship Id="kvartal-three" Type="http://schemas.openxmlformats.org/officeDocument/2006/relationships/image" Target="images/kvartal-three.png"/></Relationships>
</file>

<file path=customUI/customUI14.xml><?xml version="1.0" encoding="utf-8"?>
<customUI xmlns="http://schemas.microsoft.com/office/2009/07/customui" onLoad="RibbonOnLoad">
  <ribbon startFromScratch="false">
    <tabs>
      <tab id="SocialServices" label="Управление услугами" getVisible="GetVisible" tag="XSocSer">
        <group id="TransitionsID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JanID" label="Январь" image="btn-list" onAction="JanuaryClick"/>
            <button id="onFebID" label="Февраль" image="btn-list" onAction="FebruaryClick"/>
            <button id="onMarID" label="Март" image="btn-list" onAction="MarchClick"/>
            <button id="onAprID" label="Апрель" image="btn-list" onAction="AprilClick"/>
            <button id="onMayID" label="Май" image="btn-list" onAction="MayClick"/>
            <button id="onJuneID" label="Июнь" image="btn-list" onAction="JuneClick"/>
            <button id="onJulyID" label="Июль" image="btn-list" onAction="JulyClick"/>
            <button id="onAugID" label="Август" image="btn-list" onAction="AugustClick"/>
            <button id="onSeptID" label="Сентябрь" image="btn-list" onAction="SeptemberClick"/>
            <button id="onOctID" label="Октябрь" image="btn-list" onAction="OctoberClick"/>
            <button id="onNovID" label="Ноябрь" image="btn-list" onAction="NovemberClick"/>
            <button id="onDecID" label="Декабрь" image="btn-list" onAction="DecemberClick"/>
          </menu>
          <button id="PreviousID" label="Предыдущая" image="btn-prev" size="large" onAction="ClickPrevious"/>
          <button id="IDNext" label="Следующая" image="btn-next" size="large" onAction="NextClick"/>
        </group>
        <group id="SocialParametersID" label="Параметры" getVisible="GetterVisible" tag="GTranParameters">
          <menu id="GMenuParametersID" label="Настройки таблиц" image="config-icon" size="large">
            <button id="EditServices" label="Добавить услугу" image="services" onAction="EditServicesClick"/>
            <button id="EditWorker" label="Редактировать соц. работников" image="worker" onAction="EditWorkerClick"/>
            <button id="EditAccounting" label="Изменить постановку на учет" image="accounting-btn" onAction="EditAccountingClick"/>
            <button id="EditMonths" label="Изменить периоды" image="btn-month" onAction="EditMonthsClick"/>
          </menu>
        </group>
        <group id="Transitions" label="Перемещения по страницам" getVisible="GetterVisible" tag="XTran">
          <button id="Main" label="Домой" image="Main" size="large" onAction="MainClick"/>
          <menu id="SelectList" label="Выбрать страницу" image="select-list" size="large">
            <button id="onMain" label="Домой" image="Main" onAction="MainClick"/>
            <button id="onJan" label="Январь" image="btn-list" onAction="JanuaryClick"/>
            <button id="onFeb" label="Февраль" image="btn-list" onAction="FebruaryClick"/>
            <button id="onMar" label="Март" image="btn-list" onAction="MarchClick"/>
            <button id="onApr" label="Апрель" image="btn-list" onAction="AprilClick"/>
            <button id="onMay" label="Май" image="btn-list" onAction="MayClick"/>
            <button id="onJune" label="Июнь" image="btn-list" onAction="JuneClick"/>
            <button id="onJuly" label="Июль" image="btn-list" onAction="JulyClick"/>
            <button id="onAug" label="Август" image="btn-list" onAction="AugustClick"/>
            <button id="onSept" label="Сентябрь" image="btn-list" onAction="SeptemberClick"/>
            <button id="onOct" label="Октябрь" image="btn-list" onAction="OctoberClick"/>
            <button id="onNov" label="Ноябрь" image="btn-list" onAction="NovemberClick"/>
            <button id="onDec" label="Декабрь" image="btn-list" onAction="DecemberClick"/>
          </menu>
          <button id="BtnUpID" label="Вверх" image="btn-up" size="large" onAction="UpClick"/>
          <button id="BtnDownID" label="Вниз" image="btn-down" size="large" onAction="DownClick"/>
          <button id="IdPrevious" label="Предыдущая" image="btn-prev" size="large" onAction="ClickPrevious"/>
          <button id="NextID" label="Следующая" image="btn-next" size="large" onAction="NextClick"/>
        </group>
        <group id="XMoneyID" label="Деньги" getVisible="GetterVisible" tag="XMoney">
          <button id="XRubleID" label="Закрасить" image="Color" size="large" onAction="RubleClick"/>
          <button id="XNoRubleID" label="Обесцветить" image="NoColor" size="large" onAction="NoRubleClick"/>
        </group>
        <group id="SocialEdit" label="Редактирование" getVisible="GetterVisible" tag="XEdit">
          <menu id="XAddEditID" label="Добавить" imageMso="PictureBackgroundRemovalMarkForeground" size="large">
            <button id="AddRowsID" label="Добавить строку" image="add-rows" onAction="AddRowsClick"/>
            <button id="AddColumnID" label="Добавить столбец" image="add-columns" onAction="AddColumnClick"/>
            <button id="CreateNameID" label="Придумать имя" imageMso="PencilTool" onAction="CreateNameClick"/>
          </menu>
          <button id="XCalcUpdateID" label="Обновить вычисления" image="btn-update" size="large" onAction="CalcUpdateClick"/>
          <button id="XBtnFitSizesID" label="Подогнать размеры" image="btn-resize" size="large" onAction="BtnFitSizesClick"/>
          <menu id="XRemoveEditID" label="Удалить" imageMso="PictureBackgroundRemovalMarkBackground" size="large">
            <button id="DeleteDoubleID" label="Удалить дубликаты" image="clear-double" onAction="DeleteDoubleClick"/>
            <button id="DeleteErrorID" label="Удалить ошибки" image="clear-errors" onAction="RemoveErrorsClick"/>
          </menu>
          <menu id="XClearEditID" label="Очистить" imageMso="ClearAll" size="large">
            <button id="SelectRowsID" label="Очистить строку" image="reset-rows" onAction="SelectRowsClick"/>
            <button id="SelectColumnID" label="Очистить столбец" image="reset-columns" onAction="SelectColumnClick"/>
            <button id="AllZeroID" label="Очистить всё" image="reset-btn" onAction="ClearAllClick"/>
          </menu>
        </group>
        <group id="SocialParameters" label="Параметры" getVisible="GetterVisible" tag="XTranParameters">
          <menu id="MyXMenuParametersID" label="Настройки таблиц" image="config-icon" size="large">
            <button id="EditServicesID" label="Добавить услугу" image="services" onAction="EditServicesClick"/>
            <button id="EditWorkerID" label="Редактировать соц. работников" image="worker" onAction="EditWorkerClick"/>
            <button id="EditAccountingID" label="Изменить постановку на учет" image="accounting-btn" onAction="EditAccountingClick"/>
            <button id="EditMonthsID" label="Изменить периоды" image="btn-month" onAction="EditMonthsClick"/>
          </menu>
        </group>
        <group id="MyTransitions" label="Перемещения по страницам" getVisible="GetterVisible" tag="MyTran">
          <button id="IDMain" label="Домой" image="Main" size="large" onAction="MainClick"/>
          <menu id="IDSelectList" label="Выбрать страницу" image="select-list" size="large">
            <button id="inMain" label="Домой" image="Main" onAction="MainClick"/>
            <button id="inJan" label="Январь" image="btn-list" onAction="JanuaryClick"/>
            <button id="inFeb" label="Февраль" image="btn-list" onAction="FebruaryClick"/>
            <button id="inMar" label="Март" image="btn-list" onAction="MarchClick"/>
            <button id="inApr" label="Апрель" image="btn-list" onAction="AprilClick"/>
            <button id="inMay" label="Май" image="btn-list" onAction="MayClick"/>
            <button id="inJune" label="Июнь" image="btn-list" onAction="JuneClick"/>
            <button id="inJuly" label="Июль" image="btn-list" onAction="JulyClick"/>
            <button id="inAug" label="Август" image="btn-list" onAction="AugustClick"/>
            <button id="inSept" label="Сентябрь" image="btn-list" onAction="SeptemberClick"/>
            <button id="inOct" label="Октябрь" image="btn-list" onAction="OctoberClick"/>
            <button id="inNov" label="Ноябрь" image="btn-list" onAction="NovemberClick"/>
            <button id="inDec" label="Декабрь" image="btn-list" onAction="DecemberClick"/>
          </menu>
          <button id="MyBtnUpID" label="Вверх" image="btn-up" size="large" onAction="UpClick"/>
          <button id="MyBtnDownID" label="Вниз" image="btn-down" size="large" onAction="DownClick"/>
          <button id="MyIdPrevious" label="Предыдущая" image="btn-prev" size="large" onAction="ClickPrevious"/>
          <button id="MyNextID" label="Следующая" image="btn-next" size="large" onAction="NextClick"/>
        </group>
        <group id="MyMoneyID" label="Деньги" getVisible="GetterVisible" tag="MyMoney">
          <button id="MyRubleID" label="Закрасить" image="Color" size="large" onAction="RubleClick"/>
          <button id="MyNoRubleID" label="Обесцветить" image="NoColor" size="large" onAction="NoRubleClick"/>
        </group>
        <group id="MySocialEdit" label="Редактирование" getVisible="GetterVisible" tag="MyEdit">
          <menu id="MyAddEditID" label="Добавить" imageMso="PictureBackgroundRemovalMarkForeground" size="large">
            <button id="MyAddRowsID" label="Добавить строку" image="add-rows" onAction="AddRowsClick"/>
            <button id="MyAddColumnID" label="Добавить столбец" image="add-columns" onAction="AddColumnClick"/>
            <button id="MyCreateNameID" label="Придумать имя" imageMso="PencilTool" onAction="CreateNameClick"/>
          </menu>
          <button id="MyCalcUpdateID" label="Обновить вычисления" image="btn-update" size="large" onAction="CalcUpdateClick"/>
          <button id="MyBtnFitSizesID" label="Подогнать размеры" image="btn-resize" size="large" onAction="BtnFitSizesClick"/>
          <button id="MyResetRowsID" label="Перенести строки" image="update-rows" size="large" onAction="ResetRowsClick"/>
          <button id="MyResetColumnID" label="Перенести столбцы" image="update-columns" size="large" onAction="ResetColumnClick"/>
          <menu id="MyRemoveEditID" label="Удалить" imageMso="PictureBackgroundRemovalMarkBackground" size="large">
            <button id="MyDeleteDoubleID" label="Удалить дубликаты" image="clear-double" onAction="DeleteDoubleClick"/>
            <button id="MyDeleteErrorID" label="Удалить ошибки" image="clear-errors" onAction="RemoveErrorsClick"/>
          </menu>
          <menu id="MyClearEditID" label="Очистить" imageMso="ClearAll" size="large">
            <button id="MySelectRowsID" label="Очистить строку" image="reset-rows" onAction="SelectRowsClick"/>
            <button id="MySelectColumnID" label="Очистить столбец" image="reset-columns" onAction="SelectColumnClick"/>
            <button id="MyAllZeroID" label="Очистить всё" image="reset-btn" onAction="ClearAllClick"/>
          </menu>
        </group>
        <group id="MySocialParameters" label="Параметры" getVisible="GetterVisible" tag="MyParameters">
          <menu id="MyMenuParametersID" label="Настройки таблиц" image="config-icon" size="large">
            <button id="MyEditServicesID" label="Добавить услугу" image="services" onAction="EditServicesClick"/>
            <button id="MyEditWorkerID" label="Редактировать соц. работников" image="worker" onAction="EditWorkerClick"/>
            <button id="MyEditAccountingID" label="Изменить постановку на учет" image="accounting-btn" onAction="EditAccountingClick"/>
            <button id="MyEditMonthsID" label="Изменить периоды" image="btn-month" onAction="EditMonthsClick"/>
          </menu>
        </group>
      </tab>
      <tab id="SocialEditor" label="Изменения" getVisible="GetVisible" tag="MySocEd">
        <group id="Editing" label="Редактирование списка" getVisible="GetterVisible" tag="XEditing">
          <button id="FineID" label="Завершить редактирование" image="btn-ok" size="large" onAction="Fine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A9539E-FC03-4A5C-9C35-B0683E8EFC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СписокУслуг</vt:lpstr>
      <vt:lpstr>СоцРаботники</vt:lpstr>
      <vt:lpstr>СписокУчета</vt:lpstr>
      <vt:lpstr>Месяцы</vt:lpstr>
      <vt:lpstr>ЦветПлатной</vt:lpstr>
      <vt:lpstr>СчетУслуг</vt:lpstr>
      <vt:lpstr>Главная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utv2</cp:lastModifiedBy>
  <cp:lastPrinted>2025-06-30T13:07:52Z</cp:lastPrinted>
  <dcterms:created xsi:type="dcterms:W3CDTF">2023-02-17T06:03:05Z</dcterms:created>
  <dcterms:modified xsi:type="dcterms:W3CDTF">2026-03-25T11:01:49Z</dcterms:modified>
</cp:coreProperties>
</file>