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slicers/slicer2.xml" ContentType="application/vnd.ms-excel.slicer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slicers/slicer3.xml" ContentType="application/vnd.ms-excel.slicer+xml"/>
  <Override PartName="/xl/drawings/drawing4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slicers/slicer4.xml" ContentType="application/vnd.ms-excel.slicer+xml"/>
  <Override PartName="/xl/drawings/drawing5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slicers/slicer5.xml" ContentType="application/vnd.ms-excel.slicer+xml"/>
  <Override PartName="/xl/drawings/drawing6.xml" ContentType="application/vnd.openxmlformats-officedocument.drawing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slicers/slicer6.xml" ContentType="application/vnd.ms-excel.slicer+xml"/>
  <Override PartName="/xl/drawings/drawing7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slicers/slicer7.xml" ContentType="application/vnd.ms-excel.slicer+xml"/>
  <Override PartName="/xl/drawings/drawing8.xml" ContentType="application/vnd.openxmlformats-officedocument.drawing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slicers/slicer8.xml" ContentType="application/vnd.ms-excel.slicer+xml"/>
  <Override PartName="/xl/drawings/drawing9.xml" ContentType="application/vnd.openxmlformats-officedocument.drawing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slicers/slicer9.xml" ContentType="application/vnd.ms-excel.slicer+xml"/>
  <Override PartName="/xl/drawings/drawing10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slicers/slicer10.xml" ContentType="application/vnd.ms-excel.slicer+xml"/>
  <Override PartName="/xl/drawings/drawing11.xml" ContentType="application/vnd.openxmlformats-officedocument.drawing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slicers/slicer11.xml" ContentType="application/vnd.ms-excel.slicer+xml"/>
  <Override PartName="/xl/drawings/drawing12.xml" ContentType="application/vnd.openxmlformats-officedocument.drawing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slicers/slicer1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Загрузки\Разработка\Social_Develop\social-services-2025\"/>
    </mc:Choice>
  </mc:AlternateContent>
  <bookViews>
    <workbookView xWindow="0" yWindow="0" windowWidth="20400" windowHeight="7155" tabRatio="601" firstSheet="6" activeTab="7"/>
  </bookViews>
  <sheets>
    <sheet name="СписокУслуг" sheetId="1" state="hidden" r:id="rId1"/>
    <sheet name="СоцРаботники" sheetId="2" state="hidden" r:id="rId2"/>
    <sheet name="СписокУчета" sheetId="3" state="hidden" r:id="rId3"/>
    <sheet name="Месяцы" sheetId="4" state="hidden" r:id="rId4"/>
    <sheet name="ЦветПлатной" sheetId="20" state="hidden" r:id="rId5"/>
    <sheet name="СчетУслуг" sheetId="23" state="hidden" r:id="rId6"/>
    <sheet name="Главная" sheetId="5" r:id="rId7"/>
    <sheet name="Январь" sheetId="6" r:id="rId8"/>
    <sheet name="Февраль" sheetId="8" r:id="rId9"/>
    <sheet name="Март" sheetId="22" r:id="rId10"/>
    <sheet name="Апрель" sheetId="24" r:id="rId11"/>
    <sheet name="Май" sheetId="26" r:id="rId12"/>
    <sheet name="Июнь" sheetId="27" r:id="rId13"/>
    <sheet name="Июль" sheetId="14" r:id="rId14"/>
    <sheet name="Август" sheetId="28" r:id="rId15"/>
    <sheet name="Сентябрь" sheetId="16" r:id="rId16"/>
    <sheet name="Октябрь" sheetId="17" r:id="rId17"/>
    <sheet name="Ноябрь" sheetId="18" r:id="rId18"/>
    <sheet name="Декабрь" sheetId="19" r:id="rId19"/>
  </sheets>
  <functionGroups builtInGroupCount="18"/>
  <definedNames>
    <definedName name="Месяц">OFFSET(Месяцы!$A$2,0,0,COUNTIF(Месяцы!$A:$A,"*")-1,1)</definedName>
    <definedName name="СоцРаботник">OFFSET(СоцРаботники!$A$2,0,0,COUNTIF(СоцРаботники!$A:$A,"*")-1,1)</definedName>
    <definedName name="Срез_Признак_учета">#N/A</definedName>
    <definedName name="Срез_Признак_учета1">#N/A</definedName>
    <definedName name="Срез_Признак_учета11">#N/A</definedName>
    <definedName name="Срез_Признак_учета111">#N/A</definedName>
    <definedName name="Срез_Признак_учета1111">#N/A</definedName>
    <definedName name="Срез_Признак_учета11111">#N/A</definedName>
    <definedName name="Срез_Признак_учета1114">#N/A</definedName>
    <definedName name="Срез_Признак_учета11141">#N/A</definedName>
    <definedName name="Срез_Признак_учета1116">#N/A</definedName>
    <definedName name="Срез_Признак_учета1117">#N/A</definedName>
    <definedName name="Срез_Признак_учета1118">#N/A</definedName>
    <definedName name="Срез_Признак_учета1119">#N/A</definedName>
    <definedName name="Срез_Соц._Работник">#N/A</definedName>
    <definedName name="Срез_Соц._Работник1">#N/A</definedName>
    <definedName name="Срез_Соц._Работник11">#N/A</definedName>
    <definedName name="Срез_Соц._Работник111">#N/A</definedName>
    <definedName name="Срез_Соц._Работник1111">#N/A</definedName>
    <definedName name="Срез_Соц._Работник11111">#N/A</definedName>
    <definedName name="Срез_Соц._Работник1114">#N/A</definedName>
    <definedName name="Срез_Соц._Работник11141">#N/A</definedName>
    <definedName name="Срез_Соц._Работник1116">#N/A</definedName>
    <definedName name="Срез_Соц._Работник1117">#N/A</definedName>
    <definedName name="Срез_Соц._Работник1118">#N/A</definedName>
    <definedName name="Срез_Соц._Работник1119">#N/A</definedName>
    <definedName name="СчетУслуги">OFFSET(СчетУслуг!$A$2,0,0,COUNTIF(СчетУслуг!$A:$A,"*")-1,1)</definedName>
    <definedName name="ТипУслуги">OFFSET(СписокУслуг!$F$2,0,0,COUNTIF(СписокУслуг!$F:$F,"*")-1,1)</definedName>
    <definedName name="Услуга">OFFSET(СписокУслуг!$A$2,0,0,COUNTIF(СписокУслуг!$A:$A,"*")-1,1)</definedName>
    <definedName name="Учет">OFFSET(СписокУчета!$A$2,0,0,COUNTIF(СписокУчета!$A:$A,"*")-1,1)</definedName>
  </definedNames>
  <calcPr calcId="152511"/>
  <extLst>
    <ext xmlns:x14="http://schemas.microsoft.com/office/spreadsheetml/2009/9/main" uri="{8193D73E-4604-4355-AFF4-8A2333D13BE4}">
      <x14:definedNames>
        <x14:definedName name="SummSocialType">
          <x14:argumentDescriptions count="5">
            <x14:argumentDescription index="0">- диапазон суммирования</x14:argumentDescription>
            <x14:argumentDescription index="1">- динамический или именованный диапазон категорий</x14:argumentDescription>
            <x14:argumentDescription index="2">- текущий тип</x14:argumentDescription>
            <x14:argumentDescription index="3">- цвет выборки платной слуги</x14:argumentDescription>
            <x14:argumentDescription index="4">- 1 платно и 0 бесплатно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7" l="1"/>
  <c r="D8" i="28"/>
  <c r="D8" i="24"/>
  <c r="D8" i="6"/>
  <c r="D8" i="16"/>
  <c r="D8" i="22"/>
  <c r="D8" i="19"/>
  <c r="D8" i="18"/>
  <c r="D8" i="14"/>
  <c r="D8" i="26"/>
  <c r="D8" i="8"/>
  <c r="D8" i="27"/>
  <c r="E8" i="27" l="1"/>
  <c r="E8" i="8"/>
  <c r="E8" i="26"/>
  <c r="E8" i="14"/>
  <c r="E8" i="18"/>
  <c r="E8" i="19"/>
  <c r="E8" i="22"/>
  <c r="E8" i="16"/>
  <c r="E8" i="6"/>
  <c r="E8" i="24"/>
  <c r="E8" i="28"/>
  <c r="E8" i="17"/>
</calcChain>
</file>

<file path=xl/sharedStrings.xml><?xml version="1.0" encoding="utf-8"?>
<sst xmlns="http://schemas.openxmlformats.org/spreadsheetml/2006/main" count="935" uniqueCount="91">
  <si>
    <t>Услуги</t>
  </si>
  <si>
    <t>Соц. Работники</t>
  </si>
  <si>
    <t>Признак учета</t>
  </si>
  <si>
    <t>На учете</t>
  </si>
  <si>
    <t>Снят с учета</t>
  </si>
  <si>
    <t>Месяцы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</si>
  <si>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</si>
  <si>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</si>
  <si>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</si>
  <si>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</si>
  <si>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</si>
  <si>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</si>
  <si>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</si>
  <si>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</si>
  <si>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</si>
  <si>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</si>
  <si>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</si>
  <si>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</si>
  <si>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Управление</t>
  </si>
  <si>
    <t>Переходы по страницам (все названия кликабельны).</t>
  </si>
  <si>
    <t>Данные</t>
  </si>
  <si>
    <t>б/пл.</t>
  </si>
  <si>
    <t>пл.</t>
  </si>
  <si>
    <t>Соц-бытовые</t>
  </si>
  <si>
    <t>Соц-медицинские</t>
  </si>
  <si>
    <t>Соц-психологические</t>
  </si>
  <si>
    <t>Соц-педагогические</t>
  </si>
  <si>
    <t>Соц-правовые</t>
  </si>
  <si>
    <t>Соц. Работник</t>
  </si>
  <si>
    <t>Получатели ФИО</t>
  </si>
  <si>
    <t>Итого</t>
  </si>
  <si>
    <t>Среднее кол-во услуг на 1 получ. Усл.</t>
  </si>
  <si>
    <t>Тип услуги</t>
  </si>
  <si>
    <t>Категории услуг</t>
  </si>
  <si>
    <t>Готовцева Н.А.</t>
  </si>
  <si>
    <t>Выбор цвета для платной услуги</t>
  </si>
  <si>
    <t>Выбор цвета</t>
  </si>
  <si>
    <t>Польщикова О.В.</t>
  </si>
  <si>
    <t>Платно</t>
  </si>
  <si>
    <t>Бесплатно</t>
  </si>
  <si>
    <t>Тип счета</t>
  </si>
  <si>
    <t>Тип Счета</t>
  </si>
  <si>
    <t>Приготовление пищи</t>
  </si>
  <si>
    <t>Помощь при приготовлении пищи</t>
  </si>
  <si>
    <t>Подготовка и подача пищи</t>
  </si>
  <si>
    <t>Помощь при подготовке пищи к приему</t>
  </si>
  <si>
    <t>Кормление</t>
  </si>
  <si>
    <t>Помощь при приеме пищи</t>
  </si>
  <si>
    <t>Помощь в соблюдении питьевого режима.</t>
  </si>
  <si>
    <t>Умывание</t>
  </si>
  <si>
    <t>Помощь при умывании</t>
  </si>
  <si>
    <t>Купание в кровати, включая мытье головы</t>
  </si>
  <si>
    <t>Купание в приспособленном помещении (месте), включая мытье головы</t>
  </si>
  <si>
    <t>Помощь при купании в приспособленном помещении (месте), включая мытье головы</t>
  </si>
  <si>
    <t>Гигиеническое обтирание</t>
  </si>
  <si>
    <t>Мытье головы, в том числе в кровати</t>
  </si>
  <si>
    <t>Помощь при мытье головы</t>
  </si>
  <si>
    <t>Подмывание</t>
  </si>
  <si>
    <t>Мытье ног</t>
  </si>
  <si>
    <t>Помощь при мытье ног</t>
  </si>
  <si>
    <t>Гигиенииеское бритье</t>
  </si>
  <si>
    <t>Гигиеническая стрижка</t>
  </si>
  <si>
    <t>Смена одежды (обуви)</t>
  </si>
  <si>
    <t>Помощь при смене одежды (обуви)</t>
  </si>
  <si>
    <t>Смена нательного белья</t>
  </si>
  <si>
    <t>Помощь при смене нательного белья</t>
  </si>
  <si>
    <t>Смена постельного белья</t>
  </si>
  <si>
    <t>Помощь при смене постельного белья</t>
  </si>
  <si>
    <t>Смена абсорбирующего белья, включая гигиеническую обработку</t>
  </si>
  <si>
    <t>Замена мочеприемника и (или) калоприемника, включая гигиеническую обработку</t>
  </si>
  <si>
    <t>Помощь при замене мочеприемника и (или) калоприемника</t>
  </si>
  <si>
    <t>Позиционирование</t>
  </si>
  <si>
    <t>Помощь при позиционировании</t>
  </si>
  <si>
    <t>Пересаживание</t>
  </si>
  <si>
    <t>Помощь при пересаживании.</t>
  </si>
  <si>
    <t>Подготовка лекарственных препаратов к приему</t>
  </si>
  <si>
    <t>Помощь в использовании очков и (или) слуховых аппаратов</t>
  </si>
  <si>
    <t>Помощь в использовании протезов или ортезов</t>
  </si>
  <si>
    <t>Помощь в поддержании посильной социальной активности</t>
  </si>
  <si>
    <t>Помощь в поддержании  посильной физической активности, включая прогулки</t>
  </si>
  <si>
    <t>Помощь в поддержании посильной бытовой активности</t>
  </si>
  <si>
    <t>Гигиеническая обработка рук и ногтей</t>
  </si>
  <si>
    <t>Помощь при гигиенической обработке рук и ногтей</t>
  </si>
  <si>
    <t>Гигиеническая обработка ног и ногтей</t>
  </si>
  <si>
    <t>Помощь при гигиенической обработка ног и ногтей</t>
  </si>
  <si>
    <t>Помощь при смене абсорбирующего белья</t>
  </si>
  <si>
    <t>Помощь при пользовании туалетом, включая гигиеническую обработку</t>
  </si>
  <si>
    <t>Помощь при передвижении по помещению, пересаживании</t>
  </si>
  <si>
    <t>Измерение температуры тела, артериального давления, пульса, сатурации</t>
  </si>
  <si>
    <t>Помощь в соблюдении медицинских рекомендаций</t>
  </si>
  <si>
    <t>Помощь в соблюдении приема лекарственных препаратов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</si>
</sst>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;[Red]0.000"/>
    <numFmt numFmtId="165" formatCode="0;[Red]0"/>
  </numFmts>
  <fonts count="12" x14ac:knownFonts="1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20"/>
      <color rgb="FFFF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20"/>
      <color rgb="FFFF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u/>
      <sz val="14"/>
      <color theme="10"/>
      <name val="Times New Roman"/>
      <family val="1"/>
      <charset val="204"/>
    </font>
    <font>
      <b/>
      <sz val="14"/>
      <name val="Times New Roman"/>
      <family val="1"/>
      <charset val="204"/>
    </font>
    <font>
      <sz val="12"/>
      <color theme="1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42">
    <xf numFmtId="0" fontId="0" fillId="0" borderId="0" xfId="0"/>
    <xf numFmtId="0" fontId="1" fillId="0" borderId="0" xfId="0" applyFont="1"/>
    <xf numFmtId="0" fontId="2" fillId="0" borderId="1" xfId="0" applyFont="1" applyBorder="1"/>
    <xf numFmtId="0" fontId="5" fillId="0" borderId="0" xfId="0" applyFont="1"/>
    <xf numFmtId="0" fontId="5" fillId="0" borderId="0" xfId="0" applyFont="1" applyAlignment="1">
      <alignment horizontal="center" vertical="center" wrapText="1" shrinkToFit="1"/>
    </xf>
    <xf numFmtId="0" fontId="6" fillId="0" borderId="0" xfId="0" applyFont="1"/>
    <xf numFmtId="0" fontId="9" fillId="2" borderId="4" xfId="1" applyFont="1" applyFill="1" applyBorder="1" applyAlignment="1">
      <alignment horizontal="center" vertical="center"/>
    </xf>
    <xf numFmtId="0" fontId="9" fillId="2" borderId="2" xfId="1" applyFont="1" applyFill="1" applyBorder="1" applyAlignment="1">
      <alignment horizontal="center" vertical="center"/>
    </xf>
    <xf numFmtId="0" fontId="9" fillId="2" borderId="10" xfId="1" applyFont="1" applyFill="1" applyBorder="1" applyAlignment="1">
      <alignment horizontal="center" vertical="center"/>
    </xf>
    <xf numFmtId="0" fontId="9" fillId="3" borderId="2" xfId="1" applyFont="1" applyFill="1" applyBorder="1" applyAlignment="1">
      <alignment horizontal="center" vertical="center"/>
    </xf>
    <xf numFmtId="0" fontId="9" fillId="3" borderId="6" xfId="1" applyFont="1" applyFill="1" applyBorder="1" applyAlignment="1">
      <alignment horizontal="center" vertical="center"/>
    </xf>
    <xf numFmtId="0" fontId="9" fillId="3" borderId="5" xfId="1" applyFont="1" applyFill="1" applyBorder="1" applyAlignment="1">
      <alignment horizontal="center" vertical="center"/>
    </xf>
    <xf numFmtId="0" fontId="9" fillId="4" borderId="3" xfId="1" applyFont="1" applyFill="1" applyBorder="1" applyAlignment="1">
      <alignment horizontal="center" vertical="center"/>
    </xf>
    <xf numFmtId="0" fontId="9" fillId="4" borderId="7" xfId="1" applyFont="1" applyFill="1" applyBorder="1" applyAlignment="1">
      <alignment horizontal="center" vertical="center"/>
    </xf>
    <xf numFmtId="0" fontId="9" fillId="5" borderId="8" xfId="1" applyFont="1" applyFill="1" applyBorder="1" applyAlignment="1">
      <alignment horizontal="center" vertical="center"/>
    </xf>
    <xf numFmtId="0" fontId="9" fillId="5" borderId="9" xfId="1" applyFont="1" applyFill="1" applyBorder="1" applyAlignment="1">
      <alignment horizontal="center" vertical="center"/>
    </xf>
    <xf numFmtId="0" fontId="10" fillId="0" borderId="0" xfId="0" applyFont="1"/>
    <xf numFmtId="0" fontId="2" fillId="0" borderId="11" xfId="0" applyFont="1" applyBorder="1"/>
    <xf numFmtId="0" fontId="1" fillId="0" borderId="0" xfId="0" applyFont="1" applyAlignment="1">
      <alignment horizontal="center" wrapText="1" shrinkToFit="1"/>
    </xf>
    <xf numFmtId="0" fontId="1" fillId="0" borderId="0" xfId="0" applyFont="1" applyAlignment="1">
      <alignment horizontal="center" textRotation="90" wrapText="1" shrinkToFit="1"/>
    </xf>
    <xf numFmtId="0" fontId="1" fillId="0" borderId="0" xfId="0" applyFont="1" applyAlignment="1">
      <alignment horizontal="left" wrapText="1" shrinkToFit="1"/>
    </xf>
    <xf numFmtId="0" fontId="1" fillId="6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6" borderId="0" xfId="0" applyFont="1" applyFill="1" applyAlignment="1">
      <alignment horizontal="center" vertical="center"/>
    </xf>
    <xf numFmtId="0" fontId="1" fillId="0" borderId="0" xfId="0" applyFont="1" applyAlignment="1">
      <alignment horizontal="left"/>
    </xf>
    <xf numFmtId="164" fontId="1" fillId="6" borderId="0" xfId="0" applyNumberFormat="1" applyFont="1" applyFill="1" applyAlignment="1">
      <alignment horizontal="center" vertical="center"/>
    </xf>
    <xf numFmtId="0" fontId="0" fillId="0" borderId="0" xfId="0" applyFill="1"/>
    <xf numFmtId="0" fontId="1" fillId="7" borderId="0" xfId="0" applyFont="1" applyFill="1"/>
    <xf numFmtId="0" fontId="1" fillId="0" borderId="0" xfId="0" applyFont="1" applyFill="1"/>
    <xf numFmtId="0" fontId="4" fillId="0" borderId="0" xfId="0" applyFont="1" applyAlignment="1">
      <alignment horizontal="centerContinuous" wrapText="1" shrinkToFit="1"/>
    </xf>
    <xf numFmtId="164" fontId="7" fillId="6" borderId="0" xfId="0" applyNumberFormat="1" applyFont="1" applyFill="1" applyAlignment="1">
      <alignment horizontal="center"/>
    </xf>
    <xf numFmtId="0" fontId="10" fillId="0" borderId="0" xfId="0" applyFont="1" applyBorder="1"/>
    <xf numFmtId="0" fontId="1" fillId="0" borderId="0" xfId="0" applyFont="1" applyBorder="1"/>
    <xf numFmtId="0" fontId="2" fillId="0" borderId="0" xfId="0" applyFont="1"/>
    <xf numFmtId="165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0" fontId="11" fillId="0" borderId="0" xfId="0" applyFont="1" applyAlignment="1">
      <alignment horizontal="left"/>
    </xf>
    <xf numFmtId="0" fontId="2" fillId="0" borderId="1" xfId="0" applyFont="1" applyBorder="1" applyAlignment="1">
      <alignment wrapText="1" shrinkToFit="1"/>
    </xf>
    <xf numFmtId="0" fontId="1" fillId="0" borderId="0" xfId="0" applyFont="1" applyAlignment="1">
      <alignment wrapText="1" shrinkToFit="1"/>
    </xf>
    <xf numFmtId="0" fontId="1" fillId="0" borderId="0" xfId="0" applyFont="1" applyAlignment="1">
      <alignment textRotation="90" wrapText="1" shrinkToFit="1"/>
    </xf>
    <xf numFmtId="0" fontId="3" fillId="0" borderId="0" xfId="0" applyFont="1" applyAlignment="1">
      <alignment horizontal="center" vertical="center" wrapText="1" shrinkToFit="1"/>
    </xf>
    <xf numFmtId="0" fontId="4" fillId="0" borderId="0" xfId="0" applyFont="1" applyAlignment="1">
      <alignment horizontal="center" vertical="center" wrapText="1" shrinkToFit="1"/>
    </xf>
  </cellXfs>
  <cellStyles count="2">
    <cellStyle name="Гиперссылка" xfId="1" builtinId="8"/>
    <cellStyle name="Обычный" xfId="0" builtinId="0"/>
  </cellStyles>
  <dxfs count="9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bottom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numFmt numFmtId="165" formatCode="0;[Red]0"/>
    </dxf>
    <dxf>
      <fill>
        <patternFill patternType="none">
          <fgColor indexed="64"/>
          <bgColor auto="1"/>
        </patternFill>
      </fill>
    </dxf>
    <dxf>
      <numFmt numFmtId="164" formatCode="0.000;[Red]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numFmt numFmtId="165" formatCode="0;[Red]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5" formatCode="0;[Red]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0.000;[Red]0.0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9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4"/>
        <color theme="10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4"/>
        <color theme="10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4"/>
        <color theme="10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4"/>
        <color theme="10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/>
        <vertAlign val="baseline"/>
        <sz val="14"/>
        <color theme="10"/>
        <name val="Times New Roman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4"/>
        <color theme="10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 patternType="solid">
          <fgColor theme="4" tint="0.79995117038483843"/>
          <bgColor theme="9" tint="0.59996337778862885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1"/>
      </font>
      <fill>
        <patternFill>
          <bgColor theme="5" tint="0.79998168889431442"/>
        </patternFill>
      </fill>
      <border>
        <bottom style="medium">
          <color theme="4"/>
        </bottom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TableStyle="TableStyleMedium2" defaultPivotStyle="PivotStyleLight16">
    <tableStyle name="Social" pivot="0" count="7">
      <tableStyleElement type="wholeTable" dxfId="943"/>
      <tableStyleElement type="headerRow" dxfId="942"/>
      <tableStyleElement type="totalRow" dxfId="941"/>
      <tableStyleElement type="firstColumn" dxfId="940"/>
      <tableStyleElement type="lastColumn" dxfId="939"/>
      <tableStyleElement type="firstRowStripe" dxfId="938"/>
      <tableStyleElement type="firstColumnStripe" dxfId="93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7.xml"/><Relationship Id="rId39" Type="http://schemas.microsoft.com/office/2007/relationships/slicerCache" Target="slicerCaches/slicerCache20.xml"/><Relationship Id="rId21" Type="http://schemas.microsoft.com/office/2007/relationships/slicerCache" Target="slicerCaches/slicerCache2.xml"/><Relationship Id="rId34" Type="http://schemas.microsoft.com/office/2007/relationships/slicerCache" Target="slicerCaches/slicerCache15.xml"/><Relationship Id="rId42" Type="http://schemas.microsoft.com/office/2007/relationships/slicerCache" Target="slicerCaches/slicerCache23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10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32" Type="http://schemas.microsoft.com/office/2007/relationships/slicerCache" Target="slicerCaches/slicerCache13.xml"/><Relationship Id="rId37" Type="http://schemas.microsoft.com/office/2007/relationships/slicerCache" Target="slicerCaches/slicerCache18.xml"/><Relationship Id="rId40" Type="http://schemas.microsoft.com/office/2007/relationships/slicerCache" Target="slicerCaches/slicerCache21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4.xml"/><Relationship Id="rId28" Type="http://schemas.microsoft.com/office/2007/relationships/slicerCache" Target="slicerCaches/slicerCache9.xml"/><Relationship Id="rId36" Type="http://schemas.microsoft.com/office/2007/relationships/slicerCache" Target="slicerCaches/slicerCache17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12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microsoft.com/office/2007/relationships/slicerCache" Target="slicerCaches/slicerCache8.xml"/><Relationship Id="rId30" Type="http://schemas.microsoft.com/office/2007/relationships/slicerCache" Target="slicerCaches/slicerCache11.xml"/><Relationship Id="rId35" Type="http://schemas.microsoft.com/office/2007/relationships/slicerCache" Target="slicerCaches/slicerCache16.xml"/><Relationship Id="rId43" Type="http://schemas.microsoft.com/office/2007/relationships/slicerCache" Target="slicerCaches/slicerCache24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6.xml"/><Relationship Id="rId33" Type="http://schemas.microsoft.com/office/2007/relationships/slicerCache" Target="slicerCaches/slicerCache14.xml"/><Relationship Id="rId38" Type="http://schemas.microsoft.com/office/2007/relationships/slicerCache" Target="slicerCaches/slicerCache19.xml"/><Relationship Id="rId46" Type="http://schemas.openxmlformats.org/officeDocument/2006/relationships/sharedStrings" Target="sharedStrings.xml"/><Relationship Id="rId20" Type="http://schemas.microsoft.com/office/2007/relationships/slicerCache" Target="slicerCaches/slicerCache1.xml"/><Relationship Id="rId41" Type="http://schemas.microsoft.com/office/2007/relationships/slicerCache" Target="slicerCaches/slicerCache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4813299" y="384103"/>
    <xdr:ext cx="2256102" cy="1758077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13299" y="384103"/>
              <a:ext cx="2256102" cy="17580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absoluteAnchor>
  <xdr:absoluteAnchor>
    <xdr:pos x="7424345" y="338746"/>
    <xdr:ext cx="1782890" cy="1758077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58063" y="328613"/>
              <a:ext cx="1797843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400700</xdr:colOff>
      <xdr:row>1</xdr:row>
      <xdr:rowOff>7144</xdr:rowOff>
    </xdr:from>
    <xdr:to>
      <xdr:col>11</xdr:col>
      <xdr:colOff>143753</xdr:colOff>
      <xdr:row>6</xdr:row>
      <xdr:rowOff>636133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83905" y="340519"/>
              <a:ext cx="2238375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181528</xdr:colOff>
      <xdr:row>1</xdr:row>
      <xdr:rowOff>7144</xdr:rowOff>
    </xdr:from>
    <xdr:to>
      <xdr:col>16</xdr:col>
      <xdr:colOff>198677</xdr:colOff>
      <xdr:row>6</xdr:row>
      <xdr:rowOff>636133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46157" y="340519"/>
              <a:ext cx="1797843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21414</xdr:colOff>
      <xdr:row>0</xdr:row>
      <xdr:rowOff>289754</xdr:rowOff>
    </xdr:from>
    <xdr:to>
      <xdr:col>9</xdr:col>
      <xdr:colOff>191530</xdr:colOff>
      <xdr:row>6</xdr:row>
      <xdr:rowOff>578564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77273" y="289754"/>
              <a:ext cx="2248972" cy="17437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11</xdr:col>
      <xdr:colOff>233227</xdr:colOff>
      <xdr:row>1</xdr:row>
      <xdr:rowOff>7144</xdr:rowOff>
    </xdr:from>
    <xdr:to>
      <xdr:col>15</xdr:col>
      <xdr:colOff>451507</xdr:colOff>
      <xdr:row>6</xdr:row>
      <xdr:rowOff>636133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51391" y="342089"/>
              <a:ext cx="1794571" cy="17437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37289</xdr:colOff>
      <xdr:row>0</xdr:row>
      <xdr:rowOff>289754</xdr:rowOff>
    </xdr:from>
    <xdr:to>
      <xdr:col>9</xdr:col>
      <xdr:colOff>228572</xdr:colOff>
      <xdr:row>6</xdr:row>
      <xdr:rowOff>578564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80021" y="289754"/>
              <a:ext cx="2235757" cy="1761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11</xdr:col>
      <xdr:colOff>279340</xdr:colOff>
      <xdr:row>1</xdr:row>
      <xdr:rowOff>7144</xdr:rowOff>
    </xdr:from>
    <xdr:to>
      <xdr:col>15</xdr:col>
      <xdr:colOff>502157</xdr:colOff>
      <xdr:row>6</xdr:row>
      <xdr:rowOff>636133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41447" y="340519"/>
              <a:ext cx="1779133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344709</xdr:colOff>
      <xdr:row>0</xdr:row>
      <xdr:rowOff>219199</xdr:rowOff>
    </xdr:from>
    <xdr:to>
      <xdr:col>10</xdr:col>
      <xdr:colOff>237828</xdr:colOff>
      <xdr:row>6</xdr:row>
      <xdr:rowOff>508009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86489" y="219199"/>
              <a:ext cx="2236403" cy="1738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77047</xdr:colOff>
      <xdr:row>1</xdr:row>
      <xdr:rowOff>7144</xdr:rowOff>
    </xdr:from>
    <xdr:to>
      <xdr:col>16</xdr:col>
      <xdr:colOff>102980</xdr:colOff>
      <xdr:row>6</xdr:row>
      <xdr:rowOff>636133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41447" y="340519"/>
              <a:ext cx="1779133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333243</xdr:colOff>
      <xdr:row>0</xdr:row>
      <xdr:rowOff>289754</xdr:rowOff>
    </xdr:from>
    <xdr:to>
      <xdr:col>10</xdr:col>
      <xdr:colOff>111399</xdr:colOff>
      <xdr:row>6</xdr:row>
      <xdr:rowOff>578564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80021" y="289754"/>
              <a:ext cx="2235757" cy="1761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11</xdr:col>
      <xdr:colOff>489457</xdr:colOff>
      <xdr:row>1</xdr:row>
      <xdr:rowOff>7144</xdr:rowOff>
    </xdr:from>
    <xdr:to>
      <xdr:col>16</xdr:col>
      <xdr:colOff>53120</xdr:colOff>
      <xdr:row>6</xdr:row>
      <xdr:rowOff>636133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41447" y="340519"/>
              <a:ext cx="1779133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296859</xdr:colOff>
      <xdr:row>1</xdr:row>
      <xdr:rowOff>7144</xdr:rowOff>
    </xdr:from>
    <xdr:to>
      <xdr:col>10</xdr:col>
      <xdr:colOff>280382</xdr:colOff>
      <xdr:row>6</xdr:row>
      <xdr:rowOff>636133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83905" y="340519"/>
              <a:ext cx="2238375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34332</xdr:colOff>
      <xdr:row>1</xdr:row>
      <xdr:rowOff>7144</xdr:rowOff>
    </xdr:from>
    <xdr:to>
      <xdr:col>16</xdr:col>
      <xdr:colOff>113150</xdr:colOff>
      <xdr:row>6</xdr:row>
      <xdr:rowOff>636133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46157" y="340519"/>
              <a:ext cx="1797843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346428</xdr:colOff>
      <xdr:row>1</xdr:row>
      <xdr:rowOff>39989</xdr:rowOff>
    </xdr:from>
    <xdr:to>
      <xdr:col>10</xdr:col>
      <xdr:colOff>252108</xdr:colOff>
      <xdr:row>6</xdr:row>
      <xdr:rowOff>668978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1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1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81123" y="368437"/>
              <a:ext cx="2214828" cy="17245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14709</xdr:colOff>
      <xdr:row>1</xdr:row>
      <xdr:rowOff>7144</xdr:rowOff>
    </xdr:from>
    <xdr:to>
      <xdr:col>16</xdr:col>
      <xdr:colOff>112740</xdr:colOff>
      <xdr:row>6</xdr:row>
      <xdr:rowOff>636133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1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1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93002" y="338914"/>
              <a:ext cx="1793413" cy="17718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77896</xdr:colOff>
      <xdr:row>1</xdr:row>
      <xdr:rowOff>7144</xdr:rowOff>
    </xdr:from>
    <xdr:to>
      <xdr:col>11</xdr:col>
      <xdr:colOff>216691</xdr:colOff>
      <xdr:row>6</xdr:row>
      <xdr:rowOff>636133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9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94726" y="345811"/>
              <a:ext cx="2237388" cy="17629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158098</xdr:colOff>
      <xdr:row>1</xdr:row>
      <xdr:rowOff>7144</xdr:rowOff>
    </xdr:from>
    <xdr:to>
      <xdr:col>16</xdr:col>
      <xdr:colOff>238903</xdr:colOff>
      <xdr:row>6</xdr:row>
      <xdr:rowOff>636133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9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46157" y="340519"/>
              <a:ext cx="1797843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433942</xdr:colOff>
      <xdr:row>1</xdr:row>
      <xdr:rowOff>7144</xdr:rowOff>
    </xdr:from>
    <xdr:to>
      <xdr:col>11</xdr:col>
      <xdr:colOff>94160</xdr:colOff>
      <xdr:row>6</xdr:row>
      <xdr:rowOff>636133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10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10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83905" y="340519"/>
              <a:ext cx="2238375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141358</xdr:colOff>
      <xdr:row>1</xdr:row>
      <xdr:rowOff>7144</xdr:rowOff>
    </xdr:from>
    <xdr:to>
      <xdr:col>16</xdr:col>
      <xdr:colOff>238718</xdr:colOff>
      <xdr:row>6</xdr:row>
      <xdr:rowOff>636133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10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10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46157" y="340519"/>
              <a:ext cx="1797843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396737</xdr:colOff>
      <xdr:row>0</xdr:row>
      <xdr:rowOff>0</xdr:rowOff>
    </xdr:from>
    <xdr:to>
      <xdr:col>11</xdr:col>
      <xdr:colOff>52023</xdr:colOff>
      <xdr:row>6</xdr:row>
      <xdr:rowOff>286465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1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1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47256" y="0"/>
              <a:ext cx="2245518" cy="17492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116908</xdr:colOff>
      <xdr:row>1</xdr:row>
      <xdr:rowOff>7144</xdr:rowOff>
    </xdr:from>
    <xdr:to>
      <xdr:col>16</xdr:col>
      <xdr:colOff>130402</xdr:colOff>
      <xdr:row>6</xdr:row>
      <xdr:rowOff>636133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1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1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46157" y="340519"/>
              <a:ext cx="1797843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450735</xdr:colOff>
      <xdr:row>1</xdr:row>
      <xdr:rowOff>7144</xdr:rowOff>
    </xdr:from>
    <xdr:to>
      <xdr:col>11</xdr:col>
      <xdr:colOff>74221</xdr:colOff>
      <xdr:row>6</xdr:row>
      <xdr:rowOff>636133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оц. Работник 1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1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83905" y="340519"/>
              <a:ext cx="2238375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104840</xdr:colOff>
      <xdr:row>1</xdr:row>
      <xdr:rowOff>7144</xdr:rowOff>
    </xdr:from>
    <xdr:to>
      <xdr:col>16</xdr:col>
      <xdr:colOff>152464</xdr:colOff>
      <xdr:row>6</xdr:row>
      <xdr:rowOff>636133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Признак учета 1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 1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46157" y="340519"/>
              <a:ext cx="1797843" cy="17668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" sourceName="Соц. Работник">
  <extLst>
    <x:ext xmlns:x15="http://schemas.microsoft.com/office/spreadsheetml/2010/11/main" uri="{2F2917AC-EB37-4324-AD4E-5DD8C200BD13}">
      <x15:tableSlicerCache tableId="4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" sourceName="Признак учета">
  <extLst>
    <x:ext xmlns:x15="http://schemas.microsoft.com/office/spreadsheetml/2010/11/main" uri="{2F2917AC-EB37-4324-AD4E-5DD8C200BD13}">
      <x15:tableSlicerCache tableId="4" column="3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4" sourceName="Соц. Работник">
  <extLst>
    <x:ext xmlns:x15="http://schemas.microsoft.com/office/spreadsheetml/2010/11/main" uri="{2F2917AC-EB37-4324-AD4E-5DD8C200BD13}">
      <x15:tableSlicerCache tableId="16" column="1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4" sourceName="Признак учета">
  <extLst>
    <x:ext xmlns:x15="http://schemas.microsoft.com/office/spreadsheetml/2010/11/main" uri="{2F2917AC-EB37-4324-AD4E-5DD8C200BD13}">
      <x15:tableSlicerCache tableId="16" column="3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6" sourceName="Соц. Работник">
  <extLst>
    <x:ext xmlns:x15="http://schemas.microsoft.com/office/spreadsheetml/2010/11/main" uri="{2F2917AC-EB37-4324-AD4E-5DD8C200BD13}">
      <x15:tableSlicerCache tableId="20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6" sourceName="Признак учета">
  <extLst>
    <x:ext xmlns:x15="http://schemas.microsoft.com/office/spreadsheetml/2010/11/main" uri="{2F2917AC-EB37-4324-AD4E-5DD8C200BD13}">
      <x15:tableSlicerCache tableId="20" column="3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7" sourceName="Соц. Работник">
  <extLst>
    <x:ext xmlns:x15="http://schemas.microsoft.com/office/spreadsheetml/2010/11/main" uri="{2F2917AC-EB37-4324-AD4E-5DD8C200BD13}">
      <x15:tableSlicerCache tableId="22" column="1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7" sourceName="Признак учета">
  <extLst>
    <x:ext xmlns:x15="http://schemas.microsoft.com/office/spreadsheetml/2010/11/main" uri="{2F2917AC-EB37-4324-AD4E-5DD8C200BD13}">
      <x15:tableSlicerCache tableId="22" column="3"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8" sourceName="Соц. Работник">
  <extLst>
    <x:ext xmlns:x15="http://schemas.microsoft.com/office/spreadsheetml/2010/11/main" uri="{2F2917AC-EB37-4324-AD4E-5DD8C200BD13}">
      <x15:tableSlicerCache tableId="24" column="1"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8" sourceName="Признак учета">
  <extLst>
    <x:ext xmlns:x15="http://schemas.microsoft.com/office/spreadsheetml/2010/11/main" uri="{2F2917AC-EB37-4324-AD4E-5DD8C200BD13}">
      <x15:tableSlicerCache tableId="24" column="3"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9" sourceName="Соц. Работник">
  <extLst>
    <x:ext xmlns:x15="http://schemas.microsoft.com/office/spreadsheetml/2010/11/main" uri="{2F2917AC-EB37-4324-AD4E-5DD8C200BD13}">
      <x15:tableSlicerCache tableId="26" column="1"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9" sourceName="Признак учета">
  <extLst>
    <x:ext xmlns:x15="http://schemas.microsoft.com/office/spreadsheetml/2010/11/main" uri="{2F2917AC-EB37-4324-AD4E-5DD8C200BD13}">
      <x15:tableSlicerCache tableId="26" column="3"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" sourceName="Соц. Работник">
  <extLst>
    <x:ext xmlns:x15="http://schemas.microsoft.com/office/spreadsheetml/2010/11/main" uri="{2F2917AC-EB37-4324-AD4E-5DD8C200BD13}">
      <x15:tableSlicerCache tableId="6" column="1"/>
    </x:ext>
  </extLst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" sourceName="Признак учета">
  <extLst>
    <x:ext xmlns:x15="http://schemas.microsoft.com/office/spreadsheetml/2010/11/main" uri="{2F2917AC-EB37-4324-AD4E-5DD8C200BD13}">
      <x15:tableSlicerCache tableId="6" column="3"/>
    </x:ext>
  </extLst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" sourceName="Соц. Работник">
  <extLst>
    <x:ext xmlns:x15="http://schemas.microsoft.com/office/spreadsheetml/2010/11/main" uri="{2F2917AC-EB37-4324-AD4E-5DD8C200BD13}">
      <x15:tableSlicerCache tableId="40" column="1"/>
    </x:ext>
  </extLst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" sourceName="Признак учета">
  <extLst>
    <x:ext xmlns:x15="http://schemas.microsoft.com/office/spreadsheetml/2010/11/main" uri="{2F2917AC-EB37-4324-AD4E-5DD8C200BD13}">
      <x15:tableSlicerCache tableId="40" column="3"/>
    </x:ext>
  </extLst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1" sourceName="Соц. Работник">
  <extLst>
    <x:ext xmlns:x15="http://schemas.microsoft.com/office/spreadsheetml/2010/11/main" uri="{2F2917AC-EB37-4324-AD4E-5DD8C200BD13}">
      <x15:tableSlicerCache tableId="43" column="1"/>
    </x:ext>
  </extLst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1" sourceName="Признак учета">
  <extLst>
    <x:ext xmlns:x15="http://schemas.microsoft.com/office/spreadsheetml/2010/11/main" uri="{2F2917AC-EB37-4324-AD4E-5DD8C200BD13}">
      <x15:tableSlicerCache tableId="43" column="3"/>
    </x:ext>
  </extLst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11" sourceName="Соц. Работник">
  <extLst>
    <x:ext xmlns:x15="http://schemas.microsoft.com/office/spreadsheetml/2010/11/main" uri="{2F2917AC-EB37-4324-AD4E-5DD8C200BD13}">
      <x15:tableSlicerCache tableId="46" column="1"/>
    </x:ext>
  </extLst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11" sourceName="Признак учета">
  <extLst>
    <x:ext xmlns:x15="http://schemas.microsoft.com/office/spreadsheetml/2010/11/main" uri="{2F2917AC-EB37-4324-AD4E-5DD8C200BD13}">
      <x15:tableSlicerCache tableId="46" column="3"/>
    </x:ext>
  </extLst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1141" sourceName="Соц. Работник">
  <extLst>
    <x:ext xmlns:x15="http://schemas.microsoft.com/office/spreadsheetml/2010/11/main" uri="{2F2917AC-EB37-4324-AD4E-5DD8C200BD13}">
      <x15:tableSlicerCache tableId="10" column="1"/>
    </x:ext>
  </extLst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11141" sourceName="Признак учета">
  <extLst>
    <x:ext xmlns:x15="http://schemas.microsoft.com/office/spreadsheetml/2010/11/main" uri="{2F2917AC-EB37-4324-AD4E-5DD8C200BD13}">
      <x15:tableSlicerCache tableId="10" column="3"/>
    </x:ext>
  </extLst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" sourceName="Признак учета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" sourceName="Соц. Работник">
  <extLst>
    <x:ext xmlns:x15="http://schemas.microsoft.com/office/spreadsheetml/2010/11/main" uri="{2F2917AC-EB37-4324-AD4E-5DD8C200BD13}">
      <x15:tableSlicerCache tableId="2" column="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Признак учета" cache="Срез_Признак_учета" caption="Признак учета" rowHeight="241300"/>
  <slicer name="Соц. Работник" cache="Срез_Соц._Работник" caption="Соц. Работник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1" cache="Срез_Соц._Работник1" caption="Соц. Работник" rowHeight="241300"/>
  <slicer name="Признак учета 1" cache="Срез_Признак_учета1" caption="Признак учета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2" cache="Срез_Соц._Работник11" caption="Соц. Работник" rowHeight="241300"/>
  <slicer name="Признак учета 2" cache="Срез_Признак_учета11" caption="Признак учета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3" cache="Срез_Соц._Работник111" caption="Соц. Работник" rowHeight="241300"/>
  <slicer name="Признак учета 3" cache="Срез_Признак_учета111" caption="Признак учета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4" cache="Срез_Соц._Работник1111" caption="Соц. Работник" rowHeight="241300"/>
  <slicer name="Признак учета 4" cache="Срез_Признак_учета1111" caption="Признак учета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5" cache="Срез_Соц._Работник11111" caption="Соц. Работник" rowHeight="241300"/>
  <slicer name="Признак учета 5" cache="Срез_Признак_учета11111" caption="Признак учета" rowHeight="24130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7" cache="Срез_Соц._Работник1114" caption="Соц. Работник" rowHeight="241300"/>
  <slicer name="Признак учета 7" cache="Срез_Признак_учета1114" caption="Признак учета" rowHeight="24130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13" cache="Срез_Соц._Работник11141" caption="Соц. Работник" rowHeight="241300"/>
  <slicer name="Признак учета 13" cache="Срез_Признак_учета11141" caption="Признак учета" rowHeight="241300"/>
</slicers>
</file>

<file path=xl/slicers/slicer9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9" cache="Срез_Соц._Работник1116" caption="Соц. Работник" rowHeight="241300"/>
  <slicer name="Признак учета 9" cache="Срез_Признак_учета1116" caption="Признак учета" rowHeight="241300"/>
</slicers>
</file>

<file path=xl/slicers/slicer10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10" cache="Срез_Соц._Работник1117" caption="Соц. Работник" rowHeight="241300"/>
  <slicer name="Признак учета 10" cache="Срез_Признак_учета1117" caption="Признак учета" rowHeight="241300"/>
</slicers>
</file>

<file path=xl/slicers/slicer1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11" cache="Срез_Соц._Работник1118" caption="Соц. Работник" rowHeight="241300"/>
  <slicer name="Признак учета 11" cache="Срез_Признак_учета1118" caption="Признак учета" rowHeight="241300"/>
</slicers>
</file>

<file path=xl/slicers/slicer1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12" cache="Срез_Соц._Работник1119" caption="Соц. Работник" rowHeight="241300"/>
  <slicer name="Признак учета 12" cache="Срез_Признак_учета1119" caption="Признак учета" rowHeight="241300"/>
</slicers>
</file>

<file path=xl/tables/table1.xml><?xml version="1.0" encoding="utf-8"?>
<table xmlns="http://schemas.openxmlformats.org/spreadsheetml/2006/main" id="8" name="ВыборЦвета" displayName="ВыборЦвета" ref="B3:B4" totalsRowShown="0" headerRowDxfId="936" dataDxfId="935">
  <autoFilter ref="B3:B4">
    <filterColumn colId="0" hiddenButton="1"/>
  </autoFilter>
  <tableColumns count="1">
    <tableColumn id="1" name="Выбор цвета" dataDxfId="934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7" name="ГлавнаяТаблица" displayName="ГлавнаяТаблица" ref="B4:E6" headerRowCount="0" totalsRowShown="0" headerRowDxfId="933" dataDxfId="931" headerRowBorderDxfId="932" tableBorderDxfId="930">
  <tableColumns count="4">
    <tableColumn id="1" name="Группа месяцев-1" headerRowDxfId="929" dataDxfId="928"/>
    <tableColumn id="2" name="Группа месяцев-2" headerRowDxfId="927" dataDxfId="926"/>
    <tableColumn id="3" name="Группа месяцев-3" headerRowDxfId="925" dataDxfId="924"/>
    <tableColumn id="4" name="Группа месяцев-4" headerRowDxfId="923" dataDxfId="922"/>
  </tableColumns>
  <tableStyleInfo name="TableStyleLight15" showFirstColumn="0" showLastColumn="0" showRowStripes="0" showColumnStripes="0"/>
</table>
</file>

<file path=xl/tables/table3.xml><?xml version="1.0" encoding="utf-8"?>
<table xmlns="http://schemas.openxmlformats.org/spreadsheetml/2006/main" id="1" name="ЯнварьУслуги" displayName="ЯнварьУслуги" ref="A4:C5" totalsRowShown="0" headerRowDxfId="920" dataDxfId="919">
  <autoFilter ref="A4:C5">
    <filterColumn colId="0" hiddenButton="1"/>
    <filterColumn colId="1" hiddenButton="1"/>
    <filterColumn colId="2" hiddenButton="1"/>
  </autoFilter>
  <tableColumns count="3">
    <tableColumn id="1" name="Услуги" dataDxfId="918"/>
    <tableColumn id="2" name="б/пл." dataDxfId="917"/>
    <tableColumn id="3" name="пл." dataDxfId="916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id="28" name="ЯнварьТипСчета" displayName="ЯнварьТипСчета" ref="C1:C2" totalsRowShown="0" headerRowDxfId="915" dataDxfId="914">
  <autoFilter ref="C1:C2">
    <filterColumn colId="0" hiddenButton="1"/>
  </autoFilter>
  <tableColumns count="1">
    <tableColumn id="1" name="Тип счета" dataDxfId="913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id="2" name="ЯнварьДанные" displayName="ЯнварьДанные" ref="A7:BB8" headerRowDxfId="912" dataDxfId="911">
  <autoFilter ref="A7:BB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</autoFilter>
  <tableColumns count="54">
    <tableColumn id="1" name="Соц. Работник" totalsRowLabel="Итог" dataDxfId="910" totalsRowDxfId="909"/>
    <tableColumn id="2" name="Получатели ФИО" dataDxfId="908" totalsRowDxfId="907"/>
    <tableColumn id="3" name="Признак учета" dataDxfId="906" totalsRowDxfId="905"/>
    <tableColumn id="5" name="Итого" totalsRowFunction="sum" dataDxfId="904" totalsRowDxfId="903">
      <calculatedColumnFormula>SUM(INDIRECT(ADDRESS(ROW(ЯнварьДанные[[#This Row],[Итого]]),COLUMN(ЯнварьДанные[[#This Row],[Итого]])+2)):INDIRECT(ADDRESS(ROW(ЯнварьДанные[[#This Row],[Итого]]),COUNTA(ЯнварьДанные[#Headers]))))</calculatedColumnFormula>
    </tableColumn>
    <tableColumn id="6" name="Среднее кол-во услуг на 1 получ. Усл." totalsRowFunction="sum" dataDxfId="902" totalsRowDxfId="901">
      <calculatedColumnFormula>ЯнварьДанные[[#This Row],[Итого]]/COUNTIFS(ЯнварьДанные[Соц. Работник],ЯнварьДанные[[#This Row],[Соц. Работник]])</calculatedColumnFormula>
    </tableColumn>
    <tableColumn id="7" name="Приготовление пищи" totalsRowFunction="sum" dataDxfId="900"/>
    <tableColumn id="39" name="Помощь при приготовлении пищи" dataDxfId="899" totalsRowDxfId="898"/>
    <tableColumn id="40" name="Подготовка и подача пищи" dataDxfId="897" totalsRowDxfId="896"/>
    <tableColumn id="41" name="Помощь при подготовке пищи к приему" dataDxfId="895" totalsRowDxfId="894"/>
    <tableColumn id="42" name="Кормление" dataDxfId="893" totalsRowDxfId="892"/>
    <tableColumn id="43" name="Помощь при приеме пищи" dataDxfId="891" totalsRowDxfId="890"/>
    <tableColumn id="44" name="Помощь в соблюдении питьевого режима." dataDxfId="889" totalsRowDxfId="888"/>
    <tableColumn id="4" name="Умывание" dataDxfId="887" totalsRowDxfId="886"/>
    <tableColumn id="45" name="Помощь при умывании" dataDxfId="885" totalsRowDxfId="884"/>
    <tableColumn id="46" name="Купание в кровати, включая мытье головы" dataDxfId="883" totalsRowDxfId="882"/>
    <tableColumn id="47" name="Купание в приспособленном помещении (месте), включая мытье головы" dataDxfId="881" totalsRowDxfId="880"/>
    <tableColumn id="48" name="Помощь при купании в приспособленном помещении (месте), включая мытье головы" dataDxfId="879" totalsRowDxfId="878"/>
    <tableColumn id="49" name="Гигиеническое обтирание" dataDxfId="877" totalsRowDxfId="876"/>
    <tableColumn id="50" name="Мытье головы, в том числе в кровати" dataDxfId="875" totalsRowDxfId="874"/>
    <tableColumn id="51" name="Помощь при мытье головы" dataDxfId="873" totalsRowDxfId="872"/>
    <tableColumn id="52" name="Подмывание" dataDxfId="871" totalsRowDxfId="870"/>
    <tableColumn id="53" name="Гигиеническая обработка рук и ногтей" dataDxfId="869" totalsRowDxfId="868"/>
    <tableColumn id="54" name="Помощь при гигиенической обработке рук и ногтей" dataDxfId="867" totalsRowDxfId="866"/>
    <tableColumn id="55" name="Мытье ног" dataDxfId="865" totalsRowDxfId="864"/>
    <tableColumn id="56" name="Помощь при мытье ног" dataDxfId="863" totalsRowDxfId="862"/>
    <tableColumn id="57" name="Гигиеническая обработка ног и ногтей" dataDxfId="861" totalsRowDxfId="860"/>
    <tableColumn id="58" name="Помощь при гигиенической обработка ног и ногтей" dataDxfId="859" totalsRowDxfId="858"/>
    <tableColumn id="59" name="Гигиенииеское бритье" dataDxfId="857" totalsRowDxfId="856"/>
    <tableColumn id="60" name="Гигиеническая стрижка" dataDxfId="855" totalsRowDxfId="854"/>
    <tableColumn id="61" name="Смена одежды (обуви)" dataDxfId="853" totalsRowDxfId="852"/>
    <tableColumn id="62" name="Помощь при смене одежды (обуви)" dataDxfId="851" totalsRowDxfId="850"/>
    <tableColumn id="63" name="Смена нательного белья" dataDxfId="849" totalsRowDxfId="848"/>
    <tableColumn id="64" name="Помощь при смене нательного белья" dataDxfId="847" totalsRowDxfId="846"/>
    <tableColumn id="65" name="Смена постельного белья" dataDxfId="845" totalsRowDxfId="844"/>
    <tableColumn id="66" name="Помощь при смене постельного белья" dataDxfId="843" totalsRowDxfId="842"/>
    <tableColumn id="67" name="Смена абсорбирующего белья, включая гигиеническую обработку" dataDxfId="841" totalsRowDxfId="840"/>
    <tableColumn id="68" name="Помощь при смене абсорбирующего белья" dataDxfId="839" totalsRowDxfId="838"/>
    <tableColumn id="69" name="Помощь при пользовании туалетом, включая гигиеническую обработку" dataDxfId="837" totalsRowDxfId="836"/>
    <tableColumn id="70" name="Замена мочеприемника и (или) калоприемника, включая гигиеническую обработку" dataDxfId="835" totalsRowDxfId="834"/>
    <tableColumn id="71" name="Помощь при замене мочеприемника и (или) калоприемника" dataDxfId="833" totalsRowDxfId="832"/>
    <tableColumn id="72" name="Позиционирование" dataDxfId="831" totalsRowDxfId="830"/>
    <tableColumn id="73" name="Помощь при позиционировании" dataDxfId="829" totalsRowDxfId="828"/>
    <tableColumn id="74" name="Пересаживание" dataDxfId="827" totalsRowDxfId="826"/>
    <tableColumn id="75" name="Помощь при пересаживании." dataDxfId="825" totalsRowDxfId="824"/>
    <tableColumn id="76" name="Помощь при передвижении по помещению, пересаживании" dataDxfId="823" totalsRowDxfId="822"/>
    <tableColumn id="77" name="Измерение температуры тела, артериального давления, пульса, сатурации" dataDxfId="821" totalsRowDxfId="820"/>
    <tableColumn id="78" name="Помощь в соблюдении медицинских рекомендаций" dataDxfId="819" totalsRowDxfId="818"/>
    <tableColumn id="79" name="Подготовка лекарственных препаратов к приему" dataDxfId="817" totalsRowDxfId="816"/>
    <tableColumn id="80" name="Помощь в соблюдении приема лекарственных препаратов" dataDxfId="815" totalsRowDxfId="814"/>
    <tableColumn id="81" name="Помощь в использовании очков и (или) слуховых аппаратов" dataDxfId="813" totalsRowDxfId="812"/>
    <tableColumn id="82" name="Помощь в использовании протезов или ортезов" dataDxfId="811" totalsRowDxfId="810"/>
    <tableColumn id="83" name="Помощь в поддержании посильной социальной активности" dataDxfId="809" totalsRowDxfId="808"/>
    <tableColumn id="8" name="Помощь в поддержании  посильной физической активности, включая прогулки" dataDxfId="807" totalsRowDxfId="806"/>
    <tableColumn id="9" name="Помощь в поддержании посильной бытовой активности" dataDxfId="805" totalsRowDxfId="804"/>
  </tableColumns>
  <tableStyleInfo name="Social" showFirstColumn="0" showLastColumn="0" showRowStripes="1" showColumnStripes="1"/>
</table>
</file>

<file path=xl/tables/table6.xml><?xml version="1.0" encoding="utf-8"?>
<table xmlns="http://schemas.openxmlformats.org/spreadsheetml/2006/main" id="3" name="ФевральУслуги" displayName="ФевральУслуги" ref="A4:C5" totalsRowShown="0" headerRowDxfId="802" dataDxfId="801">
  <autoFilter ref="A4:C5">
    <filterColumn colId="0" hiddenButton="1"/>
    <filterColumn colId="1" hiddenButton="1"/>
    <filterColumn colId="2" hiddenButton="1"/>
  </autoFilter>
  <tableColumns count="3">
    <tableColumn id="1" name="Услуги" dataDxfId="800"/>
    <tableColumn id="2" name="б/пл." dataDxfId="799"/>
    <tableColumn id="3" name="пл." dataDxfId="798"/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id="4" name="ФевральДанные" displayName="ФевральДанные" ref="A7:BB8" headerRowDxfId="797" dataDxfId="796">
  <autoFilter ref="A7:BB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</autoFilter>
  <tableColumns count="54">
    <tableColumn id="1" name="Соц. Работник" totalsRowLabel="Итог" dataDxfId="795" totalsRowDxfId="794"/>
    <tableColumn id="2" name="Получатели ФИО" dataDxfId="793" totalsRowDxfId="792"/>
    <tableColumn id="3" name="Признак учета" dataDxfId="791" totalsRowDxfId="790"/>
    <tableColumn id="5" name="Итого" totalsRowFunction="sum" dataDxfId="789" totalsRowDxfId="788">
      <calculatedColumnFormula>SUM(INDIRECT(ADDRESS(ROW(ФевральДанные[[#This Row],[Итого]]),COLUMN(ФевральДанные[[#This Row],[Итого]])+2)):INDIRECT(ADDRESS(ROW(ФевральДанные[[#This Row],[Итого]]),COUNTA(ФевральДанные[#Headers]))))</calculatedColumnFormula>
    </tableColumn>
    <tableColumn id="6" name="Среднее кол-во услуг на 1 получ. Усл." dataDxfId="787" totalsRowDxfId="786">
      <calculatedColumnFormula>ФевральДанные[[#This Row],[Итого]]/COUNTIFS(ФевральДанные[Соц. Работник],ФевральДанные[[#This Row],[Соц. Работник]])</calculatedColumnFormula>
    </tableColumn>
    <tableColumn id="7" name="Приготовление пищи" dataDxfId="785" totalsRowDxfId="784"/>
    <tableColumn id="9" name="Помощь при приготовлении пищи" dataDxfId="783"/>
    <tableColumn id="10" name="Подготовка и подача пищи" dataDxfId="782"/>
    <tableColumn id="11" name="Помощь при подготовке пищи к приему" dataDxfId="781"/>
    <tableColumn id="12" name="Кормление" dataDxfId="780"/>
    <tableColumn id="13" name="Помощь при приеме пищи" dataDxfId="779"/>
    <tableColumn id="14" name="Помощь в соблюдении питьевого режима." dataDxfId="778"/>
    <tableColumn id="15" name="Умывание" dataDxfId="777"/>
    <tableColumn id="16" name="Помощь при умывании" dataDxfId="776"/>
    <tableColumn id="17" name="Купание в кровати, включая мытье головы" dataDxfId="775"/>
    <tableColumn id="18" name="Купание в приспособленном помещении (месте), включая мытье головы" dataDxfId="774"/>
    <tableColumn id="19" name="Помощь при купании в приспособленном помещении (месте), включая мытье головы" dataDxfId="773"/>
    <tableColumn id="20" name="Гигиеническое обтирание" dataDxfId="772"/>
    <tableColumn id="21" name="Мытье головы, в том числе в кровати" dataDxfId="771"/>
    <tableColumn id="22" name="Помощь при мытье головы" dataDxfId="770"/>
    <tableColumn id="23" name="Подмывание" dataDxfId="769"/>
    <tableColumn id="24" name="Гигиеническая обработка рук и ногтей" dataDxfId="768"/>
    <tableColumn id="25" name="Помощь при гигиенической обработке рук и ногтей" dataDxfId="767"/>
    <tableColumn id="26" name="Мытье ног" dataDxfId="766"/>
    <tableColumn id="27" name="Помощь при мытье ног" dataDxfId="765"/>
    <tableColumn id="28" name="Гигиеническая обработка ног и ногтей" dataDxfId="764"/>
    <tableColumn id="29" name="Помощь при гигиенической обработка ног и ногтей" dataDxfId="763"/>
    <tableColumn id="30" name="Гигиенииеское бритье" dataDxfId="762"/>
    <tableColumn id="31" name="Гигиеническая стрижка" dataDxfId="761"/>
    <tableColumn id="32" name="Смена одежды (обуви)" dataDxfId="760"/>
    <tableColumn id="33" name="Помощь при смене одежды (обуви)" dataDxfId="759"/>
    <tableColumn id="34" name="Смена нательного белья" dataDxfId="758"/>
    <tableColumn id="35" name="Помощь при смене нательного белья" dataDxfId="757"/>
    <tableColumn id="36" name="Смена постельного белья" dataDxfId="756"/>
    <tableColumn id="37" name="Помощь при смене постельного белья" dataDxfId="755"/>
    <tableColumn id="38" name="Смена абсорбирующего белья, включая гигиеническую обработку" dataDxfId="754"/>
    <tableColumn id="39" name="Помощь при смене абсорбирующего белья" dataDxfId="753"/>
    <tableColumn id="40" name="Помощь при пользовании туалетом, включая гигиеническую обработку" dataDxfId="752"/>
    <tableColumn id="41" name="Замена мочеприемника и (или) калоприемника, включая гигиеническую обработку" dataDxfId="751"/>
    <tableColumn id="42" name="Помощь при замене мочеприемника и (или) калоприемника" dataDxfId="750"/>
    <tableColumn id="43" name="Позиционирование" dataDxfId="749"/>
    <tableColumn id="44" name="Помощь при позиционировании" dataDxfId="748"/>
    <tableColumn id="45" name="Пересаживание" dataDxfId="747"/>
    <tableColumn id="46" name="Помощь при пересаживании." dataDxfId="746"/>
    <tableColumn id="47" name="Помощь при передвижении по помещению, пересаживании" dataDxfId="745"/>
    <tableColumn id="48" name="Измерение температуры тела, артериального давления, пульса, сатурации" dataDxfId="744"/>
    <tableColumn id="49" name="Помощь в соблюдении медицинских рекомендаций" dataDxfId="743"/>
    <tableColumn id="50" name="Подготовка лекарственных препаратов к приему" dataDxfId="742"/>
    <tableColumn id="51" name="Помощь в соблюдении приема лекарственных препаратов" dataDxfId="741"/>
    <tableColumn id="52" name="Помощь в использовании очков и (или) слуховых аппаратов" dataDxfId="740"/>
    <tableColumn id="53" name="Помощь в использовании протезов или ортезов" dataDxfId="739"/>
    <tableColumn id="4" name="Помощь в поддержании посильной социальной активности" dataDxfId="738"/>
    <tableColumn id="8" name="Помощь в поддержании  посильной физической активности, включая прогулки" dataDxfId="737"/>
    <tableColumn id="54" name="Помощь в поддержании посильной бытовой активности" dataDxfId="736"/>
  </tableColumns>
  <tableStyleInfo name="Social" showFirstColumn="0" showLastColumn="0" showRowStripes="1" showColumnStripes="1"/>
</table>
</file>

<file path=xl/tables/table8.xml><?xml version="1.0" encoding="utf-8"?>
<table xmlns="http://schemas.openxmlformats.org/spreadsheetml/2006/main" id="29" name="ФевральТипСчета" displayName="ФевральТипСчета" ref="C1:C2" totalsRowShown="0" headerRowDxfId="735" dataDxfId="734">
  <autoFilter ref="C1:C2">
    <filterColumn colId="0" hiddenButton="1"/>
  </autoFilter>
  <tableColumns count="1">
    <tableColumn id="1" name="Тип Счета" dataDxfId="733"/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id="5" name="МартУслуги" displayName="МартУслуги" ref="A4:C5" totalsRowShown="0" headerRowDxfId="731" dataDxfId="730">
  <autoFilter ref="A4:C5">
    <filterColumn colId="0" hiddenButton="1"/>
    <filterColumn colId="1" hiddenButton="1"/>
    <filterColumn colId="2" hiddenButton="1"/>
  </autoFilter>
  <tableColumns count="3">
    <tableColumn id="1" name="Услуги" dataDxfId="729"/>
    <tableColumn id="2" name="б/пл." dataDxfId="728"/>
    <tableColumn id="3" name="пл." dataDxfId="727"/>
  </tableColumns>
  <tableStyleInfo name="TableStyleLight15" showFirstColumn="0" showLastColumn="0" showRowStripes="1" showColumnStripes="0"/>
</table>
</file>

<file path=xl/tables/table10.xml><?xml version="1.0" encoding="utf-8"?>
<table xmlns="http://schemas.openxmlformats.org/spreadsheetml/2006/main" id="6" name="МартДанные" displayName="МартДанные" ref="A7:BB8" headerRowDxfId="726" dataDxfId="725">
  <autoFilter ref="A7:BB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</autoFilter>
  <tableColumns count="54">
    <tableColumn id="1" name="Соц. Работник" totalsRowLabel="Итог" dataDxfId="724" totalsRowDxfId="723"/>
    <tableColumn id="2" name="Получатели ФИО" dataDxfId="722" totalsRowDxfId="721"/>
    <tableColumn id="3" name="Признак учета" dataDxfId="720" totalsRowDxfId="719"/>
    <tableColumn id="5" name="Итого" totalsRowFunction="sum" dataDxfId="718" totalsRowDxfId="717">
      <calculatedColumnFormula>SUM(INDIRECT(ADDRESS(ROW(МартДанные[[#This Row],[Итого]]),COLUMN(МартДанные[[#This Row],[Итого]])+2)):INDIRECT(ADDRESS(ROW(МартДанные[[#This Row],[Итого]]),COUNTA(МартДанные[#Headers]))))</calculatedColumnFormula>
    </tableColumn>
    <tableColumn id="6" name="Среднее кол-во услуг на 1 получ. Усл." dataDxfId="716" totalsRowDxfId="715">
      <calculatedColumnFormula>МартДанные[[#This Row],[Итого]]/COUNTIFS(МартДанные[Соц. Работник],МартДанные[[#This Row],[Соц. Работник]])</calculatedColumnFormula>
    </tableColumn>
    <tableColumn id="7" name="Приготовление пищи" dataDxfId="714" totalsRowDxfId="713"/>
    <tableColumn id="4" name="Помощь при приготовлении пищи" dataDxfId="712"/>
    <tableColumn id="8" name="Подготовка и подача пищи" dataDxfId="711"/>
    <tableColumn id="9" name="Помощь при подготовке пищи к приему" dataDxfId="710"/>
    <tableColumn id="10" name="Кормление" dataDxfId="709"/>
    <tableColumn id="11" name="Помощь при приеме пищи" dataDxfId="708"/>
    <tableColumn id="12" name="Помощь в соблюдении питьевого режима." dataDxfId="707"/>
    <tableColumn id="13" name="Умывание" dataDxfId="706"/>
    <tableColumn id="14" name="Помощь при умывании" dataDxfId="705"/>
    <tableColumn id="15" name="Купание в кровати, включая мытье головы" dataDxfId="704"/>
    <tableColumn id="16" name="Купание в приспособленном помещении (месте), включая мытье головы" dataDxfId="703"/>
    <tableColumn id="17" name="Помощь при купании в приспособленном помещении (месте), включая мытье головы" dataDxfId="702"/>
    <tableColumn id="18" name="Гигиеническое обтирание" dataDxfId="701"/>
    <tableColumn id="19" name="Мытье головы, в том числе в кровати" dataDxfId="700"/>
    <tableColumn id="20" name="Помощь при мытье головы" dataDxfId="699"/>
    <tableColumn id="21" name="Подмывание" dataDxfId="698"/>
    <tableColumn id="22" name="Гигиеническая обработка рук и ногтей" dataDxfId="697"/>
    <tableColumn id="23" name="Помощь при гигиенической обработке рук и ногтей" dataDxfId="696"/>
    <tableColumn id="24" name="Мытье ног" dataDxfId="695"/>
    <tableColumn id="25" name="Помощь при мытье ног" dataDxfId="694"/>
    <tableColumn id="26" name="Гигиеническая обработка ног и ногтей" dataDxfId="693"/>
    <tableColumn id="27" name="Помощь при гигиенической обработка ног и ногтей" dataDxfId="692"/>
    <tableColumn id="28" name="Гигиенииеское бритье" dataDxfId="691"/>
    <tableColumn id="29" name="Гигиеническая стрижка" dataDxfId="690"/>
    <tableColumn id="30" name="Смена одежды (обуви)" dataDxfId="689"/>
    <tableColumn id="31" name="Помощь при смене одежды (обуви)" dataDxfId="688"/>
    <tableColumn id="32" name="Смена нательного белья" dataDxfId="687"/>
    <tableColumn id="33" name="Помощь при смене нательного белья" dataDxfId="686"/>
    <tableColumn id="34" name="Смена постельного белья" dataDxfId="685"/>
    <tableColumn id="35" name="Помощь при смене постельного белья" dataDxfId="684"/>
    <tableColumn id="36" name="Смена абсорбирующего белья, включая гигиеническую обработку" dataDxfId="683"/>
    <tableColumn id="37" name="Помощь при смене абсорбирующего белья" dataDxfId="682"/>
    <tableColumn id="38" name="Помощь при пользовании туалетом, включая гигиеническую обработку" dataDxfId="681"/>
    <tableColumn id="39" name="Замена мочеприемника и (или) калоприемника, включая гигиеническую обработку" dataDxfId="680"/>
    <tableColumn id="40" name="Помощь при замене мочеприемника и (или) калоприемника" dataDxfId="679"/>
    <tableColumn id="41" name="Позиционирование" dataDxfId="678"/>
    <tableColumn id="42" name="Помощь при позиционировании" dataDxfId="677"/>
    <tableColumn id="43" name="Пересаживание" dataDxfId="676"/>
    <tableColumn id="44" name="Помощь при пересаживании." dataDxfId="675"/>
    <tableColumn id="45" name="Помощь при передвижении по помещению, пересаживании" dataDxfId="674"/>
    <tableColumn id="46" name="Измерение температуры тела, артериального давления, пульса, сатурации" dataDxfId="673"/>
    <tableColumn id="47" name="Помощь в соблюдении медицинских рекомендаций" dataDxfId="672"/>
    <tableColumn id="48" name="Подготовка лекарственных препаратов к приему" dataDxfId="671"/>
    <tableColumn id="49" name="Помощь в соблюдении приема лекарственных препаратов" dataDxfId="670"/>
    <tableColumn id="50" name="Помощь в использовании очков и (или) слуховых аппаратов" dataDxfId="669"/>
    <tableColumn id="51" name="Помощь в использовании протезов или ортезов" dataDxfId="668"/>
    <tableColumn id="52" name="Помощь в поддержании посильной социальной активности" dataDxfId="667"/>
    <tableColumn id="53" name="Помощь в поддержании  посильной физической активности, включая прогулки" dataDxfId="666"/>
    <tableColumn id="54" name="Помощь в поддержании посильной бытовой активности" dataDxfId="665"/>
  </tableColumns>
  <tableStyleInfo name="Social" showFirstColumn="0" showLastColumn="0" showRowStripes="1" showColumnStripes="1"/>
</table>
</file>

<file path=xl/tables/table11.xml><?xml version="1.0" encoding="utf-8"?>
<table xmlns="http://schemas.openxmlformats.org/spreadsheetml/2006/main" id="30" name="МартТипСчета" displayName="МартТипСчета" ref="C1:C2" totalsRowShown="0" headerRowDxfId="664" dataDxfId="663">
  <autoFilter ref="C1:C2">
    <filterColumn colId="0" hiddenButton="1"/>
  </autoFilter>
  <tableColumns count="1">
    <tableColumn id="1" name="Тип Счета" dataDxfId="662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id="27" name="АпрельУслуги" displayName="АпрельУслуги" ref="A4:C5" totalsRowShown="0" headerRowDxfId="660" dataDxfId="659">
  <autoFilter ref="A4:C5">
    <filterColumn colId="0" hiddenButton="1"/>
    <filterColumn colId="1" hiddenButton="1"/>
    <filterColumn colId="2" hiddenButton="1"/>
  </autoFilter>
  <tableColumns count="3">
    <tableColumn id="1" name="Услуги" dataDxfId="658"/>
    <tableColumn id="2" name="б/пл." dataDxfId="657"/>
    <tableColumn id="3" name="пл." dataDxfId="656"/>
  </tableColumns>
  <tableStyleInfo name="TableStyleLight15" showFirstColumn="0" showLastColumn="0" showRowStripes="1" showColumnStripes="0"/>
</table>
</file>

<file path=xl/tables/table13.xml><?xml version="1.0" encoding="utf-8"?>
<table xmlns="http://schemas.openxmlformats.org/spreadsheetml/2006/main" id="40" name="АпрельДанные" displayName="АпрельДанные" ref="A7:BB8" headerRowDxfId="655" dataDxfId="654">
  <autoFilter ref="A7:BB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</autoFilter>
  <tableColumns count="54">
    <tableColumn id="1" name="Соц. Работник" totalsRowLabel="Итог" dataDxfId="653" totalsRowDxfId="652"/>
    <tableColumn id="2" name="Получатели ФИО" dataDxfId="651" totalsRowDxfId="650"/>
    <tableColumn id="3" name="Признак учета" dataDxfId="649" totalsRowDxfId="648"/>
    <tableColumn id="5" name="Итого" totalsRowFunction="sum" dataDxfId="647" totalsRowDxfId="646">
      <calculatedColumnFormula>SUM(INDIRECT(ADDRESS(ROW(АпрельДанные[[#This Row],[Итого]]),COLUMN(АпрельДанные[[#This Row],[Итого]])+2)):INDIRECT(ADDRESS(ROW(АпрельДанные[[#This Row],[Итого]]),COUNTA(АпрельДанные[#Headers]))))</calculatedColumnFormula>
    </tableColumn>
    <tableColumn id="6" name="Среднее кол-во услуг на 1 получ. Усл." totalsRowFunction="sum" dataDxfId="645" totalsRowDxfId="644">
      <calculatedColumnFormula>АпрельДанные[[#This Row],[Итого]]/COUNTIFS(АпрельДанные[Соц. Работник],АпрельДанные[[#This Row],[Соц. Работник]])</calculatedColumnFormula>
    </tableColumn>
    <tableColumn id="7" name="Приготовление пищи" totalsRowFunction="sum" dataDxfId="643"/>
    <tableColumn id="4" name="Помощь при приготовлении пищи" dataDxfId="642"/>
    <tableColumn id="8" name="Подготовка и подача пищи" dataDxfId="641"/>
    <tableColumn id="9" name="Помощь при подготовке пищи к приему" dataDxfId="640"/>
    <tableColumn id="10" name="Кормление" dataDxfId="639"/>
    <tableColumn id="11" name="Помощь при приеме пищи" dataDxfId="638"/>
    <tableColumn id="12" name="Помощь в соблюдении питьевого режима." dataDxfId="637"/>
    <tableColumn id="13" name="Умывание" dataDxfId="636"/>
    <tableColumn id="14" name="Помощь при умывании" dataDxfId="635"/>
    <tableColumn id="15" name="Купание в кровати, включая мытье головы" dataDxfId="634"/>
    <tableColumn id="16" name="Купание в приспособленном помещении (месте), включая мытье головы" dataDxfId="633"/>
    <tableColumn id="17" name="Помощь при купании в приспособленном помещении (месте), включая мытье головы" dataDxfId="632"/>
    <tableColumn id="18" name="Гигиеническое обтирание" dataDxfId="631"/>
    <tableColumn id="19" name="Мытье головы, в том числе в кровати" dataDxfId="630"/>
    <tableColumn id="20" name="Помощь при мытье головы" dataDxfId="629"/>
    <tableColumn id="21" name="Подмывание" dataDxfId="628"/>
    <tableColumn id="22" name="Гигиеническая обработка рук и ногтей" dataDxfId="627"/>
    <tableColumn id="23" name="Помощь при гигиенической обработке рук и ногтей" dataDxfId="626"/>
    <tableColumn id="24" name="Мытье ног" dataDxfId="625"/>
    <tableColumn id="25" name="Помощь при мытье ног" dataDxfId="624"/>
    <tableColumn id="26" name="Гигиеническая обработка ног и ногтей" dataDxfId="623"/>
    <tableColumn id="27" name="Помощь при гигиенической обработка ног и ногтей" dataDxfId="622"/>
    <tableColumn id="28" name="Гигиенииеское бритье" dataDxfId="621"/>
    <tableColumn id="29" name="Гигиеническая стрижка" dataDxfId="620"/>
    <tableColumn id="30" name="Смена одежды (обуви)" dataDxfId="619"/>
    <tableColumn id="31" name="Помощь при смене одежды (обуви)" dataDxfId="618"/>
    <tableColumn id="32" name="Смена нательного белья" dataDxfId="617"/>
    <tableColumn id="33" name="Помощь при смене нательного белья" dataDxfId="616"/>
    <tableColumn id="34" name="Смена постельного белья" dataDxfId="615"/>
    <tableColumn id="35" name="Помощь при смене постельного белья" dataDxfId="614"/>
    <tableColumn id="36" name="Смена абсорбирующего белья, включая гигиеническую обработку" dataDxfId="613"/>
    <tableColumn id="37" name="Помощь при смене абсорбирующего белья" dataDxfId="612"/>
    <tableColumn id="38" name="Помощь при пользовании туалетом, включая гигиеническую обработку" dataDxfId="611"/>
    <tableColumn id="39" name="Замена мочеприемника и (или) калоприемника, включая гигиеническую обработку" dataDxfId="610"/>
    <tableColumn id="40" name="Помощь при замене мочеприемника и (или) калоприемника" dataDxfId="609"/>
    <tableColumn id="41" name="Позиционирование" dataDxfId="608"/>
    <tableColumn id="42" name="Помощь при позиционировании" dataDxfId="607"/>
    <tableColumn id="43" name="Пересаживание" dataDxfId="606"/>
    <tableColumn id="44" name="Помощь при пересаживании." dataDxfId="605"/>
    <tableColumn id="45" name="Помощь при передвижении по помещению, пересаживании" dataDxfId="604"/>
    <tableColumn id="46" name="Измерение температуры тела, артериального давления, пульса, сатурации" dataDxfId="603"/>
    <tableColumn id="47" name="Помощь в соблюдении медицинских рекомендаций" dataDxfId="602"/>
    <tableColumn id="48" name="Подготовка лекарственных препаратов к приему" dataDxfId="601"/>
    <tableColumn id="49" name="Помощь в соблюдении приема лекарственных препаратов" dataDxfId="600"/>
    <tableColumn id="50" name="Помощь в использовании очков и (или) слуховых аппаратов" dataDxfId="599"/>
    <tableColumn id="51" name="Помощь в использовании протезов или ортезов" dataDxfId="598"/>
    <tableColumn id="52" name="Помощь в поддержании посильной социальной активности" dataDxfId="597"/>
    <tableColumn id="53" name="Помощь в поддержании  посильной физической активности, включая прогулки" dataDxfId="596"/>
    <tableColumn id="54" name="Помощь в поддержании посильной бытовой активности" dataDxfId="595"/>
  </tableColumns>
  <tableStyleInfo name="Social" showFirstColumn="0" showLastColumn="0" showRowStripes="1" showColumnStripes="1"/>
</table>
</file>

<file path=xl/tables/table14.xml><?xml version="1.0" encoding="utf-8"?>
<table xmlns="http://schemas.openxmlformats.org/spreadsheetml/2006/main" id="41" name="АпрельТипСчета" displayName="АпрельТипСчета" ref="C1:C2" totalsRowShown="0" headerRowDxfId="594" dataDxfId="593">
  <autoFilter ref="C1:C2">
    <filterColumn colId="0" hiddenButton="1"/>
  </autoFilter>
  <tableColumns count="1">
    <tableColumn id="1" name="Тип Счета" dataDxfId="592"/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id="42" name="МайУслуги" displayName="МайУслуги" ref="A4:C5" totalsRowShown="0" headerRowDxfId="590" dataDxfId="589">
  <autoFilter ref="A4:C5">
    <filterColumn colId="0" hiddenButton="1"/>
    <filterColumn colId="1" hiddenButton="1"/>
    <filterColumn colId="2" hiddenButton="1"/>
  </autoFilter>
  <tableColumns count="3">
    <tableColumn id="1" name="Услуги" dataDxfId="588"/>
    <tableColumn id="2" name="б/пл." dataDxfId="587"/>
    <tableColumn id="3" name="пл." dataDxfId="586"/>
  </tableColumns>
  <tableStyleInfo name="TableStyleLight15" showFirstColumn="0" showLastColumn="0" showRowStripes="1" showColumnStripes="0"/>
</table>
</file>

<file path=xl/tables/table16.xml><?xml version="1.0" encoding="utf-8"?>
<table xmlns="http://schemas.openxmlformats.org/spreadsheetml/2006/main" id="43" name="МайДанные" displayName="МайДанные" ref="A7:BB8" headerRowDxfId="585" dataDxfId="584">
  <autoFilter ref="A7:BB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</autoFilter>
  <tableColumns count="54">
    <tableColumn id="1" name="Соц. Работник" totalsRowLabel="Итог" dataDxfId="583" totalsRowDxfId="582"/>
    <tableColumn id="2" name="Получатели ФИО" dataDxfId="581" totalsRowDxfId="580"/>
    <tableColumn id="3" name="Признак учета" dataDxfId="579" totalsRowDxfId="578"/>
    <tableColumn id="5" name="Итого" totalsRowFunction="sum" dataDxfId="577" totalsRowDxfId="576">
      <calculatedColumnFormula>SUM(INDIRECT(ADDRESS(ROW(МайДанные[[#This Row],[Итого]]),COLUMN(МайДанные[[#This Row],[Итого]])+2)):INDIRECT(ADDRESS(ROW(МайДанные[[#This Row],[Итого]]),COUNTA(МайДанные[#Headers]))))</calculatedColumnFormula>
    </tableColumn>
    <tableColumn id="6" name="Среднее кол-во услуг на 1 получ. Усл." totalsRowFunction="sum" dataDxfId="575" totalsRowDxfId="574">
      <calculatedColumnFormula>МайДанные[[#This Row],[Итого]]/COUNTIFS(МайДанные[Соц. Работник],МайДанные[[#This Row],[Соц. Работник]])</calculatedColumnFormula>
    </tableColumn>
    <tableColumn id="7" name="Приготовление пищи" totalsRowFunction="sum" dataDxfId="573"/>
    <tableColumn id="4" name="Помощь при приготовлении пищи" dataDxfId="572"/>
    <tableColumn id="8" name="Подготовка и подача пищи" dataDxfId="571"/>
    <tableColumn id="9" name="Помощь при подготовке пищи к приему" dataDxfId="570"/>
    <tableColumn id="10" name="Кормление" dataDxfId="569"/>
    <tableColumn id="11" name="Помощь при приеме пищи" dataDxfId="568"/>
    <tableColumn id="12" name="Помощь в соблюдении питьевого режима." dataDxfId="567"/>
    <tableColumn id="13" name="Умывание" dataDxfId="566"/>
    <tableColumn id="14" name="Помощь при умывании" dataDxfId="565"/>
    <tableColumn id="15" name="Купание в кровати, включая мытье головы" dataDxfId="564"/>
    <tableColumn id="16" name="Купание в приспособленном помещении (месте), включая мытье головы" dataDxfId="563"/>
    <tableColumn id="17" name="Помощь при купании в приспособленном помещении (месте), включая мытье головы" dataDxfId="562"/>
    <tableColumn id="18" name="Гигиеническое обтирание" dataDxfId="561"/>
    <tableColumn id="19" name="Мытье головы, в том числе в кровати" dataDxfId="560"/>
    <tableColumn id="20" name="Помощь при мытье головы" dataDxfId="559"/>
    <tableColumn id="21" name="Подмывание" dataDxfId="558"/>
    <tableColumn id="22" name="Гигиеническая обработка рук и ногтей" dataDxfId="557"/>
    <tableColumn id="23" name="Помощь при гигиенической обработке рук и ногтей" dataDxfId="556"/>
    <tableColumn id="24" name="Мытье ног" dataDxfId="555"/>
    <tableColumn id="25" name="Помощь при мытье ног" dataDxfId="554"/>
    <tableColumn id="26" name="Гигиеническая обработка ног и ногтей" dataDxfId="553"/>
    <tableColumn id="27" name="Помощь при гигиенической обработка ног и ногтей" dataDxfId="552"/>
    <tableColumn id="28" name="Гигиенииеское бритье" dataDxfId="551"/>
    <tableColumn id="29" name="Гигиеническая стрижка" dataDxfId="550"/>
    <tableColumn id="30" name="Смена одежды (обуви)" dataDxfId="549"/>
    <tableColumn id="31" name="Помощь при смене одежды (обуви)" dataDxfId="548"/>
    <tableColumn id="32" name="Смена нательного белья" dataDxfId="547"/>
    <tableColumn id="33" name="Помощь при смене нательного белья" dataDxfId="546"/>
    <tableColumn id="34" name="Смена постельного белья" dataDxfId="545"/>
    <tableColumn id="35" name="Помощь при смене постельного белья" dataDxfId="544"/>
    <tableColumn id="36" name="Смена абсорбирующего белья, включая гигиеническую обработку" dataDxfId="543"/>
    <tableColumn id="37" name="Помощь при смене абсорбирующего белья" dataDxfId="542"/>
    <tableColumn id="38" name="Помощь при пользовании туалетом, включая гигиеническую обработку" dataDxfId="541"/>
    <tableColumn id="39" name="Замена мочеприемника и (или) калоприемника, включая гигиеническую обработку" dataDxfId="540"/>
    <tableColumn id="40" name="Помощь при замене мочеприемника и (или) калоприемника" dataDxfId="539"/>
    <tableColumn id="41" name="Позиционирование" dataDxfId="538"/>
    <tableColumn id="42" name="Помощь при позиционировании" dataDxfId="537"/>
    <tableColumn id="43" name="Пересаживание" dataDxfId="536"/>
    <tableColumn id="44" name="Помощь при пересаживании." dataDxfId="535"/>
    <tableColumn id="45" name="Помощь при передвижении по помещению, пересаживании" dataDxfId="534"/>
    <tableColumn id="46" name="Измерение температуры тела, артериального давления, пульса, сатурации" dataDxfId="533"/>
    <tableColumn id="47" name="Помощь в соблюдении медицинских рекомендаций" dataDxfId="532"/>
    <tableColumn id="48" name="Подготовка лекарственных препаратов к приему" dataDxfId="531"/>
    <tableColumn id="49" name="Помощь в соблюдении приема лекарственных препаратов" dataDxfId="530"/>
    <tableColumn id="50" name="Помощь в использовании очков и (или) слуховых аппаратов" dataDxfId="529"/>
    <tableColumn id="51" name="Помощь в использовании протезов или ортезов" dataDxfId="528"/>
    <tableColumn id="52" name="Помощь в поддержании посильной социальной активности" dataDxfId="527"/>
    <tableColumn id="53" name="Помощь в поддержании  посильной физической активности, включая прогулки" dataDxfId="526"/>
    <tableColumn id="54" name="Помощь в поддержании посильной бытовой активности" dataDxfId="525"/>
  </tableColumns>
  <tableStyleInfo name="Social" showFirstColumn="0" showLastColumn="0" showRowStripes="1" showColumnStripes="1"/>
</table>
</file>

<file path=xl/tables/table17.xml><?xml version="1.0" encoding="utf-8"?>
<table xmlns="http://schemas.openxmlformats.org/spreadsheetml/2006/main" id="44" name="МайТипСчета" displayName="МайТипСчета" ref="C1:C2" totalsRowShown="0" headerRowDxfId="524" dataDxfId="523">
  <autoFilter ref="C1:C2">
    <filterColumn colId="0" hiddenButton="1"/>
  </autoFilter>
  <tableColumns count="1">
    <tableColumn id="1" name="Тип Счета" dataDxfId="522"/>
  </tableColumns>
  <tableStyleInfo name="TableStyleLight16" showFirstColumn="0" showLastColumn="0" showRowStripes="1" showColumnStripes="0"/>
</table>
</file>

<file path=xl/tables/table18.xml><?xml version="1.0" encoding="utf-8"?>
<table xmlns="http://schemas.openxmlformats.org/spreadsheetml/2006/main" id="45" name="ИюньУслуги" displayName="ИюньУслуги" ref="A4:C5" totalsRowShown="0" headerRowDxfId="520" dataDxfId="519">
  <autoFilter ref="A4:C5">
    <filterColumn colId="0" hiddenButton="1"/>
    <filterColumn colId="1" hiddenButton="1"/>
    <filterColumn colId="2" hiddenButton="1"/>
  </autoFilter>
  <tableColumns count="3">
    <tableColumn id="1" name="Услуги" dataDxfId="518"/>
    <tableColumn id="2" name="б/пл." dataDxfId="517"/>
    <tableColumn id="3" name="пл." dataDxfId="516"/>
  </tableColumns>
  <tableStyleInfo name="TableStyleLight15" showFirstColumn="0" showLastColumn="0" showRowStripes="1" showColumnStripes="0"/>
</table>
</file>

<file path=xl/tables/table19.xml><?xml version="1.0" encoding="utf-8"?>
<table xmlns="http://schemas.openxmlformats.org/spreadsheetml/2006/main" id="46" name="ИюньДанные" displayName="ИюньДанные" ref="A7:BB8" headerRowDxfId="515" dataDxfId="514">
  <autoFilter ref="A7:BB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</autoFilter>
  <tableColumns count="54">
    <tableColumn id="1" name="Соц. Работник" totalsRowLabel="Итог" dataDxfId="513" totalsRowDxfId="512"/>
    <tableColumn id="2" name="Получатели ФИО" dataDxfId="511" totalsRowDxfId="510"/>
    <tableColumn id="3" name="Признак учета" dataDxfId="509" totalsRowDxfId="508"/>
    <tableColumn id="5" name="Итого" totalsRowFunction="sum" dataDxfId="507" totalsRowDxfId="506">
      <calculatedColumnFormula>SUM(INDIRECT(ADDRESS(ROW(ИюньДанные[[#This Row],[Итого]]),COLUMN(ИюньДанные[[#This Row],[Итого]])+2)):INDIRECT(ADDRESS(ROW(ИюньДанные[[#This Row],[Итого]]),COUNTA(ИюньДанные[#Headers]))))</calculatedColumnFormula>
    </tableColumn>
    <tableColumn id="6" name="Среднее кол-во услуг на 1 получ. Усл." totalsRowFunction="sum" dataDxfId="505" totalsRowDxfId="504">
      <calculatedColumnFormula>ИюньДанные[[#This Row],[Итого]]/COUNTIFS(ИюньДанные[Соц. Работник],ИюньДанные[[#This Row],[Соц. Работник]])</calculatedColumnFormula>
    </tableColumn>
    <tableColumn id="7" name="Приготовление пищи" totalsRowFunction="sum" dataDxfId="503" totalsRowDxfId="502"/>
    <tableColumn id="4" name="Помощь при приготовлении пищи" dataDxfId="501"/>
    <tableColumn id="8" name="Подготовка и подача пищи" dataDxfId="500"/>
    <tableColumn id="9" name="Помощь при подготовке пищи к приему" dataDxfId="499"/>
    <tableColumn id="10" name="Кормление" dataDxfId="498"/>
    <tableColumn id="11" name="Помощь при приеме пищи" dataDxfId="497"/>
    <tableColumn id="12" name="Помощь в соблюдении питьевого режима." dataDxfId="496"/>
    <tableColumn id="13" name="Умывание" dataDxfId="495"/>
    <tableColumn id="14" name="Помощь при умывании" dataDxfId="494"/>
    <tableColumn id="15" name="Купание в кровати, включая мытье головы" dataDxfId="493"/>
    <tableColumn id="16" name="Купание в приспособленном помещении (месте), включая мытье головы" dataDxfId="492"/>
    <tableColumn id="17" name="Помощь при купании в приспособленном помещении (месте), включая мытье головы" dataDxfId="491"/>
    <tableColumn id="18" name="Гигиеническое обтирание" dataDxfId="490"/>
    <tableColumn id="19" name="Мытье головы, в том числе в кровати" dataDxfId="489"/>
    <tableColumn id="20" name="Помощь при мытье головы" dataDxfId="488"/>
    <tableColumn id="21" name="Подмывание" dataDxfId="487"/>
    <tableColumn id="22" name="Гигиеническая обработка рук и ногтей" dataDxfId="486"/>
    <tableColumn id="23" name="Помощь при гигиенической обработке рук и ногтей" dataDxfId="485"/>
    <tableColumn id="24" name="Мытье ног" dataDxfId="484"/>
    <tableColumn id="25" name="Помощь при мытье ног" dataDxfId="483"/>
    <tableColumn id="26" name="Гигиеническая обработка ног и ногтей" dataDxfId="482"/>
    <tableColumn id="27" name="Помощь при гигиенической обработка ног и ногтей" dataDxfId="481"/>
    <tableColumn id="28" name="Гигиенииеское бритье" dataDxfId="480"/>
    <tableColumn id="29" name="Гигиеническая стрижка" dataDxfId="479"/>
    <tableColumn id="30" name="Смена одежды (обуви)" dataDxfId="478"/>
    <tableColumn id="31" name="Помощь при смене одежды (обуви)" dataDxfId="477"/>
    <tableColumn id="32" name="Смена нательного белья" dataDxfId="476"/>
    <tableColumn id="33" name="Помощь при смене нательного белья" dataDxfId="475"/>
    <tableColumn id="34" name="Смена постельного белья" dataDxfId="474"/>
    <tableColumn id="35" name="Помощь при смене постельного белья" dataDxfId="473"/>
    <tableColumn id="36" name="Смена абсорбирующего белья, включая гигиеническую обработку" dataDxfId="472"/>
    <tableColumn id="37" name="Помощь при смене абсорбирующего белья" dataDxfId="471"/>
    <tableColumn id="38" name="Помощь при пользовании туалетом, включая гигиеническую обработку" dataDxfId="470"/>
    <tableColumn id="39" name="Замена мочеприемника и (или) калоприемника, включая гигиеническую обработку" dataDxfId="469"/>
    <tableColumn id="40" name="Помощь при замене мочеприемника и (или) калоприемника" dataDxfId="468"/>
    <tableColumn id="41" name="Позиционирование" dataDxfId="467"/>
    <tableColumn id="42" name="Помощь при позиционировании" dataDxfId="466"/>
    <tableColumn id="43" name="Пересаживание" dataDxfId="465"/>
    <tableColumn id="44" name="Помощь при пересаживании." dataDxfId="464"/>
    <tableColumn id="45" name="Помощь при передвижении по помещению, пересаживании" dataDxfId="463"/>
    <tableColumn id="46" name="Измерение температуры тела, артериального давления, пульса, сатурации" dataDxfId="462"/>
    <tableColumn id="47" name="Помощь в соблюдении медицинских рекомендаций" dataDxfId="461"/>
    <tableColumn id="48" name="Подготовка лекарственных препаратов к приему" dataDxfId="460"/>
    <tableColumn id="49" name="Помощь в соблюдении приема лекарственных препаратов" dataDxfId="459"/>
    <tableColumn id="50" name="Помощь в использовании очков и (или) слуховых аппаратов" dataDxfId="458"/>
    <tableColumn id="51" name="Помощь в использовании протезов или ортезов" dataDxfId="457"/>
    <tableColumn id="52" name="Помощь в поддержании посильной социальной активности" dataDxfId="456"/>
    <tableColumn id="53" name="Помощь в поддержании  посильной физической активности, включая прогулки" dataDxfId="455"/>
    <tableColumn id="54" name="Помощь в поддержании посильной бытовой активности" dataDxfId="454"/>
  </tableColumns>
  <tableStyleInfo name="Social" showFirstColumn="0" showLastColumn="0" showRowStripes="1" showColumnStripes="1"/>
</table>
</file>

<file path=xl/tables/table20.xml><?xml version="1.0" encoding="utf-8"?>
<table xmlns="http://schemas.openxmlformats.org/spreadsheetml/2006/main" id="47" name="ИюньТипСчета" displayName="ИюньТипСчета" ref="C1:C2" totalsRowShown="0" headerRowDxfId="453" dataDxfId="452">
  <autoFilter ref="C1:C2">
    <filterColumn colId="0" hiddenButton="1"/>
  </autoFilter>
  <tableColumns count="1">
    <tableColumn id="1" name="Тип Счета" dataDxfId="451"/>
  </tableColumns>
  <tableStyleInfo name="TableStyleLight16" showFirstColumn="0" showLastColumn="0" showRowStripes="1" showColumnStripes="0"/>
</table>
</file>

<file path=xl/tables/table21.xml><?xml version="1.0" encoding="utf-8"?>
<table xmlns="http://schemas.openxmlformats.org/spreadsheetml/2006/main" id="15" name="ИюльУслуги" displayName="ИюльУслуги" ref="A4:C5" totalsRowShown="0" headerRowDxfId="449" dataDxfId="448">
  <autoFilter ref="A4:C5">
    <filterColumn colId="0" hiddenButton="1"/>
    <filterColumn colId="1" hiddenButton="1"/>
    <filterColumn colId="2" hiddenButton="1"/>
  </autoFilter>
  <tableColumns count="3">
    <tableColumn id="1" name="Услуги" dataDxfId="447"/>
    <tableColumn id="2" name="б/пл." dataDxfId="446"/>
    <tableColumn id="3" name="пл." dataDxfId="445"/>
  </tableColumns>
  <tableStyleInfo name="TableStyleLight15" showFirstColumn="0" showLastColumn="0" showRowStripes="1" showColumnStripes="0"/>
</table>
</file>

<file path=xl/tables/table22.xml><?xml version="1.0" encoding="utf-8"?>
<table xmlns="http://schemas.openxmlformats.org/spreadsheetml/2006/main" id="16" name="ИюльДанные" displayName="ИюльДанные" ref="A7:BB8" headerRowDxfId="444" dataDxfId="443">
  <autoFilter ref="A7:BB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</autoFilter>
  <tableColumns count="54">
    <tableColumn id="1" name="Соц. Работник" totalsRowLabel="Итог" dataDxfId="442" totalsRowDxfId="441"/>
    <tableColumn id="2" name="Получатели ФИО" dataDxfId="440" totalsRowDxfId="439"/>
    <tableColumn id="3" name="Признак учета" dataDxfId="438" totalsRowDxfId="437"/>
    <tableColumn id="5" name="Итого" totalsRowFunction="sum" dataDxfId="436" totalsRowDxfId="435">
      <calculatedColumnFormula>SUM(INDIRECT(ADDRESS(ROW(ИюльДанные[[#This Row],[Итого]]),COLUMN(ИюльДанные[[#This Row],[Итого]])+2)):INDIRECT(ADDRESS(ROW(ИюльДанные[[#This Row],[Итого]]),COUNTA(ИюльДанные[#Headers]))))</calculatedColumnFormula>
    </tableColumn>
    <tableColumn id="6" name="Среднее кол-во услуг на 1 получ. Усл." totalsRowFunction="sum" dataDxfId="434" totalsRowDxfId="433">
      <calculatedColumnFormula>ИюльДанные[[#This Row],[Итого]]/COUNTIFS(ИюльДанные[Соц. Работник],ИюльДанные[[#This Row],[Соц. Работник]])</calculatedColumnFormula>
    </tableColumn>
    <tableColumn id="7" name="Приготовление пищи" totalsRowFunction="sum" dataDxfId="432" totalsRowDxfId="431"/>
    <tableColumn id="4" name="Помощь при приготовлении пищи" dataDxfId="430"/>
    <tableColumn id="8" name="Подготовка и подача пищи" dataDxfId="429"/>
    <tableColumn id="9" name="Помощь при подготовке пищи к приему" dataDxfId="428"/>
    <tableColumn id="10" name="Кормление" dataDxfId="427"/>
    <tableColumn id="11" name="Помощь при приеме пищи" dataDxfId="426"/>
    <tableColumn id="12" name="Помощь в соблюдении питьевого режима." dataDxfId="425"/>
    <tableColumn id="13" name="Умывание" dataDxfId="424"/>
    <tableColumn id="14" name="Помощь при умывании" dataDxfId="423"/>
    <tableColumn id="15" name="Купание в кровати, включая мытье головы" dataDxfId="422"/>
    <tableColumn id="16" name="Купание в приспособленном помещении (месте), включая мытье головы" dataDxfId="421"/>
    <tableColumn id="17" name="Помощь при купании в приспособленном помещении (месте), включая мытье головы" dataDxfId="420"/>
    <tableColumn id="18" name="Гигиеническое обтирание" dataDxfId="419"/>
    <tableColumn id="19" name="Мытье головы, в том числе в кровати" dataDxfId="418"/>
    <tableColumn id="20" name="Помощь при мытье головы" dataDxfId="417"/>
    <tableColumn id="21" name="Подмывание" dataDxfId="416"/>
    <tableColumn id="22" name="Гигиеническая обработка рук и ногтей" dataDxfId="415"/>
    <tableColumn id="23" name="Помощь при гигиенической обработке рук и ногтей" dataDxfId="414"/>
    <tableColumn id="24" name="Мытье ног" dataDxfId="413"/>
    <tableColumn id="25" name="Помощь при мытье ног" dataDxfId="412"/>
    <tableColumn id="26" name="Гигиеническая обработка ног и ногтей" dataDxfId="411"/>
    <tableColumn id="27" name="Помощь при гигиенической обработка ног и ногтей" dataDxfId="410"/>
    <tableColumn id="28" name="Гигиенииеское бритье" dataDxfId="409"/>
    <tableColumn id="29" name="Гигиеническая стрижка" dataDxfId="408"/>
    <tableColumn id="30" name="Смена одежды (обуви)" dataDxfId="407"/>
    <tableColumn id="31" name="Помощь при смене одежды (обуви)" dataDxfId="406"/>
    <tableColumn id="32" name="Смена нательного белья" dataDxfId="405"/>
    <tableColumn id="33" name="Помощь при смене нательного белья" dataDxfId="404"/>
    <tableColumn id="34" name="Смена постельного белья" dataDxfId="403"/>
    <tableColumn id="35" name="Помощь при смене постельного белья" dataDxfId="402"/>
    <tableColumn id="36" name="Смена абсорбирующего белья, включая гигиеническую обработку" dataDxfId="401"/>
    <tableColumn id="37" name="Помощь при смене абсорбирующего белья" dataDxfId="400"/>
    <tableColumn id="38" name="Помощь при пользовании туалетом, включая гигиеническую обработку" dataDxfId="399"/>
    <tableColumn id="39" name="Замена мочеприемника и (или) калоприемника, включая гигиеническую обработку" dataDxfId="398"/>
    <tableColumn id="40" name="Помощь при замене мочеприемника и (или) калоприемника" dataDxfId="397"/>
    <tableColumn id="41" name="Позиционирование" dataDxfId="396"/>
    <tableColumn id="42" name="Помощь при позиционировании" dataDxfId="395"/>
    <tableColumn id="43" name="Пересаживание" dataDxfId="394"/>
    <tableColumn id="44" name="Помощь при пересаживании." dataDxfId="393"/>
    <tableColumn id="45" name="Помощь при передвижении по помещению, пересаживании" dataDxfId="392"/>
    <tableColumn id="46" name="Измерение температуры тела, артериального давления, пульса, сатурации" dataDxfId="391"/>
    <tableColumn id="47" name="Помощь в соблюдении медицинских рекомендаций" dataDxfId="390"/>
    <tableColumn id="48" name="Подготовка лекарственных препаратов к приему" dataDxfId="389"/>
    <tableColumn id="49" name="Помощь в соблюдении приема лекарственных препаратов" dataDxfId="388"/>
    <tableColumn id="50" name="Помощь в использовании очков и (или) слуховых аппаратов" dataDxfId="387"/>
    <tableColumn id="51" name="Помощь в использовании протезов или ортезов" dataDxfId="386"/>
    <tableColumn id="52" name="Помощь в поддержании посильной социальной активности" dataDxfId="385"/>
    <tableColumn id="53" name="Помощь в поддержании  посильной физической активности, включая прогулки" dataDxfId="384"/>
    <tableColumn id="54" name="Помощь в поддержании посильной бытовой активности" dataDxfId="383"/>
  </tableColumns>
  <tableStyleInfo name="Social" showFirstColumn="0" showLastColumn="0" showRowStripes="1" showColumnStripes="1"/>
</table>
</file>

<file path=xl/tables/table23.xml><?xml version="1.0" encoding="utf-8"?>
<table xmlns="http://schemas.openxmlformats.org/spreadsheetml/2006/main" id="34" name="ИюльТипСчета" displayName="ИюльТипСчета" ref="C1:C2" totalsRowShown="0" headerRowDxfId="382" dataDxfId="381">
  <autoFilter ref="C1:C2">
    <filterColumn colId="0" hiddenButton="1"/>
  </autoFilter>
  <tableColumns count="1">
    <tableColumn id="1" name="Тип Счета" dataDxfId="380"/>
  </tableColumns>
  <tableStyleInfo name="TableStyleLight16" showFirstColumn="0" showLastColumn="0" showRowStripes="1" showColumnStripes="0"/>
</table>
</file>

<file path=xl/tables/table24.xml><?xml version="1.0" encoding="utf-8"?>
<table xmlns="http://schemas.openxmlformats.org/spreadsheetml/2006/main" id="9" name="АвгустУслуги" displayName="АвгустУслуги" ref="A4:C5" totalsRowShown="0" headerRowDxfId="378" dataDxfId="377">
  <autoFilter ref="A4:C5">
    <filterColumn colId="0" hiddenButton="1"/>
    <filterColumn colId="1" hiddenButton="1"/>
    <filterColumn colId="2" hiddenButton="1"/>
  </autoFilter>
  <tableColumns count="3">
    <tableColumn id="1" name="Услуги" dataDxfId="376"/>
    <tableColumn id="2" name="б/пл." dataDxfId="375"/>
    <tableColumn id="3" name="пл." dataDxfId="374"/>
  </tableColumns>
  <tableStyleInfo name="TableStyleLight15" showFirstColumn="0" showLastColumn="0" showRowStripes="1" showColumnStripes="0"/>
</table>
</file>

<file path=xl/tables/table25.xml><?xml version="1.0" encoding="utf-8"?>
<table xmlns="http://schemas.openxmlformats.org/spreadsheetml/2006/main" id="10" name="АвгустДанные" displayName="АвгустДанные" ref="A7:BB8" headerRowDxfId="373" dataDxfId="372" totalsRowDxfId="371">
  <autoFilter ref="A7:BB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</autoFilter>
  <tableColumns count="54">
    <tableColumn id="1" name="Соц. Работник" totalsRowLabel="Итог" dataDxfId="370" totalsRowDxfId="369"/>
    <tableColumn id="2" name="Получатели ФИО" dataDxfId="368" totalsRowDxfId="367"/>
    <tableColumn id="3" name="Признак учета" dataDxfId="366" totalsRowDxfId="365"/>
    <tableColumn id="5" name="Итого" totalsRowFunction="sum" dataDxfId="364" totalsRowDxfId="363">
      <calculatedColumnFormula>SUM(INDIRECT(ADDRESS(ROW(АвгустДанные[[#This Row],[Итого]]),COLUMN(АвгустДанные[[#This Row],[Итого]])+2)):INDIRECT(ADDRESS(ROW(АвгустДанные[[#This Row],[Итого]]),COUNTA(АвгустДанные[#Headers]))))</calculatedColumnFormula>
    </tableColumn>
    <tableColumn id="6" name="Среднее кол-во услуг на 1 получ. Усл." totalsRowFunction="sum" dataDxfId="362" totalsRowDxfId="361">
      <calculatedColumnFormula>АвгустДанные[[#This Row],[Итого]]/COUNTIFS(АвгустДанные[Соц. Работник],АвгустДанные[[#This Row],[Соц. Работник]])</calculatedColumnFormula>
    </tableColumn>
    <tableColumn id="7" name="Приготовление пищи" totalsRowFunction="sum" dataDxfId="360" totalsRowDxfId="359"/>
    <tableColumn id="4" name="Помощь при приготовлении пищи" dataDxfId="358" totalsRowDxfId="357"/>
    <tableColumn id="8" name="Подготовка и подача пищи" dataDxfId="356" totalsRowDxfId="355"/>
    <tableColumn id="9" name="Помощь при подготовке пищи к приему" dataDxfId="354" totalsRowDxfId="353"/>
    <tableColumn id="10" name="Кормление" dataDxfId="352" totalsRowDxfId="351"/>
    <tableColumn id="11" name="Помощь при приеме пищи" dataDxfId="350" totalsRowDxfId="349"/>
    <tableColumn id="12" name="Помощь в соблюдении питьевого режима." dataDxfId="348" totalsRowDxfId="347"/>
    <tableColumn id="13" name="Умывание" dataDxfId="346" totalsRowDxfId="345"/>
    <tableColumn id="14" name="Помощь при умывании" dataDxfId="344" totalsRowDxfId="343"/>
    <tableColumn id="15" name="Купание в кровати, включая мытье головы" dataDxfId="342" totalsRowDxfId="341"/>
    <tableColumn id="16" name="Купание в приспособленном помещении (месте), включая мытье головы" dataDxfId="340" totalsRowDxfId="339"/>
    <tableColumn id="17" name="Помощь при купании в приспособленном помещении (месте), включая мытье головы" dataDxfId="338" totalsRowDxfId="337"/>
    <tableColumn id="18" name="Гигиеническое обтирание" dataDxfId="336" totalsRowDxfId="335"/>
    <tableColumn id="19" name="Мытье головы, в том числе в кровати" dataDxfId="334" totalsRowDxfId="333"/>
    <tableColumn id="20" name="Помощь при мытье головы" dataDxfId="332" totalsRowDxfId="331"/>
    <tableColumn id="21" name="Подмывание" dataDxfId="330" totalsRowDxfId="329"/>
    <tableColumn id="22" name="Гигиеническая обработка рук и ногтей" dataDxfId="328" totalsRowDxfId="327"/>
    <tableColumn id="23" name="Помощь при гигиенической обработке рук и ногтей" dataDxfId="326" totalsRowDxfId="325"/>
    <tableColumn id="24" name="Мытье ног" dataDxfId="324" totalsRowDxfId="323"/>
    <tableColumn id="25" name="Помощь при мытье ног" dataDxfId="322" totalsRowDxfId="321"/>
    <tableColumn id="26" name="Гигиеническая обработка ног и ногтей" dataDxfId="320" totalsRowDxfId="319"/>
    <tableColumn id="27" name="Помощь при гигиенической обработка ног и ногтей" dataDxfId="318" totalsRowDxfId="317"/>
    <tableColumn id="28" name="Гигиенииеское бритье" dataDxfId="316" totalsRowDxfId="315"/>
    <tableColumn id="29" name="Гигиеническая стрижка" dataDxfId="314" totalsRowDxfId="313"/>
    <tableColumn id="30" name="Смена одежды (обуви)" dataDxfId="312" totalsRowDxfId="311"/>
    <tableColumn id="31" name="Помощь при смене одежды (обуви)" dataDxfId="310" totalsRowDxfId="309"/>
    <tableColumn id="32" name="Смена нательного белья" dataDxfId="308" totalsRowDxfId="307"/>
    <tableColumn id="33" name="Помощь при смене нательного белья" dataDxfId="306" totalsRowDxfId="305"/>
    <tableColumn id="34" name="Смена постельного белья" dataDxfId="304" totalsRowDxfId="303"/>
    <tableColumn id="35" name="Помощь при смене постельного белья" dataDxfId="302" totalsRowDxfId="301"/>
    <tableColumn id="36" name="Смена абсорбирующего белья, включая гигиеническую обработку" dataDxfId="300" totalsRowDxfId="299"/>
    <tableColumn id="37" name="Помощь при смене абсорбирующего белья" dataDxfId="298" totalsRowDxfId="297"/>
    <tableColumn id="38" name="Помощь при пользовании туалетом, включая гигиеническую обработку" dataDxfId="296" totalsRowDxfId="295"/>
    <tableColumn id="39" name="Замена мочеприемника и (или) калоприемника, включая гигиеническую обработку" dataDxfId="294" totalsRowDxfId="293"/>
    <tableColumn id="40" name="Помощь при замене мочеприемника и (или) калоприемника" dataDxfId="292" totalsRowDxfId="291"/>
    <tableColumn id="41" name="Позиционирование" dataDxfId="290" totalsRowDxfId="289"/>
    <tableColumn id="42" name="Помощь при позиционировании" dataDxfId="288" totalsRowDxfId="287"/>
    <tableColumn id="43" name="Пересаживание" dataDxfId="286" totalsRowDxfId="285"/>
    <tableColumn id="44" name="Помощь при пересаживании." dataDxfId="284" totalsRowDxfId="283"/>
    <tableColumn id="45" name="Помощь при передвижении по помещению, пересаживании" dataDxfId="282" totalsRowDxfId="281"/>
    <tableColumn id="46" name="Измерение температуры тела, артериального давления, пульса, сатурации" dataDxfId="280" totalsRowDxfId="279"/>
    <tableColumn id="47" name="Помощь в соблюдении медицинских рекомендаций" dataDxfId="278" totalsRowDxfId="277"/>
    <tableColumn id="48" name="Подготовка лекарственных препаратов к приему" dataDxfId="276" totalsRowDxfId="275"/>
    <tableColumn id="49" name="Помощь в соблюдении приема лекарственных препаратов" dataDxfId="274" totalsRowDxfId="273"/>
    <tableColumn id="50" name="Помощь в использовании очков и (или) слуховых аппаратов" dataDxfId="272" totalsRowDxfId="271"/>
    <tableColumn id="51" name="Помощь в использовании протезов или ортезов" dataDxfId="270" totalsRowDxfId="269"/>
    <tableColumn id="52" name="Помощь в поддержании посильной социальной активности" dataDxfId="268" totalsRowDxfId="267"/>
    <tableColumn id="53" name="Помощь в поддержании  посильной физической активности, включая прогулки" dataDxfId="266" totalsRowDxfId="265"/>
    <tableColumn id="54" name="Помощь в поддержании посильной бытовой активности" dataDxfId="264" totalsRowDxfId="263"/>
  </tableColumns>
  <tableStyleInfo name="Social" showFirstColumn="0" showLastColumn="0" showRowStripes="1" showColumnStripes="1"/>
</table>
</file>

<file path=xl/tables/table26.xml><?xml version="1.0" encoding="utf-8"?>
<table xmlns="http://schemas.openxmlformats.org/spreadsheetml/2006/main" id="11" name="АвгустТипСчета" displayName="АвгустТипСчета" ref="C1:C2" totalsRowShown="0" headerRowDxfId="262" dataDxfId="261">
  <autoFilter ref="C1:C2">
    <filterColumn colId="0" hiddenButton="1"/>
  </autoFilter>
  <tableColumns count="1">
    <tableColumn id="1" name="Тип Счета" dataDxfId="260"/>
  </tableColumns>
  <tableStyleInfo name="TableStyleLight16" showFirstColumn="0" showLastColumn="0" showRowStripes="1" showColumnStripes="0"/>
</table>
</file>

<file path=xl/tables/table27.xml><?xml version="1.0" encoding="utf-8"?>
<table xmlns="http://schemas.openxmlformats.org/spreadsheetml/2006/main" id="19" name="СентябрьУслуги" displayName="СентябрьУслуги" ref="A4:C5" totalsRowShown="0" headerRowDxfId="258" dataDxfId="257">
  <autoFilter ref="A4:C5">
    <filterColumn colId="0" hiddenButton="1"/>
    <filterColumn colId="1" hiddenButton="1"/>
    <filterColumn colId="2" hiddenButton="1"/>
  </autoFilter>
  <tableColumns count="3">
    <tableColumn id="1" name="Услуги" dataDxfId="256"/>
    <tableColumn id="2" name="б/пл." dataDxfId="255"/>
    <tableColumn id="3" name="пл." dataDxfId="254"/>
  </tableColumns>
  <tableStyleInfo name="TableStyleLight15" showFirstColumn="0" showLastColumn="0" showRowStripes="1" showColumnStripes="0"/>
</table>
</file>

<file path=xl/tables/table28.xml><?xml version="1.0" encoding="utf-8"?>
<table xmlns="http://schemas.openxmlformats.org/spreadsheetml/2006/main" id="20" name="СентябрьДанные" displayName="СентябрьДанные" ref="A7:BB8" totalsRowShown="0" headerRowDxfId="253" dataDxfId="252">
  <autoFilter ref="A7:BB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</autoFilter>
  <tableColumns count="54">
    <tableColumn id="1" name="Соц. Работник" dataDxfId="251"/>
    <tableColumn id="2" name="Получатели ФИО" dataDxfId="250"/>
    <tableColumn id="3" name="Признак учета" dataDxfId="249"/>
    <tableColumn id="5" name="Итого" dataDxfId="248">
      <calculatedColumnFormula>SUM(INDIRECT(ADDRESS(ROW(СентябрьДанные[[#This Row],[Итого]]),COLUMN(СентябрьДанные[[#This Row],[Итого]])+2)):INDIRECT(ADDRESS(ROW(СентябрьДанные[[#This Row],[Итого]]),COUNTA(СентябрьДанные[#Headers]))))</calculatedColumnFormula>
    </tableColumn>
    <tableColumn id="6" name="Среднее кол-во услуг на 1 получ. Усл." dataDxfId="247">
      <calculatedColumnFormula>СентябрьДанные[[#This Row],[Итого]]/COUNTIFS(СентябрьДанные[Соц. Работник],СентябрьДанные[[#This Row],[Соц. Работник]])</calculatedColumnFormula>
    </tableColumn>
    <tableColumn id="7" name="Приготовление пищи" dataDxfId="246"/>
    <tableColumn id="4" name="Помощь при приготовлении пищи" dataDxfId="245"/>
    <tableColumn id="8" name="Подготовка и подача пищи" dataDxfId="244"/>
    <tableColumn id="9" name="Помощь при подготовке пищи к приему" dataDxfId="243"/>
    <tableColumn id="10" name="Кормление" dataDxfId="242"/>
    <tableColumn id="11" name="Помощь при приеме пищи" dataDxfId="241"/>
    <tableColumn id="12" name="Помощь в соблюдении питьевого режима." dataDxfId="240"/>
    <tableColumn id="13" name="Умывание" dataDxfId="239"/>
    <tableColumn id="14" name="Помощь при умывании" dataDxfId="238"/>
    <tableColumn id="15" name="Купание в кровати, включая мытье головы" dataDxfId="237"/>
    <tableColumn id="16" name="Купание в приспособленном помещении (месте), включая мытье головы" dataDxfId="236"/>
    <tableColumn id="17" name="Помощь при купании в приспособленном помещении (месте), включая мытье головы" dataDxfId="235"/>
    <tableColumn id="18" name="Гигиеническое обтирание" dataDxfId="234"/>
    <tableColumn id="19" name="Мытье головы, в том числе в кровати" dataDxfId="233"/>
    <tableColumn id="20" name="Помощь при мытье головы" dataDxfId="232"/>
    <tableColumn id="21" name="Подмывание" dataDxfId="231"/>
    <tableColumn id="22" name="Гигиеническая обработка рук и ногтей" dataDxfId="230"/>
    <tableColumn id="23" name="Помощь при гигиенической обработке рук и ногтей" dataDxfId="229"/>
    <tableColumn id="24" name="Мытье ног" dataDxfId="228"/>
    <tableColumn id="25" name="Помощь при мытье ног" dataDxfId="227"/>
    <tableColumn id="26" name="Гигиеническая обработка ног и ногтей" dataDxfId="226"/>
    <tableColumn id="27" name="Помощь при гигиенической обработка ног и ногтей" dataDxfId="225"/>
    <tableColumn id="28" name="Гигиенииеское бритье" dataDxfId="224"/>
    <tableColumn id="29" name="Гигиеническая стрижка" dataDxfId="223"/>
    <tableColumn id="30" name="Смена одежды (обуви)" dataDxfId="222"/>
    <tableColumn id="31" name="Помощь при смене одежды (обуви)" dataDxfId="221"/>
    <tableColumn id="32" name="Смена нательного белья" dataDxfId="220"/>
    <tableColumn id="33" name="Помощь при смене нательного белья" dataDxfId="219"/>
    <tableColumn id="34" name="Смена постельного белья" dataDxfId="218"/>
    <tableColumn id="35" name="Помощь при смене постельного белья" dataDxfId="217"/>
    <tableColumn id="36" name="Смена абсорбирующего белья, включая гигиеническую обработку" dataDxfId="216"/>
    <tableColumn id="37" name="Помощь при смене абсорбирующего белья" dataDxfId="215"/>
    <tableColumn id="38" name="Помощь при пользовании туалетом, включая гигиеническую обработку" dataDxfId="214"/>
    <tableColumn id="39" name="Замена мочеприемника и (или) калоприемника, включая гигиеническую обработку" dataDxfId="213"/>
    <tableColumn id="40" name="Помощь при замене мочеприемника и (или) калоприемника" dataDxfId="212"/>
    <tableColumn id="41" name="Позиционирование" dataDxfId="211"/>
    <tableColumn id="42" name="Помощь при позиционировании" dataDxfId="210"/>
    <tableColumn id="43" name="Пересаживание" dataDxfId="209"/>
    <tableColumn id="44" name="Помощь при пересаживании." dataDxfId="208"/>
    <tableColumn id="45" name="Помощь при передвижении по помещению, пересаживании" dataDxfId="207"/>
    <tableColumn id="46" name="Измерение температуры тела, артериального давления, пульса, сатурации" dataDxfId="206"/>
    <tableColumn id="47" name="Помощь в соблюдении медицинских рекомендаций" dataDxfId="205"/>
    <tableColumn id="48" name="Подготовка лекарственных препаратов к приему" dataDxfId="204"/>
    <tableColumn id="49" name="Помощь в соблюдении приема лекарственных препаратов" dataDxfId="203"/>
    <tableColumn id="50" name="Помощь в использовании очков и (или) слуховых аппаратов" dataDxfId="202"/>
    <tableColumn id="51" name="Помощь в использовании протезов или ортезов" dataDxfId="201"/>
    <tableColumn id="52" name="Помощь в поддержании посильной социальной активности" dataDxfId="200"/>
    <tableColumn id="53" name="Помощь в поддержании  посильной физической активности, включая прогулки" dataDxfId="199"/>
    <tableColumn id="54" name="Помощь в поддержании посильной бытовой активности" dataDxfId="198"/>
  </tableColumns>
  <tableStyleInfo name="Social" showFirstColumn="0" showLastColumn="0" showRowStripes="1" showColumnStripes="1"/>
</table>
</file>

<file path=xl/tables/table29.xml><?xml version="1.0" encoding="utf-8"?>
<table xmlns="http://schemas.openxmlformats.org/spreadsheetml/2006/main" id="36" name="СентябрьТипСчета" displayName="СентябрьТипСчета" ref="C1:C2" totalsRowShown="0" headerRowDxfId="197" dataDxfId="196">
  <autoFilter ref="C1:C2">
    <filterColumn colId="0" hiddenButton="1"/>
  </autoFilter>
  <tableColumns count="1">
    <tableColumn id="1" name="Тип Счета" dataDxfId="195"/>
  </tableColumns>
  <tableStyleInfo name="TableStyleLight16" showFirstColumn="0" showLastColumn="0" showRowStripes="1" showColumnStripes="0"/>
</table>
</file>

<file path=xl/tables/table30.xml><?xml version="1.0" encoding="utf-8"?>
<table xmlns="http://schemas.openxmlformats.org/spreadsheetml/2006/main" id="21" name="ОктябрьУслуги" displayName="ОктябрьУслуги" ref="A4:C5" totalsRowShown="0" headerRowDxfId="193" dataDxfId="192">
  <autoFilter ref="A4:C5">
    <filterColumn colId="0" hiddenButton="1"/>
    <filterColumn colId="1" hiddenButton="1"/>
    <filterColumn colId="2" hiddenButton="1"/>
  </autoFilter>
  <tableColumns count="3">
    <tableColumn id="1" name="Услуги" dataDxfId="191"/>
    <tableColumn id="2" name="б/пл." dataDxfId="190"/>
    <tableColumn id="3" name="пл." dataDxfId="189"/>
  </tableColumns>
  <tableStyleInfo name="TableStyleLight15" showFirstColumn="0" showLastColumn="0" showRowStripes="1" showColumnStripes="0"/>
</table>
</file>

<file path=xl/tables/table31.xml><?xml version="1.0" encoding="utf-8"?>
<table xmlns="http://schemas.openxmlformats.org/spreadsheetml/2006/main" id="22" name="ОктябрьДанные" displayName="ОктябрьДанные" ref="A7:BB8" totalsRowShown="0" headerRowDxfId="188" dataDxfId="187">
  <autoFilter ref="A7:BB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</autoFilter>
  <tableColumns count="54">
    <tableColumn id="1" name="Соц. Работник" dataDxfId="186"/>
    <tableColumn id="2" name="Получатели ФИО" dataDxfId="185"/>
    <tableColumn id="3" name="Признак учета" dataDxfId="184"/>
    <tableColumn id="5" name="Итого" dataDxfId="183">
      <calculatedColumnFormula>SUM(INDIRECT(ADDRESS(ROW(ОктябрьДанные[[#This Row],[Итого]]),COLUMN(ОктябрьДанные[[#This Row],[Итого]])+2)):INDIRECT(ADDRESS(ROW(ОктябрьДанные[[#This Row],[Итого]]),COUNTA(ОктябрьДанные[#Headers]))))</calculatedColumnFormula>
    </tableColumn>
    <tableColumn id="6" name="Среднее кол-во услуг на 1 получ. Усл." dataDxfId="182">
      <calculatedColumnFormula>ОктябрьДанные[[#This Row],[Итого]]/COUNTIFS(ОктябрьДанные[Соц. Работник],ОктябрьДанные[[#This Row],[Соц. Работник]])</calculatedColumnFormula>
    </tableColumn>
    <tableColumn id="7" name="Приготовление пищи" dataDxfId="181"/>
    <tableColumn id="4" name="Помощь при приготовлении пищи" dataDxfId="180"/>
    <tableColumn id="8" name="Подготовка и подача пищи" dataDxfId="179"/>
    <tableColumn id="9" name="Помощь при подготовке пищи к приему" dataDxfId="178"/>
    <tableColumn id="10" name="Кормление" dataDxfId="177"/>
    <tableColumn id="11" name="Помощь при приеме пищи" dataDxfId="176"/>
    <tableColumn id="12" name="Помощь в соблюдении питьевого режима." dataDxfId="175"/>
    <tableColumn id="13" name="Умывание" dataDxfId="174"/>
    <tableColumn id="14" name="Помощь при умывании" dataDxfId="173"/>
    <tableColumn id="15" name="Купание в кровати, включая мытье головы" dataDxfId="172"/>
    <tableColumn id="16" name="Купание в приспособленном помещении (месте), включая мытье головы" dataDxfId="171"/>
    <tableColumn id="17" name="Помощь при купании в приспособленном помещении (месте), включая мытье головы" dataDxfId="170"/>
    <tableColumn id="18" name="Гигиеническое обтирание" dataDxfId="169"/>
    <tableColumn id="19" name="Мытье головы, в том числе в кровати" dataDxfId="168"/>
    <tableColumn id="20" name="Помощь при мытье головы" dataDxfId="167"/>
    <tableColumn id="21" name="Подмывание" dataDxfId="166"/>
    <tableColumn id="22" name="Гигиеническая обработка рук и ногтей" dataDxfId="165"/>
    <tableColumn id="23" name="Помощь при гигиенической обработке рук и ногтей" dataDxfId="164"/>
    <tableColumn id="24" name="Мытье ног" dataDxfId="163"/>
    <tableColumn id="25" name="Помощь при мытье ног" dataDxfId="162"/>
    <tableColumn id="26" name="Гигиеническая обработка ног и ногтей" dataDxfId="161"/>
    <tableColumn id="27" name="Помощь при гигиенической обработка ног и ногтей" dataDxfId="160"/>
    <tableColumn id="28" name="Гигиенииеское бритье" dataDxfId="159"/>
    <tableColumn id="29" name="Гигиеническая стрижка" dataDxfId="158"/>
    <tableColumn id="30" name="Смена одежды (обуви)" dataDxfId="157"/>
    <tableColumn id="31" name="Помощь при смене одежды (обуви)" dataDxfId="156"/>
    <tableColumn id="32" name="Смена нательного белья" dataDxfId="155"/>
    <tableColumn id="33" name="Помощь при смене нательного белья" dataDxfId="154"/>
    <tableColumn id="34" name="Смена постельного белья" dataDxfId="153"/>
    <tableColumn id="35" name="Помощь при смене постельного белья" dataDxfId="152"/>
    <tableColumn id="36" name="Смена абсорбирующего белья, включая гигиеническую обработку" dataDxfId="151"/>
    <tableColumn id="37" name="Помощь при смене абсорбирующего белья" dataDxfId="150"/>
    <tableColumn id="38" name="Помощь при пользовании туалетом, включая гигиеническую обработку" dataDxfId="149"/>
    <tableColumn id="39" name="Замена мочеприемника и (или) калоприемника, включая гигиеническую обработку" dataDxfId="148"/>
    <tableColumn id="40" name="Помощь при замене мочеприемника и (или) калоприемника" dataDxfId="147"/>
    <tableColumn id="41" name="Позиционирование" dataDxfId="146"/>
    <tableColumn id="42" name="Помощь при позиционировании" dataDxfId="145"/>
    <tableColumn id="43" name="Пересаживание" dataDxfId="144"/>
    <tableColumn id="44" name="Помощь при пересаживании." dataDxfId="143"/>
    <tableColumn id="45" name="Помощь при передвижении по помещению, пересаживании" dataDxfId="142"/>
    <tableColumn id="46" name="Измерение температуры тела, артериального давления, пульса, сатурации" dataDxfId="141"/>
    <tableColumn id="47" name="Помощь в соблюдении медицинских рекомендаций" dataDxfId="140"/>
    <tableColumn id="48" name="Подготовка лекарственных препаратов к приему" dataDxfId="139"/>
    <tableColumn id="49" name="Помощь в соблюдении приема лекарственных препаратов" dataDxfId="138"/>
    <tableColumn id="50" name="Помощь в использовании очков и (или) слуховых аппаратов" dataDxfId="137"/>
    <tableColumn id="51" name="Помощь в использовании протезов или ортезов" dataDxfId="136"/>
    <tableColumn id="52" name="Помощь в поддержании посильной социальной активности" dataDxfId="135"/>
    <tableColumn id="53" name="Помощь в поддержании  посильной физической активности, включая прогулки" dataDxfId="134"/>
    <tableColumn id="54" name="Помощь в поддержании посильной бытовой активности" dataDxfId="133"/>
  </tableColumns>
  <tableStyleInfo name="Social" showFirstColumn="0" showLastColumn="0" showRowStripes="1" showColumnStripes="1"/>
</table>
</file>

<file path=xl/tables/table32.xml><?xml version="1.0" encoding="utf-8"?>
<table xmlns="http://schemas.openxmlformats.org/spreadsheetml/2006/main" id="37" name="ОктябрьТипСчета" displayName="ОктябрьТипСчета" ref="C1:C2" totalsRowShown="0" headerRowDxfId="132" dataDxfId="131">
  <autoFilter ref="C1:C2">
    <filterColumn colId="0" hiddenButton="1"/>
  </autoFilter>
  <tableColumns count="1">
    <tableColumn id="1" name="Тип Счета" dataDxfId="130"/>
  </tableColumns>
  <tableStyleInfo name="TableStyleLight16" showFirstColumn="0" showLastColumn="0" showRowStripes="1" showColumnStripes="0"/>
</table>
</file>

<file path=xl/tables/table33.xml><?xml version="1.0" encoding="utf-8"?>
<table xmlns="http://schemas.openxmlformats.org/spreadsheetml/2006/main" id="23" name="НоябрьУслуги" displayName="НоябрьУслуги" ref="A4:C5" totalsRowShown="0" headerRowDxfId="128" dataDxfId="127">
  <autoFilter ref="A4:C5">
    <filterColumn colId="0" hiddenButton="1"/>
    <filterColumn colId="1" hiddenButton="1"/>
    <filterColumn colId="2" hiddenButton="1"/>
  </autoFilter>
  <tableColumns count="3">
    <tableColumn id="1" name="Услуги" dataDxfId="126"/>
    <tableColumn id="2" name="б/пл." dataDxfId="125"/>
    <tableColumn id="3" name="пл." dataDxfId="124"/>
  </tableColumns>
  <tableStyleInfo name="TableStyleLight15" showFirstColumn="0" showLastColumn="0" showRowStripes="1" showColumnStripes="0"/>
</table>
</file>

<file path=xl/tables/table34.xml><?xml version="1.0" encoding="utf-8"?>
<table xmlns="http://schemas.openxmlformats.org/spreadsheetml/2006/main" id="24" name="НоябрьДанные" displayName="НоябрьДанные" ref="A7:BB8" totalsRowShown="0" headerRowDxfId="123" dataDxfId="122">
  <autoFilter ref="A7:BB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</autoFilter>
  <tableColumns count="54">
    <tableColumn id="1" name="Соц. Работник" dataDxfId="121"/>
    <tableColumn id="2" name="Получатели ФИО" dataDxfId="120"/>
    <tableColumn id="3" name="Признак учета" dataDxfId="119"/>
    <tableColumn id="5" name="Итого" dataDxfId="118">
      <calculatedColumnFormula>SUM(INDIRECT(ADDRESS(ROW(НоябрьДанные[[#This Row],[Итого]]),COLUMN(НоябрьДанные[[#This Row],[Итого]])+2)):INDIRECT(ADDRESS(ROW(НоябрьДанные[[#This Row],[Итого]]),COUNTA(НоябрьДанные[#Headers]))))</calculatedColumnFormula>
    </tableColumn>
    <tableColumn id="6" name="Среднее кол-во услуг на 1 получ. Усл." dataDxfId="117">
      <calculatedColumnFormula>НоябрьДанные[[#This Row],[Итого]]/COUNTIFS(НоябрьДанные[Соц. Работник],НоябрьДанные[[#This Row],[Соц. Работник]])</calculatedColumnFormula>
    </tableColumn>
    <tableColumn id="7" name="Приготовление пищи" dataDxfId="116"/>
    <tableColumn id="4" name="Помощь при приготовлении пищи" dataDxfId="115"/>
    <tableColumn id="8" name="Подготовка и подача пищи" dataDxfId="114"/>
    <tableColumn id="9" name="Помощь при подготовке пищи к приему" dataDxfId="113"/>
    <tableColumn id="10" name="Кормление" dataDxfId="112"/>
    <tableColumn id="11" name="Помощь при приеме пищи" dataDxfId="111"/>
    <tableColumn id="12" name="Помощь в соблюдении питьевого режима." dataDxfId="110"/>
    <tableColumn id="13" name="Умывание" dataDxfId="109"/>
    <tableColumn id="14" name="Помощь при умывании" dataDxfId="108"/>
    <tableColumn id="15" name="Купание в кровати, включая мытье головы" dataDxfId="107"/>
    <tableColumn id="16" name="Купание в приспособленном помещении (месте), включая мытье головы" dataDxfId="106"/>
    <tableColumn id="17" name="Помощь при купании в приспособленном помещении (месте), включая мытье головы" dataDxfId="105"/>
    <tableColumn id="18" name="Гигиеническое обтирание" dataDxfId="104"/>
    <tableColumn id="19" name="Мытье головы, в том числе в кровати" dataDxfId="103"/>
    <tableColumn id="20" name="Помощь при мытье головы" dataDxfId="102"/>
    <tableColumn id="21" name="Подмывание" dataDxfId="101"/>
    <tableColumn id="22" name="Гигиеническая обработка рук и ногтей" dataDxfId="100"/>
    <tableColumn id="23" name="Помощь при гигиенической обработке рук и ногтей" dataDxfId="99"/>
    <tableColumn id="24" name="Мытье ног" dataDxfId="98"/>
    <tableColumn id="25" name="Помощь при мытье ног" dataDxfId="97"/>
    <tableColumn id="26" name="Гигиеническая обработка ног и ногтей" dataDxfId="96"/>
    <tableColumn id="27" name="Помощь при гигиенической обработка ног и ногтей" dataDxfId="95"/>
    <tableColumn id="28" name="Гигиенииеское бритье" dataDxfId="94"/>
    <tableColumn id="29" name="Гигиеническая стрижка" dataDxfId="93"/>
    <tableColumn id="30" name="Смена одежды (обуви)" dataDxfId="92"/>
    <tableColumn id="31" name="Помощь при смене одежды (обуви)" dataDxfId="91"/>
    <tableColumn id="32" name="Смена нательного белья" dataDxfId="90"/>
    <tableColumn id="33" name="Помощь при смене нательного белья" dataDxfId="89"/>
    <tableColumn id="34" name="Смена постельного белья" dataDxfId="88"/>
    <tableColumn id="35" name="Помощь при смене постельного белья" dataDxfId="87"/>
    <tableColumn id="36" name="Смена абсорбирующего белья, включая гигиеническую обработку" dataDxfId="86"/>
    <tableColumn id="37" name="Помощь при смене абсорбирующего белья" dataDxfId="85"/>
    <tableColumn id="38" name="Помощь при пользовании туалетом, включая гигиеническую обработку" dataDxfId="84"/>
    <tableColumn id="39" name="Замена мочеприемника и (или) калоприемника, включая гигиеническую обработку" dataDxfId="83"/>
    <tableColumn id="40" name="Помощь при замене мочеприемника и (или) калоприемника" dataDxfId="82"/>
    <tableColumn id="41" name="Позиционирование" dataDxfId="81"/>
    <tableColumn id="42" name="Помощь при позиционировании" dataDxfId="80"/>
    <tableColumn id="43" name="Пересаживание" dataDxfId="79"/>
    <tableColumn id="44" name="Помощь при пересаживании." dataDxfId="78"/>
    <tableColumn id="45" name="Помощь при передвижении по помещению, пересаживании" dataDxfId="77"/>
    <tableColumn id="46" name="Измерение температуры тела, артериального давления, пульса, сатурации" dataDxfId="76"/>
    <tableColumn id="47" name="Помощь в соблюдении медицинских рекомендаций" dataDxfId="75"/>
    <tableColumn id="48" name="Подготовка лекарственных препаратов к приему" dataDxfId="74"/>
    <tableColumn id="49" name="Помощь в соблюдении приема лекарственных препаратов" dataDxfId="73"/>
    <tableColumn id="50" name="Помощь в использовании очков и (или) слуховых аппаратов" dataDxfId="72"/>
    <tableColumn id="51" name="Помощь в использовании протезов или ортезов" dataDxfId="71"/>
    <tableColumn id="52" name="Помощь в поддержании посильной социальной активности" dataDxfId="70"/>
    <tableColumn id="53" name="Помощь в поддержании  посильной физической активности, включая прогулки" dataDxfId="69"/>
    <tableColumn id="54" name="Помощь в поддержании посильной бытовой активности" dataDxfId="68"/>
  </tableColumns>
  <tableStyleInfo name="Social" showFirstColumn="0" showLastColumn="0" showRowStripes="1" showColumnStripes="1"/>
</table>
</file>

<file path=xl/tables/table35.xml><?xml version="1.0" encoding="utf-8"?>
<table xmlns="http://schemas.openxmlformats.org/spreadsheetml/2006/main" id="38" name="НоябрьТипСчета" displayName="НоябрьТипСчета" ref="C1:C2" totalsRowShown="0" headerRowDxfId="67" dataDxfId="66">
  <autoFilter ref="C1:C2">
    <filterColumn colId="0" hiddenButton="1"/>
  </autoFilter>
  <tableColumns count="1">
    <tableColumn id="1" name="Тип Счета" dataDxfId="65"/>
  </tableColumns>
  <tableStyleInfo name="TableStyleLight16" showFirstColumn="0" showLastColumn="0" showRowStripes="1" showColumnStripes="0"/>
</table>
</file>

<file path=xl/tables/table36.xml><?xml version="1.0" encoding="utf-8"?>
<table xmlns="http://schemas.openxmlformats.org/spreadsheetml/2006/main" id="25" name="ДекабрьУслуги" displayName="ДекабрьУслуги" ref="A4:C5" totalsRowShown="0" headerRowDxfId="63" dataDxfId="62">
  <autoFilter ref="A4:C5">
    <filterColumn colId="0" hiddenButton="1"/>
    <filterColumn colId="1" hiddenButton="1"/>
    <filterColumn colId="2" hiddenButton="1"/>
  </autoFilter>
  <tableColumns count="3">
    <tableColumn id="1" name="Услуги" dataDxfId="61"/>
    <tableColumn id="2" name="б/пл." dataDxfId="60"/>
    <tableColumn id="3" name="пл." dataDxfId="59"/>
  </tableColumns>
  <tableStyleInfo name="TableStyleLight15" showFirstColumn="0" showLastColumn="0" showRowStripes="1" showColumnStripes="0"/>
</table>
</file>

<file path=xl/tables/table37.xml><?xml version="1.0" encoding="utf-8"?>
<table xmlns="http://schemas.openxmlformats.org/spreadsheetml/2006/main" id="26" name="ДекабрьДанные" displayName="ДекабрьДанные" ref="A7:BB8" totalsRowShown="0" headerRowDxfId="58" dataDxfId="57">
  <autoFilter ref="A7:BB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</autoFilter>
  <tableColumns count="54">
    <tableColumn id="1" name="Соц. Работник" dataDxfId="56"/>
    <tableColumn id="2" name="Получатели ФИО" dataDxfId="55"/>
    <tableColumn id="3" name="Признак учета" dataDxfId="54"/>
    <tableColumn id="5" name="Итого" dataDxfId="53">
      <calculatedColumnFormula>SUM(INDIRECT(ADDRESS(ROW(ДекабрьДанные[[#This Row],[Итого]]),COLUMN(ДекабрьДанные[[#This Row],[Итого]])+2)):INDIRECT(ADDRESS(ROW(ДекабрьДанные[[#This Row],[Итого]]),COUNTA(ДекабрьДанные[#Headers]))))</calculatedColumnFormula>
    </tableColumn>
    <tableColumn id="6" name="Среднее кол-во услуг на 1 получ. Усл." dataDxfId="52">
      <calculatedColumnFormula>ДекабрьДанные[[#This Row],[Итого]]/COUNTIFS(ДекабрьДанные[Соц. Работник],ДекабрьДанные[[#This Row],[Соц. Работник]])</calculatedColumnFormula>
    </tableColumn>
    <tableColumn id="7" name="Приготовление пищи" dataDxfId="51"/>
    <tableColumn id="4" name="Помощь при приготовлении пищи" dataDxfId="50"/>
    <tableColumn id="8" name="Подготовка и подача пищи" dataDxfId="49"/>
    <tableColumn id="9" name="Помощь при подготовке пищи к приему" dataDxfId="48"/>
    <tableColumn id="10" name="Кормление" dataDxfId="47"/>
    <tableColumn id="11" name="Помощь при приеме пищи" dataDxfId="46"/>
    <tableColumn id="12" name="Помощь в соблюдении питьевого режима." dataDxfId="45"/>
    <tableColumn id="13" name="Умывание" dataDxfId="44"/>
    <tableColumn id="14" name="Помощь при умывании" dataDxfId="43"/>
    <tableColumn id="15" name="Купание в кровати, включая мытье головы" dataDxfId="42"/>
    <tableColumn id="16" name="Купание в приспособленном помещении (месте), включая мытье головы" dataDxfId="41"/>
    <tableColumn id="17" name="Помощь при купании в приспособленном помещении (месте), включая мытье головы" dataDxfId="40"/>
    <tableColumn id="18" name="Гигиеническое обтирание" dataDxfId="39"/>
    <tableColumn id="19" name="Мытье головы, в том числе в кровати" dataDxfId="38"/>
    <tableColumn id="20" name="Помощь при мытье головы" dataDxfId="37"/>
    <tableColumn id="21" name="Подмывание" dataDxfId="36"/>
    <tableColumn id="22" name="Гигиеническая обработка рук и ногтей" dataDxfId="35"/>
    <tableColumn id="23" name="Помощь при гигиенической обработке рук и ногтей" dataDxfId="34"/>
    <tableColumn id="24" name="Мытье ног" dataDxfId="33"/>
    <tableColumn id="25" name="Помощь при мытье ног" dataDxfId="32"/>
    <tableColumn id="26" name="Гигиеническая обработка ног и ногтей" dataDxfId="31"/>
    <tableColumn id="27" name="Помощь при гигиенической обработка ног и ногтей" dataDxfId="30"/>
    <tableColumn id="28" name="Гигиенииеское бритье" dataDxfId="29"/>
    <tableColumn id="29" name="Гигиеническая стрижка" dataDxfId="28"/>
    <tableColumn id="30" name="Смена одежды (обуви)" dataDxfId="27"/>
    <tableColumn id="31" name="Помощь при смене одежды (обуви)" dataDxfId="26"/>
    <tableColumn id="32" name="Смена нательного белья" dataDxfId="25"/>
    <tableColumn id="33" name="Помощь при смене нательного белья" dataDxfId="24"/>
    <tableColumn id="34" name="Смена постельного белья" dataDxfId="23"/>
    <tableColumn id="35" name="Помощь при смене постельного белья" dataDxfId="22"/>
    <tableColumn id="36" name="Смена абсорбирующего белья, включая гигиеническую обработку" dataDxfId="21"/>
    <tableColumn id="37" name="Помощь при смене абсорбирующего белья" dataDxfId="20"/>
    <tableColumn id="38" name="Помощь при пользовании туалетом, включая гигиеническую обработку" dataDxfId="19"/>
    <tableColumn id="39" name="Замена мочеприемника и (или) калоприемника, включая гигиеническую обработку" dataDxfId="18"/>
    <tableColumn id="40" name="Помощь при замене мочеприемника и (или) калоприемника" dataDxfId="17"/>
    <tableColumn id="41" name="Позиционирование" dataDxfId="16"/>
    <tableColumn id="42" name="Помощь при позиционировании" dataDxfId="15"/>
    <tableColumn id="43" name="Пересаживание" dataDxfId="14"/>
    <tableColumn id="44" name="Помощь при пересаживании." dataDxfId="13"/>
    <tableColumn id="45" name="Помощь при передвижении по помещению, пересаживании" dataDxfId="12"/>
    <tableColumn id="46" name="Измерение температуры тела, артериального давления, пульса, сатурации" dataDxfId="11"/>
    <tableColumn id="47" name="Помощь в соблюдении медицинских рекомендаций" dataDxfId="10"/>
    <tableColumn id="48" name="Подготовка лекарственных препаратов к приему" dataDxfId="9"/>
    <tableColumn id="49" name="Помощь в соблюдении приема лекарственных препаратов" dataDxfId="8"/>
    <tableColumn id="50" name="Помощь в использовании очков и (или) слуховых аппаратов" dataDxfId="7"/>
    <tableColumn id="51" name="Помощь в использовании протезов или ортезов" dataDxfId="6"/>
    <tableColumn id="52" name="Помощь в поддержании посильной социальной активности" dataDxfId="5"/>
    <tableColumn id="53" name="Помощь в поддержании  посильной физической активности, включая прогулки" dataDxfId="4"/>
    <tableColumn id="54" name="Помощь в поддержании посильной бытовой активности" dataDxfId="3"/>
  </tableColumns>
  <tableStyleInfo name="Social" showFirstColumn="0" showLastColumn="0" showRowStripes="1" showColumnStripes="1"/>
</table>
</file>

<file path=xl/tables/table38.xml><?xml version="1.0" encoding="utf-8"?>
<table xmlns="http://schemas.openxmlformats.org/spreadsheetml/2006/main" id="39" name="ДекабрьТипСчета" displayName="ДекабрьТипСчета" ref="C1:C2" totalsRowShown="0" headerRowDxfId="2" dataDxfId="1">
  <autoFilter ref="C1:C2">
    <filterColumn colId="0" hiddenButton="1"/>
  </autoFilter>
  <tableColumns count="1">
    <tableColumn id="1" name="Тип Счета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microsoft.com/office/2007/relationships/slicer" Target="../slicers/slicer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microsoft.com/office/2007/relationships/slicer" Target="../slicers/slicer2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microsoft.com/office/2007/relationships/slicer" Target="../slicers/slicer3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microsoft.com/office/2007/relationships/slicer" Target="../slicers/slicer4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microsoft.com/office/2007/relationships/slicer" Target="../slicers/slicer5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6" Type="http://schemas.microsoft.com/office/2007/relationships/slicer" Target="../slicers/slicer6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Relationship Id="rId6" Type="http://schemas.microsoft.com/office/2007/relationships/slicer" Target="../slicers/slicer7.xml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6" Type="http://schemas.microsoft.com/office/2007/relationships/slicer" Target="../slicers/slicer8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6" Type="http://schemas.microsoft.com/office/2007/relationships/slicer" Target="../slicers/slicer9.xml"/><Relationship Id="rId5" Type="http://schemas.openxmlformats.org/officeDocument/2006/relationships/table" Target="../tables/table29.xml"/><Relationship Id="rId4" Type="http://schemas.openxmlformats.org/officeDocument/2006/relationships/table" Target="../tables/table2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Relationship Id="rId6" Type="http://schemas.microsoft.com/office/2007/relationships/slicer" Target="../slicers/slicer10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Relationship Id="rId6" Type="http://schemas.microsoft.com/office/2007/relationships/slicer" Target="../slicers/slicer11.xml"/><Relationship Id="rId5" Type="http://schemas.openxmlformats.org/officeDocument/2006/relationships/table" Target="../tables/table35.xml"/><Relationship Id="rId4" Type="http://schemas.openxmlformats.org/officeDocument/2006/relationships/table" Target="../tables/table3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Relationship Id="rId6" Type="http://schemas.microsoft.com/office/2007/relationships/slicer" Target="../slicers/slicer12.xml"/><Relationship Id="rId5" Type="http://schemas.openxmlformats.org/officeDocument/2006/relationships/table" Target="../tables/table38.xml"/><Relationship Id="rId4" Type="http://schemas.openxmlformats.org/officeDocument/2006/relationships/table" Target="../tables/table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50"/>
  <sheetViews>
    <sheetView topLeftCell="A37" workbookViewId="0">
      <selection activeCell="A51" sqref="A51"/>
    </sheetView>
  </sheetViews>
  <sheetFormatPr defaultColWidth="9.140625" defaultRowHeight="15.75" x14ac:dyDescent="0.25"/>
  <cols>
    <col min="1" max="1" width="54.5703125" style="38" customWidth="1"/>
    <col min="2" max="2" width="27.42578125" style="1" customWidth="1"/>
    <col min="3" max="5" width="9.140625" style="1"/>
    <col min="6" max="6" width="38.85546875" style="1" customWidth="1"/>
    <col min="7" max="16384" width="9.140625" style="1"/>
  </cols>
  <sheetData>
    <row r="1" spans="1:6" x14ac:dyDescent="0.25">
      <c r="A1" s="37" t="s">
        <v>0</v>
      </c>
      <c r="B1" s="17" t="s">
        <v>32</v>
      </c>
      <c r="F1" s="2" t="s">
        <v>33</v>
      </c>
    </row>
    <row r="2" spans="1:6" x14ac:dyDescent="0.25">
      <c r="A2" s="38" t="s">
        <v>42</v>
      </c>
      <c r="B2" s="1" t="s">
        <v>24</v>
      </c>
      <c r="F2" s="1" t="s">
        <v>23</v>
      </c>
    </row>
    <row r="3" spans="1:6" x14ac:dyDescent="0.25">
      <c r="A3" s="38" t="s">
        <v>43</v>
      </c>
      <c r="B3" s="1" t="s">
        <v>24</v>
      </c>
      <c r="F3" s="1" t="s">
        <v>24</v>
      </c>
    </row>
    <row r="4" spans="1:6" x14ac:dyDescent="0.25">
      <c r="A4" s="38" t="s">
        <v>44</v>
      </c>
      <c r="B4" s="1" t="s">
        <v>24</v>
      </c>
      <c r="F4" s="1" t="s">
        <v>25</v>
      </c>
    </row>
    <row r="5" spans="1:6" x14ac:dyDescent="0.25">
      <c r="A5" s="38" t="s">
        <v>45</v>
      </c>
      <c r="B5" s="1" t="s">
        <v>24</v>
      </c>
      <c r="F5" s="1" t="s">
        <v>26</v>
      </c>
    </row>
    <row r="6" spans="1:6" x14ac:dyDescent="0.25">
      <c r="A6" s="38" t="s">
        <v>46</v>
      </c>
      <c r="B6" s="1" t="s">
        <v>24</v>
      </c>
      <c r="F6" s="1" t="s">
        <v>27</v>
      </c>
    </row>
    <row r="7" spans="1:6" x14ac:dyDescent="0.25">
      <c r="A7" s="38" t="s">
        <v>47</v>
      </c>
      <c r="B7" s="1" t="s">
        <v>24</v>
      </c>
    </row>
    <row r="8" spans="1:6" x14ac:dyDescent="0.25">
      <c r="A8" s="38" t="s">
        <v>48</v>
      </c>
      <c r="B8" s="1" t="s">
        <v>24</v>
      </c>
    </row>
    <row r="9" spans="1:6" x14ac:dyDescent="0.25">
      <c r="A9" s="38" t="s">
        <v>49</v>
      </c>
      <c r="B9" s="1" t="s">
        <v>24</v>
      </c>
    </row>
    <row r="10" spans="1:6" x14ac:dyDescent="0.25">
      <c r="A10" s="38" t="s">
        <v>50</v>
      </c>
      <c r="B10" s="1" t="s">
        <v>24</v>
      </c>
    </row>
    <row r="11" spans="1:6" x14ac:dyDescent="0.25">
      <c r="A11" s="38" t="s">
        <v>51</v>
      </c>
      <c r="B11" s="1" t="s">
        <v>24</v>
      </c>
    </row>
    <row r="12" spans="1:6" ht="31.5" x14ac:dyDescent="0.25">
      <c r="A12" s="38" t="s">
        <v>52</v>
      </c>
      <c r="B12" s="1" t="s">
        <v>24</v>
      </c>
    </row>
    <row r="13" spans="1:6" ht="31.5" x14ac:dyDescent="0.25">
      <c r="A13" s="38" t="s">
        <v>53</v>
      </c>
      <c r="B13" s="1" t="s">
        <v>24</v>
      </c>
    </row>
    <row r="14" spans="1:6" x14ac:dyDescent="0.25">
      <c r="A14" s="38" t="s">
        <v>54</v>
      </c>
      <c r="B14" s="1" t="s">
        <v>24</v>
      </c>
    </row>
    <row r="15" spans="1:6" x14ac:dyDescent="0.25">
      <c r="A15" s="38" t="s">
        <v>55</v>
      </c>
      <c r="B15" s="1" t="s">
        <v>24</v>
      </c>
    </row>
    <row r="16" spans="1:6" x14ac:dyDescent="0.25">
      <c r="A16" s="38" t="s">
        <v>56</v>
      </c>
      <c r="B16" s="1" t="s">
        <v>24</v>
      </c>
    </row>
    <row r="17" spans="1:2" x14ac:dyDescent="0.25">
      <c r="A17" s="38" t="s">
        <v>57</v>
      </c>
      <c r="B17" s="1" t="s">
        <v>24</v>
      </c>
    </row>
    <row r="18" spans="1:2" x14ac:dyDescent="0.25">
      <c r="A18" s="38" t="s">
        <v>81</v>
      </c>
      <c r="B18" s="1" t="s">
        <v>24</v>
      </c>
    </row>
    <row r="19" spans="1:2" x14ac:dyDescent="0.25">
      <c r="A19" s="38" t="s">
        <v>82</v>
      </c>
      <c r="B19" s="1" t="s">
        <v>24</v>
      </c>
    </row>
    <row r="20" spans="1:2" x14ac:dyDescent="0.25">
      <c r="A20" s="38" t="s">
        <v>58</v>
      </c>
      <c r="B20" s="1" t="s">
        <v>24</v>
      </c>
    </row>
    <row r="21" spans="1:2" x14ac:dyDescent="0.25">
      <c r="A21" s="38" t="s">
        <v>59</v>
      </c>
      <c r="B21" s="1" t="s">
        <v>24</v>
      </c>
    </row>
    <row r="22" spans="1:2" x14ac:dyDescent="0.25">
      <c r="A22" s="38" t="s">
        <v>83</v>
      </c>
      <c r="B22" s="1" t="s">
        <v>24</v>
      </c>
    </row>
    <row r="23" spans="1:2" x14ac:dyDescent="0.25">
      <c r="A23" s="38" t="s">
        <v>84</v>
      </c>
      <c r="B23" s="1" t="s">
        <v>24</v>
      </c>
    </row>
    <row r="24" spans="1:2" x14ac:dyDescent="0.25">
      <c r="A24" s="38" t="s">
        <v>60</v>
      </c>
      <c r="B24" s="1" t="s">
        <v>24</v>
      </c>
    </row>
    <row r="25" spans="1:2" x14ac:dyDescent="0.25">
      <c r="A25" s="38" t="s">
        <v>61</v>
      </c>
      <c r="B25" s="1" t="s">
        <v>24</v>
      </c>
    </row>
    <row r="26" spans="1:2" x14ac:dyDescent="0.25">
      <c r="A26" s="38" t="s">
        <v>62</v>
      </c>
      <c r="B26" s="1" t="s">
        <v>24</v>
      </c>
    </row>
    <row r="27" spans="1:2" x14ac:dyDescent="0.25">
      <c r="A27" s="38" t="s">
        <v>63</v>
      </c>
      <c r="B27" s="1" t="s">
        <v>24</v>
      </c>
    </row>
    <row r="28" spans="1:2" x14ac:dyDescent="0.25">
      <c r="A28" s="38" t="s">
        <v>64</v>
      </c>
      <c r="B28" s="1" t="s">
        <v>24</v>
      </c>
    </row>
    <row r="29" spans="1:2" x14ac:dyDescent="0.25">
      <c r="A29" s="38" t="s">
        <v>65</v>
      </c>
      <c r="B29" s="1" t="s">
        <v>24</v>
      </c>
    </row>
    <row r="30" spans="1:2" x14ac:dyDescent="0.25">
      <c r="A30" s="38" t="s">
        <v>66</v>
      </c>
      <c r="B30" s="1" t="s">
        <v>24</v>
      </c>
    </row>
    <row r="31" spans="1:2" x14ac:dyDescent="0.25">
      <c r="A31" s="38" t="s">
        <v>67</v>
      </c>
      <c r="B31" s="1" t="s">
        <v>24</v>
      </c>
    </row>
    <row r="32" spans="1:2" ht="31.5" x14ac:dyDescent="0.25">
      <c r="A32" s="38" t="s">
        <v>68</v>
      </c>
      <c r="B32" s="1" t="s">
        <v>24</v>
      </c>
    </row>
    <row r="33" spans="1:2" x14ac:dyDescent="0.25">
      <c r="A33" s="38" t="s">
        <v>85</v>
      </c>
      <c r="B33" s="1" t="s">
        <v>24</v>
      </c>
    </row>
    <row r="34" spans="1:2" ht="31.5" x14ac:dyDescent="0.25">
      <c r="A34" s="38" t="s">
        <v>86</v>
      </c>
      <c r="B34" s="1" t="s">
        <v>24</v>
      </c>
    </row>
    <row r="35" spans="1:2" ht="31.5" x14ac:dyDescent="0.25">
      <c r="A35" s="38" t="s">
        <v>69</v>
      </c>
      <c r="B35" s="1" t="s">
        <v>24</v>
      </c>
    </row>
    <row r="36" spans="1:2" ht="31.5" x14ac:dyDescent="0.25">
      <c r="A36" s="38" t="s">
        <v>70</v>
      </c>
      <c r="B36" s="1" t="s">
        <v>24</v>
      </c>
    </row>
    <row r="37" spans="1:2" x14ac:dyDescent="0.25">
      <c r="A37" s="38" t="s">
        <v>71</v>
      </c>
      <c r="B37" s="1" t="s">
        <v>24</v>
      </c>
    </row>
    <row r="38" spans="1:2" x14ac:dyDescent="0.25">
      <c r="A38" s="38" t="s">
        <v>72</v>
      </c>
      <c r="B38" s="1" t="s">
        <v>24</v>
      </c>
    </row>
    <row r="39" spans="1:2" x14ac:dyDescent="0.25">
      <c r="A39" s="38" t="s">
        <v>73</v>
      </c>
      <c r="B39" s="1" t="s">
        <v>24</v>
      </c>
    </row>
    <row r="40" spans="1:2" x14ac:dyDescent="0.25">
      <c r="A40" s="38" t="s">
        <v>74</v>
      </c>
      <c r="B40" s="1" t="s">
        <v>24</v>
      </c>
    </row>
    <row r="41" spans="1:2" ht="31.5" x14ac:dyDescent="0.25">
      <c r="A41" s="38" t="s">
        <v>87</v>
      </c>
      <c r="B41" s="1" t="s">
        <v>24</v>
      </c>
    </row>
    <row r="42" spans="1:2" ht="31.5" x14ac:dyDescent="0.25">
      <c r="A42" s="38" t="s">
        <v>88</v>
      </c>
      <c r="B42" s="1" t="s">
        <v>24</v>
      </c>
    </row>
    <row r="43" spans="1:2" x14ac:dyDescent="0.25">
      <c r="A43" s="38" t="s">
        <v>89</v>
      </c>
      <c r="B43" s="1" t="s">
        <v>24</v>
      </c>
    </row>
    <row r="44" spans="1:2" x14ac:dyDescent="0.25">
      <c r="A44" s="38" t="s">
        <v>75</v>
      </c>
      <c r="B44" s="1" t="s">
        <v>24</v>
      </c>
    </row>
    <row r="45" spans="1:2" ht="31.5" x14ac:dyDescent="0.25">
      <c r="A45" s="38" t="s">
        <v>90</v>
      </c>
      <c r="B45" s="1" t="s">
        <v>24</v>
      </c>
    </row>
    <row r="46" spans="1:2" ht="31.5" x14ac:dyDescent="0.25">
      <c r="A46" s="38" t="s">
        <v>76</v>
      </c>
      <c r="B46" s="1" t="s">
        <v>24</v>
      </c>
    </row>
    <row r="47" spans="1:2" x14ac:dyDescent="0.25">
      <c r="A47" s="38" t="s">
        <v>77</v>
      </c>
      <c r="B47" s="1" t="s">
        <v>24</v>
      </c>
    </row>
    <row r="48" spans="1:2" ht="31.5" x14ac:dyDescent="0.25">
      <c r="A48" s="38" t="s">
        <v>78</v>
      </c>
      <c r="B48" s="1" t="s">
        <v>24</v>
      </c>
    </row>
    <row r="49" spans="1:2" ht="31.5" x14ac:dyDescent="0.25">
      <c r="A49" s="38" t="s">
        <v>79</v>
      </c>
      <c r="B49" s="1" t="s">
        <v>24</v>
      </c>
    </row>
    <row r="50" spans="1:2" ht="31.5" x14ac:dyDescent="0.25">
      <c r="A50" s="38" t="s">
        <v>80</v>
      </c>
      <c r="B50" s="1" t="s">
        <v>24</v>
      </c>
    </row>
  </sheetData>
  <dataValidations count="1">
    <dataValidation type="list" allowBlank="1" showInputMessage="1" showErrorMessage="1" sqref="B2:B100">
      <formula1>ТипУслуги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2"/>
  <sheetViews>
    <sheetView workbookViewId="0">
      <selection activeCell="A2" sqref="A2"/>
    </sheetView>
  </sheetViews>
  <sheetFormatPr defaultColWidth="9.140625" defaultRowHeight="15.75" x14ac:dyDescent="0.25"/>
  <cols>
    <col min="1" max="1" width="30" style="1" customWidth="1"/>
    <col min="2" max="16384" width="9.140625" style="1"/>
  </cols>
  <sheetData>
    <row r="1" spans="1:1" x14ac:dyDescent="0.25">
      <c r="A1" s="2" t="s">
        <v>1</v>
      </c>
    </row>
    <row r="2" spans="1:1" x14ac:dyDescent="0.25">
      <c r="A2" s="1" t="s">
        <v>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3"/>
  <sheetViews>
    <sheetView workbookViewId="0">
      <selection activeCell="A4" sqref="A4"/>
    </sheetView>
  </sheetViews>
  <sheetFormatPr defaultColWidth="9.140625" defaultRowHeight="15.75" x14ac:dyDescent="0.25"/>
  <cols>
    <col min="1" max="1" width="18.7109375" style="1" customWidth="1"/>
    <col min="2" max="16384" width="9.140625" style="1"/>
  </cols>
  <sheetData>
    <row r="1" spans="1:1" x14ac:dyDescent="0.25">
      <c r="A1" s="2" t="s">
        <v>2</v>
      </c>
    </row>
    <row r="2" spans="1:1" x14ac:dyDescent="0.25">
      <c r="A2" s="1" t="s">
        <v>3</v>
      </c>
    </row>
    <row r="3" spans="1:1" x14ac:dyDescent="0.25">
      <c r="A3" s="1" t="s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13"/>
  <sheetViews>
    <sheetView workbookViewId="0">
      <selection activeCell="A14" sqref="A14"/>
    </sheetView>
  </sheetViews>
  <sheetFormatPr defaultColWidth="9.140625" defaultRowHeight="15.75" x14ac:dyDescent="0.25"/>
  <cols>
    <col min="1" max="1" width="17.7109375" style="1" customWidth="1"/>
    <col min="2" max="16384" width="9.140625" style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 t="s">
        <v>11</v>
      </c>
    </row>
    <row r="8" spans="1:1" x14ac:dyDescent="0.25">
      <c r="A8" s="1" t="s">
        <v>12</v>
      </c>
    </row>
    <row r="9" spans="1:1" x14ac:dyDescent="0.25">
      <c r="A9" s="1" t="s">
        <v>13</v>
      </c>
    </row>
    <row r="10" spans="1:1" x14ac:dyDescent="0.25">
      <c r="A10" s="1" t="s">
        <v>14</v>
      </c>
    </row>
    <row r="11" spans="1:1" x14ac:dyDescent="0.25">
      <c r="A11" s="1" t="s">
        <v>15</v>
      </c>
    </row>
    <row r="12" spans="1:1" x14ac:dyDescent="0.25">
      <c r="A12" s="1" t="s">
        <v>16</v>
      </c>
    </row>
    <row r="13" spans="1:1" x14ac:dyDescent="0.25">
      <c r="A13" s="1" t="s">
        <v>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4"/>
  <sheetViews>
    <sheetView workbookViewId="0">
      <selection activeCell="D6" sqref="D6"/>
    </sheetView>
  </sheetViews>
  <sheetFormatPr defaultColWidth="9.140625" defaultRowHeight="15.75" x14ac:dyDescent="0.25"/>
  <cols>
    <col min="1" max="1" width="9.140625" style="1" customWidth="1"/>
    <col min="2" max="2" width="15.5703125" style="1" customWidth="1"/>
    <col min="3" max="16384" width="9.140625" style="1"/>
  </cols>
  <sheetData>
    <row r="1" spans="1:6" ht="18.75" x14ac:dyDescent="0.3">
      <c r="A1" s="29" t="s">
        <v>35</v>
      </c>
      <c r="B1" s="29"/>
      <c r="C1" s="29"/>
      <c r="D1" s="29"/>
      <c r="E1" s="29"/>
      <c r="F1" s="29"/>
    </row>
    <row r="3" spans="1:6" x14ac:dyDescent="0.25">
      <c r="B3" s="1" t="s">
        <v>36</v>
      </c>
    </row>
    <row r="4" spans="1:6" x14ac:dyDescent="0.25">
      <c r="A4" s="28"/>
      <c r="B4" s="2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3"/>
  <sheetViews>
    <sheetView workbookViewId="0">
      <selection activeCell="C2" sqref="C2"/>
    </sheetView>
  </sheetViews>
  <sheetFormatPr defaultColWidth="9.140625" defaultRowHeight="15.75" x14ac:dyDescent="0.25"/>
  <cols>
    <col min="1" max="1" width="11.28515625" style="1" bestFit="1" customWidth="1"/>
    <col min="2" max="16384" width="9.140625" style="1"/>
  </cols>
  <sheetData>
    <row r="1" spans="1:1" x14ac:dyDescent="0.25">
      <c r="A1" s="2" t="s">
        <v>40</v>
      </c>
    </row>
    <row r="2" spans="1:1" x14ac:dyDescent="0.25">
      <c r="A2" s="1" t="s">
        <v>38</v>
      </c>
    </row>
    <row r="3" spans="1:1" x14ac:dyDescent="0.25">
      <c r="A3" s="1" t="s">
        <v>39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1:E11"/>
  <sheetViews>
    <sheetView workbookViewId="0">
      <selection activeCell="D5" sqref="D5"/>
    </sheetView>
  </sheetViews>
  <sheetFormatPr defaultColWidth="9.140625" defaultRowHeight="18.75" x14ac:dyDescent="0.3"/>
  <cols>
    <col min="1" max="1" width="9.140625" style="3"/>
    <col min="2" max="4" width="28.5703125" style="3" customWidth="1"/>
    <col min="5" max="5" width="28.7109375" style="3" customWidth="1"/>
    <col min="6" max="16384" width="9.140625" style="3"/>
  </cols>
  <sheetData>
    <row r="1" spans="2:5" ht="25.5" x14ac:dyDescent="0.3">
      <c r="B1" s="40" t="s">
        <v>18</v>
      </c>
      <c r="C1" s="40"/>
      <c r="D1" s="40"/>
      <c r="E1" s="40"/>
    </row>
    <row r="2" spans="2:5" x14ac:dyDescent="0.3">
      <c r="B2" s="41" t="s">
        <v>19</v>
      </c>
      <c r="C2" s="41"/>
      <c r="D2" s="41"/>
      <c r="E2" s="41"/>
    </row>
    <row r="3" spans="2:5" ht="19.5" thickBot="1" x14ac:dyDescent="0.35">
      <c r="B3"/>
      <c r="C3"/>
      <c r="D3"/>
      <c r="E3"/>
    </row>
    <row r="4" spans="2:5" x14ac:dyDescent="0.3">
      <c r="B4" s="6" t="s">
        <v>6</v>
      </c>
      <c r="C4" s="7" t="s">
        <v>7</v>
      </c>
      <c r="D4" s="9" t="s">
        <v>8</v>
      </c>
      <c r="E4" s="10" t="s">
        <v>9</v>
      </c>
    </row>
    <row r="5" spans="2:5" x14ac:dyDescent="0.3">
      <c r="B5" s="11" t="s">
        <v>10</v>
      </c>
      <c r="C5" s="12" t="s">
        <v>11</v>
      </c>
      <c r="D5" s="12" t="s">
        <v>12</v>
      </c>
      <c r="E5" s="13" t="s">
        <v>13</v>
      </c>
    </row>
    <row r="6" spans="2:5" x14ac:dyDescent="0.3">
      <c r="B6" s="14" t="s">
        <v>14</v>
      </c>
      <c r="C6" s="15" t="s">
        <v>15</v>
      </c>
      <c r="D6" s="15" t="s">
        <v>16</v>
      </c>
      <c r="E6" s="8" t="s">
        <v>17</v>
      </c>
    </row>
    <row r="7" spans="2:5" x14ac:dyDescent="0.3">
      <c r="B7" s="4"/>
      <c r="C7" s="4"/>
      <c r="D7" s="4"/>
      <c r="E7" s="4"/>
    </row>
    <row r="8" spans="2:5" x14ac:dyDescent="0.3">
      <c r="B8" s="4"/>
      <c r="C8" s="4"/>
      <c r="D8" s="4"/>
      <c r="E8" s="4"/>
    </row>
    <row r="9" spans="2:5" x14ac:dyDescent="0.3">
      <c r="B9" s="4"/>
      <c r="C9" s="4"/>
      <c r="D9" s="4"/>
      <c r="E9" s="4"/>
    </row>
    <row r="10" spans="2:5" x14ac:dyDescent="0.3">
      <c r="B10" s="4"/>
      <c r="C10" s="4"/>
      <c r="D10" s="4"/>
      <c r="E10" s="4"/>
    </row>
    <row r="11" spans="2:5" x14ac:dyDescent="0.3">
      <c r="B11" s="4"/>
      <c r="C11" s="4"/>
      <c r="D11" s="4"/>
      <c r="E11" s="4"/>
    </row>
  </sheetData>
  <mergeCells count="2">
    <mergeCell ref="B1:E1"/>
    <mergeCell ref="B2:E2"/>
  </mergeCells>
  <hyperlinks>
    <hyperlink ref="B4" location="Январь!A1" display="Январь"/>
    <hyperlink ref="C4" location="Февраль!A1" display="Февраль"/>
    <hyperlink ref="D4" location="Март!A1" display="Март"/>
    <hyperlink ref="E4" location="Апрель!A1" display="Апрель"/>
    <hyperlink ref="B5" location="Май!A1" display="Май"/>
    <hyperlink ref="C5" location="Июнь!A1" display="Июнь"/>
    <hyperlink ref="D5" location="Июль!A1" display="Июль"/>
    <hyperlink ref="E5" location="Август!A1" display="Август"/>
    <hyperlink ref="B6" location="Сентябрь!A1" display="Сентябрь"/>
    <hyperlink ref="C6" location="Октябрь!A1" display="Октябрь"/>
    <hyperlink ref="D6" location="Ноябрь!A1" display="Ноябрь"/>
    <hyperlink ref="E6" location="Декабрь!A1" display="Декабрь"/>
  </hyperlink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B8"/>
  <sheetViews>
    <sheetView tabSelected="1" zoomScale="70" zoomScaleNormal="70" workbookViewId="0">
      <selection activeCell="B9" sqref="B9"/>
    </sheetView>
  </sheetViews>
  <sheetFormatPr defaultColWidth="9.140625" defaultRowHeight="15.75" x14ac:dyDescent="0.25"/>
  <cols>
    <col min="1" max="1" width="19.140625" style="1" bestFit="1" customWidth="1"/>
    <col min="2" max="2" width="21.5703125" style="1" bestFit="1" customWidth="1"/>
    <col min="3" max="3" width="17.140625" style="1" bestFit="1" customWidth="1"/>
    <col min="4" max="4" width="4.28515625" style="1" bestFit="1" customWidth="1"/>
    <col min="5" max="5" width="7.28515625" style="1" bestFit="1" customWidth="1"/>
    <col min="6" max="8" width="4.28515625" style="1" bestFit="1" customWidth="1"/>
    <col min="9" max="9" width="7.28515625" style="1" bestFit="1" customWidth="1"/>
    <col min="10" max="11" width="4.28515625" style="1" bestFit="1" customWidth="1"/>
    <col min="12" max="12" width="7.28515625" style="1" bestFit="1" customWidth="1"/>
    <col min="13" max="14" width="4.28515625" style="1" bestFit="1" customWidth="1"/>
    <col min="15" max="15" width="7.28515625" style="1" bestFit="1" customWidth="1"/>
    <col min="16" max="17" width="10.28515625" style="1" bestFit="1" customWidth="1"/>
    <col min="18" max="18" width="4.28515625" style="1" bestFit="1" customWidth="1"/>
    <col min="19" max="19" width="7.28515625" style="1" bestFit="1" customWidth="1"/>
    <col min="20" max="21" width="4.28515625" style="1" bestFit="1" customWidth="1"/>
    <col min="22" max="23" width="7.28515625" style="1" bestFit="1" customWidth="1"/>
    <col min="24" max="25" width="4.28515625" style="1" bestFit="1" customWidth="1"/>
    <col min="26" max="27" width="7.28515625" style="1" bestFit="1" customWidth="1"/>
    <col min="28" max="32" width="4.28515625" style="1" bestFit="1" customWidth="1"/>
    <col min="33" max="33" width="7.28515625" style="1" bestFit="1" customWidth="1"/>
    <col min="34" max="34" width="4.28515625" style="1" bestFit="1" customWidth="1"/>
    <col min="35" max="38" width="7.28515625" style="1" bestFit="1" customWidth="1"/>
    <col min="39" max="39" width="10.28515625" style="1" bestFit="1" customWidth="1"/>
    <col min="40" max="40" width="7.28515625" style="1" bestFit="1" customWidth="1"/>
    <col min="41" max="44" width="4.28515625" style="1" bestFit="1" customWidth="1"/>
    <col min="45" max="45" width="7.28515625" style="1" bestFit="1" customWidth="1"/>
    <col min="46" max="46" width="10.28515625" style="1" bestFit="1" customWidth="1"/>
    <col min="47" max="52" width="7.28515625" style="1" bestFit="1" customWidth="1"/>
    <col min="53" max="53" width="10.28515625" style="1" bestFit="1" customWidth="1"/>
    <col min="54" max="54" width="7.28515625" style="1" bestFit="1" customWidth="1"/>
    <col min="55" max="16384" width="9.140625" style="1"/>
  </cols>
  <sheetData>
    <row r="1" spans="1:54" ht="26.25" x14ac:dyDescent="0.4">
      <c r="A1" s="5" t="s">
        <v>0</v>
      </c>
      <c r="B1" s="5" t="s">
        <v>6</v>
      </c>
      <c r="C1" s="33" t="s">
        <v>40</v>
      </c>
      <c r="G1"/>
    </row>
    <row r="2" spans="1:54" ht="26.25" x14ac:dyDescent="0.4">
      <c r="A2" s="5" t="s">
        <v>20</v>
      </c>
      <c r="B2" s="31"/>
      <c r="C2" s="32" t="s">
        <v>39</v>
      </c>
      <c r="G2"/>
    </row>
    <row r="3" spans="1:54" x14ac:dyDescent="0.25">
      <c r="G3"/>
    </row>
    <row r="4" spans="1:54" x14ac:dyDescent="0.25">
      <c r="A4" s="1" t="s">
        <v>0</v>
      </c>
      <c r="B4" s="1" t="s">
        <v>21</v>
      </c>
      <c r="C4" s="1" t="s">
        <v>22</v>
      </c>
      <c r="F4"/>
    </row>
    <row r="5" spans="1:54" x14ac:dyDescent="0.25">
      <c r="A5" s="1" t="s">
        <v>24</v>
      </c>
      <c r="B5" s="1">
        <v>0</v>
      </c>
      <c r="C5" s="1">
        <v>0</v>
      </c>
      <c r="F5"/>
    </row>
    <row r="6" spans="1:54" x14ac:dyDescent="0.25">
      <c r="G6"/>
    </row>
    <row r="7" spans="1:54" s="18" customFormat="1" ht="218.25" x14ac:dyDescent="0.25">
      <c r="A7" s="20" t="s">
        <v>28</v>
      </c>
      <c r="B7" s="20" t="s">
        <v>29</v>
      </c>
      <c r="C7" s="20" t="s">
        <v>2</v>
      </c>
      <c r="D7" s="19" t="s">
        <v>30</v>
      </c>
      <c r="E7" s="19" t="s">
        <v>31</v>
      </c>
      <c r="F7" s="39" t="s">
        <v>42</v>
      </c>
      <c r="G7" s="39" t="s">
        <v>43</v>
      </c>
      <c r="H7" s="39" t="s">
        <v>44</v>
      </c>
      <c r="I7" s="39" t="s">
        <v>45</v>
      </c>
      <c r="J7" s="39" t="s">
        <v>46</v>
      </c>
      <c r="K7" s="39" t="s">
        <v>47</v>
      </c>
      <c r="L7" s="39" t="s">
        <v>48</v>
      </c>
      <c r="M7" s="39" t="s">
        <v>49</v>
      </c>
      <c r="N7" s="39" t="s">
        <v>50</v>
      </c>
      <c r="O7" s="39" t="s">
        <v>51</v>
      </c>
      <c r="P7" s="39" t="s">
        <v>52</v>
      </c>
      <c r="Q7" s="39" t="s">
        <v>53</v>
      </c>
      <c r="R7" s="39" t="s">
        <v>54</v>
      </c>
      <c r="S7" s="39" t="s">
        <v>55</v>
      </c>
      <c r="T7" s="39" t="s">
        <v>56</v>
      </c>
      <c r="U7" s="39" t="s">
        <v>57</v>
      </c>
      <c r="V7" s="39" t="s">
        <v>81</v>
      </c>
      <c r="W7" s="39" t="s">
        <v>82</v>
      </c>
      <c r="X7" s="39" t="s">
        <v>58</v>
      </c>
      <c r="Y7" s="39" t="s">
        <v>59</v>
      </c>
      <c r="Z7" s="39" t="s">
        <v>83</v>
      </c>
      <c r="AA7" s="39" t="s">
        <v>84</v>
      </c>
      <c r="AB7" s="39" t="s">
        <v>60</v>
      </c>
      <c r="AC7" s="39" t="s">
        <v>61</v>
      </c>
      <c r="AD7" s="39" t="s">
        <v>62</v>
      </c>
      <c r="AE7" s="39" t="s">
        <v>63</v>
      </c>
      <c r="AF7" s="39" t="s">
        <v>64</v>
      </c>
      <c r="AG7" s="39" t="s">
        <v>65</v>
      </c>
      <c r="AH7" s="39" t="s">
        <v>66</v>
      </c>
      <c r="AI7" s="39" t="s">
        <v>67</v>
      </c>
      <c r="AJ7" s="39" t="s">
        <v>68</v>
      </c>
      <c r="AK7" s="39" t="s">
        <v>85</v>
      </c>
      <c r="AL7" s="39" t="s">
        <v>86</v>
      </c>
      <c r="AM7" s="39" t="s">
        <v>69</v>
      </c>
      <c r="AN7" s="39" t="s">
        <v>70</v>
      </c>
      <c r="AO7" s="39" t="s">
        <v>71</v>
      </c>
      <c r="AP7" s="39" t="s">
        <v>72</v>
      </c>
      <c r="AQ7" s="39" t="s">
        <v>73</v>
      </c>
      <c r="AR7" s="39" t="s">
        <v>74</v>
      </c>
      <c r="AS7" s="39" t="s">
        <v>87</v>
      </c>
      <c r="AT7" s="39" t="s">
        <v>88</v>
      </c>
      <c r="AU7" s="39" t="s">
        <v>89</v>
      </c>
      <c r="AV7" s="39" t="s">
        <v>75</v>
      </c>
      <c r="AW7" s="39" t="s">
        <v>90</v>
      </c>
      <c r="AX7" s="39" t="s">
        <v>76</v>
      </c>
      <c r="AY7" s="39" t="s">
        <v>77</v>
      </c>
      <c r="AZ7" s="39" t="s">
        <v>78</v>
      </c>
      <c r="BA7" s="39" t="s">
        <v>79</v>
      </c>
      <c r="BB7" s="39" t="s">
        <v>80</v>
      </c>
    </row>
    <row r="8" spans="1:54" x14ac:dyDescent="0.25">
      <c r="A8" s="24" t="s">
        <v>37</v>
      </c>
      <c r="B8" s="24" t="s">
        <v>34</v>
      </c>
      <c r="C8" s="24" t="s">
        <v>3</v>
      </c>
      <c r="D8" s="23">
        <f ca="1">SUM(INDIRECT(ADDRESS(ROW(ЯнварьДанные[[#This Row],[Итого]]),COLUMN(ЯнварьДанные[[#This Row],[Итого]])+2)):INDIRECT(ADDRESS(ROW(ЯнварьДанные[[#This Row],[Итого]]),COUNTA(ЯнварьДанные[#Headers]))))</f>
        <v>0</v>
      </c>
      <c r="E8" s="25">
        <f ca="1">ЯнварьДанные[[#This Row],[Итого]]/COUNTIFS(ЯнварьДанные[Соц. Работник],ЯнварьДанные[[#This Row],[Соц. Работник]])</f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0</v>
      </c>
      <c r="V8" s="26">
        <v>0</v>
      </c>
      <c r="W8" s="26">
        <v>0</v>
      </c>
      <c r="X8" s="26">
        <v>0</v>
      </c>
      <c r="Y8" s="26">
        <v>0</v>
      </c>
      <c r="Z8" s="26">
        <v>0</v>
      </c>
      <c r="AA8" s="26">
        <v>0</v>
      </c>
      <c r="AB8" s="26">
        <v>0</v>
      </c>
      <c r="AC8" s="26">
        <v>0</v>
      </c>
      <c r="AD8" s="26">
        <v>0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6">
        <v>0</v>
      </c>
      <c r="AK8" s="26">
        <v>0</v>
      </c>
      <c r="AL8" s="26">
        <v>0</v>
      </c>
      <c r="AM8" s="26">
        <v>0</v>
      </c>
      <c r="AN8" s="26">
        <v>0</v>
      </c>
      <c r="AO8" s="26">
        <v>0</v>
      </c>
      <c r="AP8" s="26">
        <v>0</v>
      </c>
      <c r="AQ8" s="26">
        <v>0</v>
      </c>
      <c r="AR8" s="26">
        <v>0</v>
      </c>
      <c r="AS8" s="26">
        <v>0</v>
      </c>
      <c r="AT8" s="26">
        <v>0</v>
      </c>
      <c r="AU8" s="26">
        <v>0</v>
      </c>
      <c r="AV8" s="26">
        <v>0</v>
      </c>
      <c r="AW8" s="26">
        <v>0</v>
      </c>
      <c r="AX8" s="26">
        <v>0</v>
      </c>
      <c r="AY8" s="26">
        <v>0</v>
      </c>
      <c r="AZ8" s="26">
        <v>0</v>
      </c>
      <c r="BA8" s="26">
        <v>0</v>
      </c>
      <c r="BB8" s="26">
        <v>0</v>
      </c>
    </row>
  </sheetData>
  <conditionalFormatting sqref="B8">
    <cfRule type="duplicateValues" dxfId="921" priority="69"/>
  </conditionalFormatting>
  <dataValidations count="6">
    <dataValidation type="list" allowBlank="1" showInputMessage="1" showErrorMessage="1" sqref="B1">
      <formula1>Месяц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8">
      <formula1>СоцРаботник</formula1>
    </dataValidation>
    <dataValidation type="list" allowBlank="1" showInputMessage="1" showErrorMessage="1" sqref="C8">
      <formula1>Учет</formula1>
    </dataValidation>
    <dataValidation type="list" allowBlank="1" showInputMessage="1" showErrorMessage="1" sqref="F7:AL7">
      <formula1>Услуга</formula1>
    </dataValidation>
    <dataValidation type="list" allowBlank="1" showInputMessage="1" showErrorMessage="1" sqref="A5">
      <formula1>ТипУслуги</formula1>
    </dataValidation>
  </dataValidations>
  <pageMargins left="0.7" right="0.7" top="0.75" bottom="0.75" header="0.3" footer="0.3"/>
  <pageSetup paperSize="9" orientation="portrait" horizontalDpi="300" verticalDpi="300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BB8"/>
  <sheetViews>
    <sheetView zoomScale="70" zoomScaleNormal="70" workbookViewId="0">
      <selection activeCell="B2" sqref="B2"/>
    </sheetView>
  </sheetViews>
  <sheetFormatPr defaultColWidth="9.140625" defaultRowHeight="15.75" x14ac:dyDescent="0.25"/>
  <cols>
    <col min="1" max="1" width="19.140625" style="1" bestFit="1" customWidth="1"/>
    <col min="2" max="2" width="21.5703125" style="1" bestFit="1" customWidth="1"/>
    <col min="3" max="3" width="17.140625" style="1" bestFit="1" customWidth="1"/>
    <col min="4" max="4" width="4.28515625" style="1" bestFit="1" customWidth="1"/>
    <col min="5" max="5" width="7.28515625" style="1" bestFit="1" customWidth="1"/>
    <col min="6" max="8" width="4.28515625" style="1" bestFit="1" customWidth="1"/>
    <col min="9" max="9" width="7.28515625" style="1" bestFit="1" customWidth="1"/>
    <col min="10" max="11" width="4.28515625" style="1" bestFit="1" customWidth="1"/>
    <col min="12" max="12" width="7.28515625" style="1" bestFit="1" customWidth="1"/>
    <col min="13" max="14" width="4.28515625" style="1" bestFit="1" customWidth="1"/>
    <col min="15" max="15" width="7.28515625" style="1" bestFit="1" customWidth="1"/>
    <col min="16" max="17" width="10.28515625" style="1" bestFit="1" customWidth="1"/>
    <col min="18" max="18" width="4.28515625" style="1" bestFit="1" customWidth="1"/>
    <col min="19" max="19" width="7.28515625" style="1" bestFit="1" customWidth="1"/>
    <col min="20" max="21" width="4.28515625" style="1" bestFit="1" customWidth="1"/>
    <col min="22" max="23" width="7.28515625" style="1" bestFit="1" customWidth="1"/>
    <col min="24" max="25" width="4.28515625" style="1" bestFit="1" customWidth="1"/>
    <col min="26" max="27" width="7.28515625" style="1" bestFit="1" customWidth="1"/>
    <col min="28" max="32" width="4.28515625" style="1" bestFit="1" customWidth="1"/>
    <col min="33" max="33" width="7.28515625" style="1" bestFit="1" customWidth="1"/>
    <col min="34" max="34" width="4.28515625" style="1" bestFit="1" customWidth="1"/>
    <col min="35" max="38" width="7.28515625" style="1" bestFit="1" customWidth="1"/>
    <col min="39" max="39" width="10.28515625" style="1" bestFit="1" customWidth="1"/>
    <col min="40" max="40" width="7.28515625" style="1" bestFit="1" customWidth="1"/>
    <col min="41" max="44" width="4.28515625" style="1" bestFit="1" customWidth="1"/>
    <col min="45" max="45" width="7.28515625" style="1" bestFit="1" customWidth="1"/>
    <col min="46" max="46" width="10.28515625" style="1" bestFit="1" customWidth="1"/>
    <col min="47" max="52" width="7.28515625" style="1" bestFit="1" customWidth="1"/>
    <col min="53" max="53" width="10.28515625" style="1" bestFit="1" customWidth="1"/>
    <col min="54" max="54" width="7.28515625" style="1" bestFit="1" customWidth="1"/>
    <col min="55" max="16384" width="9.140625" style="1"/>
  </cols>
  <sheetData>
    <row r="1" spans="1:54" ht="26.25" x14ac:dyDescent="0.4">
      <c r="A1" s="5" t="s">
        <v>0</v>
      </c>
      <c r="B1" s="5" t="s">
        <v>7</v>
      </c>
      <c r="C1" s="1" t="s">
        <v>41</v>
      </c>
    </row>
    <row r="2" spans="1:54" ht="26.25" x14ac:dyDescent="0.4">
      <c r="A2" s="5" t="s">
        <v>20</v>
      </c>
      <c r="B2" s="16"/>
      <c r="C2" s="1" t="s">
        <v>39</v>
      </c>
    </row>
    <row r="4" spans="1:54" x14ac:dyDescent="0.25">
      <c r="A4" s="1" t="s">
        <v>0</v>
      </c>
      <c r="B4" s="1" t="s">
        <v>21</v>
      </c>
      <c r="C4" s="1" t="s">
        <v>22</v>
      </c>
    </row>
    <row r="5" spans="1:54" x14ac:dyDescent="0.25">
      <c r="A5" s="1" t="s">
        <v>24</v>
      </c>
      <c r="B5" s="1">
        <v>0</v>
      </c>
      <c r="C5" s="1">
        <v>0</v>
      </c>
    </row>
    <row r="7" spans="1:54" s="18" customFormat="1" ht="218.25" x14ac:dyDescent="0.25">
      <c r="A7" s="20" t="s">
        <v>28</v>
      </c>
      <c r="B7" s="20" t="s">
        <v>29</v>
      </c>
      <c r="C7" s="20" t="s">
        <v>2</v>
      </c>
      <c r="D7" s="19" t="s">
        <v>30</v>
      </c>
      <c r="E7" s="19" t="s">
        <v>31</v>
      </c>
      <c r="F7" s="39" t="s">
        <v>42</v>
      </c>
      <c r="G7" s="39" t="s">
        <v>43</v>
      </c>
      <c r="H7" s="39" t="s">
        <v>44</v>
      </c>
      <c r="I7" s="39" t="s">
        <v>45</v>
      </c>
      <c r="J7" s="39" t="s">
        <v>46</v>
      </c>
      <c r="K7" s="39" t="s">
        <v>47</v>
      </c>
      <c r="L7" s="39" t="s">
        <v>48</v>
      </c>
      <c r="M7" s="39" t="s">
        <v>49</v>
      </c>
      <c r="N7" s="39" t="s">
        <v>50</v>
      </c>
      <c r="O7" s="39" t="s">
        <v>51</v>
      </c>
      <c r="P7" s="39" t="s">
        <v>52</v>
      </c>
      <c r="Q7" s="39" t="s">
        <v>53</v>
      </c>
      <c r="R7" s="39" t="s">
        <v>54</v>
      </c>
      <c r="S7" s="39" t="s">
        <v>55</v>
      </c>
      <c r="T7" s="39" t="s">
        <v>56</v>
      </c>
      <c r="U7" s="39" t="s">
        <v>57</v>
      </c>
      <c r="V7" s="39" t="s">
        <v>81</v>
      </c>
      <c r="W7" s="39" t="s">
        <v>82</v>
      </c>
      <c r="X7" s="39" t="s">
        <v>58</v>
      </c>
      <c r="Y7" s="39" t="s">
        <v>59</v>
      </c>
      <c r="Z7" s="39" t="s">
        <v>83</v>
      </c>
      <c r="AA7" s="39" t="s">
        <v>84</v>
      </c>
      <c r="AB7" s="39" t="s">
        <v>60</v>
      </c>
      <c r="AC7" s="39" t="s">
        <v>61</v>
      </c>
      <c r="AD7" s="39" t="s">
        <v>62</v>
      </c>
      <c r="AE7" s="39" t="s">
        <v>63</v>
      </c>
      <c r="AF7" s="39" t="s">
        <v>64</v>
      </c>
      <c r="AG7" s="39" t="s">
        <v>65</v>
      </c>
      <c r="AH7" s="39" t="s">
        <v>66</v>
      </c>
      <c r="AI7" s="39" t="s">
        <v>67</v>
      </c>
      <c r="AJ7" s="39" t="s">
        <v>68</v>
      </c>
      <c r="AK7" s="39" t="s">
        <v>85</v>
      </c>
      <c r="AL7" s="39" t="s">
        <v>86</v>
      </c>
      <c r="AM7" s="39" t="s">
        <v>69</v>
      </c>
      <c r="AN7" s="39" t="s">
        <v>70</v>
      </c>
      <c r="AO7" s="39" t="s">
        <v>71</v>
      </c>
      <c r="AP7" s="39" t="s">
        <v>72</v>
      </c>
      <c r="AQ7" s="39" t="s">
        <v>73</v>
      </c>
      <c r="AR7" s="39" t="s">
        <v>74</v>
      </c>
      <c r="AS7" s="39" t="s">
        <v>87</v>
      </c>
      <c r="AT7" s="39" t="s">
        <v>88</v>
      </c>
      <c r="AU7" s="39" t="s">
        <v>89</v>
      </c>
      <c r="AV7" s="39" t="s">
        <v>75</v>
      </c>
      <c r="AW7" s="39" t="s">
        <v>90</v>
      </c>
      <c r="AX7" s="39" t="s">
        <v>76</v>
      </c>
      <c r="AY7" s="39" t="s">
        <v>77</v>
      </c>
      <c r="AZ7" s="39" t="s">
        <v>78</v>
      </c>
      <c r="BA7" s="39" t="s">
        <v>79</v>
      </c>
      <c r="BB7" s="39" t="s">
        <v>80</v>
      </c>
    </row>
    <row r="8" spans="1:54" x14ac:dyDescent="0.25">
      <c r="A8" s="24" t="s">
        <v>37</v>
      </c>
      <c r="B8" s="24" t="s">
        <v>34</v>
      </c>
      <c r="C8" s="24" t="s">
        <v>3</v>
      </c>
      <c r="D8" s="21">
        <f ca="1">SUM(INDIRECT(ADDRESS(ROW(ФевральДанные[[#This Row],[Итого]]),COLUMN(ФевральДанные[[#This Row],[Итого]])+2)):INDIRECT(ADDRESS(ROW(ФевральДанные[[#This Row],[Итого]]),COUNTA(ФевральДанные[#Headers]))))</f>
        <v>0</v>
      </c>
      <c r="E8" s="30">
        <f ca="1">ФевральДанные[[#This Row],[Итого]]/COUNTIFS(ФевральДанные[Соц. Работник],ФевральДанные[[#This Row],[Соц. Работник]])</f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0</v>
      </c>
      <c r="V8" s="26">
        <v>0</v>
      </c>
      <c r="W8" s="26">
        <v>0</v>
      </c>
      <c r="X8" s="26">
        <v>0</v>
      </c>
      <c r="Y8" s="26">
        <v>0</v>
      </c>
      <c r="Z8" s="26">
        <v>0</v>
      </c>
      <c r="AA8" s="26">
        <v>0</v>
      </c>
      <c r="AB8" s="26">
        <v>0</v>
      </c>
      <c r="AC8" s="26">
        <v>0</v>
      </c>
      <c r="AD8" s="26">
        <v>0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6">
        <v>0</v>
      </c>
      <c r="AK8" s="26">
        <v>0</v>
      </c>
      <c r="AL8" s="26">
        <v>0</v>
      </c>
      <c r="AM8" s="26">
        <v>0</v>
      </c>
      <c r="AN8" s="26">
        <v>0</v>
      </c>
      <c r="AO8" s="26">
        <v>0</v>
      </c>
      <c r="AP8" s="26">
        <v>0</v>
      </c>
      <c r="AQ8" s="26">
        <v>0</v>
      </c>
      <c r="AR8" s="26">
        <v>0</v>
      </c>
      <c r="AS8" s="26">
        <v>0</v>
      </c>
      <c r="AT8" s="26">
        <v>0</v>
      </c>
      <c r="AU8" s="26">
        <v>0</v>
      </c>
      <c r="AV8" s="26">
        <v>0</v>
      </c>
      <c r="AW8" s="26">
        <v>0</v>
      </c>
      <c r="AX8" s="26">
        <v>0</v>
      </c>
      <c r="AY8" s="26">
        <v>0</v>
      </c>
      <c r="AZ8" s="26">
        <v>0</v>
      </c>
      <c r="BA8" s="26">
        <v>0</v>
      </c>
      <c r="BB8" s="26">
        <v>0</v>
      </c>
    </row>
  </sheetData>
  <conditionalFormatting sqref="B8">
    <cfRule type="duplicateValues" dxfId="803" priority="76"/>
  </conditionalFormatting>
  <dataValidations count="6">
    <dataValidation type="list" allowBlank="1" showInputMessage="1" showErrorMessage="1" sqref="B1">
      <formula1>Месяц</formula1>
    </dataValidation>
    <dataValidation type="list" allowBlank="1" showInputMessage="1" showErrorMessage="1" sqref="F7:AK7">
      <formula1>Услуга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C8">
      <formula1>Учет</formula1>
    </dataValidation>
    <dataValidation type="list" allowBlank="1" showInputMessage="1" showErrorMessage="1" sqref="A8">
      <formula1>СоцРаботник</formula1>
    </dataValidation>
    <dataValidation type="list" allowBlank="1" showInputMessage="1" showErrorMessage="1" sqref="A5">
      <formula1>ТипУслуги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BB8"/>
  <sheetViews>
    <sheetView zoomScale="70" zoomScaleNormal="70" workbookViewId="0">
      <selection activeCell="B2" sqref="B2"/>
    </sheetView>
  </sheetViews>
  <sheetFormatPr defaultColWidth="9.140625" defaultRowHeight="15.75" x14ac:dyDescent="0.25"/>
  <cols>
    <col min="1" max="1" width="23.5703125" style="1" bestFit="1" customWidth="1"/>
    <col min="2" max="2" width="21.5703125" style="1" bestFit="1" customWidth="1"/>
    <col min="3" max="3" width="17.140625" style="1" bestFit="1" customWidth="1"/>
    <col min="4" max="4" width="4.28515625" style="1" bestFit="1" customWidth="1"/>
    <col min="5" max="5" width="7.28515625" style="1" bestFit="1" customWidth="1"/>
    <col min="6" max="6" width="4.28515625" style="1" bestFit="1" customWidth="1"/>
    <col min="7" max="7" width="7.28515625" style="1" bestFit="1" customWidth="1"/>
    <col min="8" max="8" width="4.28515625" style="1" bestFit="1" customWidth="1"/>
    <col min="9" max="9" width="7.28515625" style="1" bestFit="1" customWidth="1"/>
    <col min="10" max="11" width="4.28515625" style="1" bestFit="1" customWidth="1"/>
    <col min="12" max="12" width="7.28515625" style="1" bestFit="1" customWidth="1"/>
    <col min="13" max="14" width="4.28515625" style="1" bestFit="1" customWidth="1"/>
    <col min="15" max="15" width="7.28515625" style="1" bestFit="1" customWidth="1"/>
    <col min="16" max="16" width="10.28515625" style="1" bestFit="1" customWidth="1"/>
    <col min="17" max="17" width="13.42578125" style="1" bestFit="1" customWidth="1"/>
    <col min="18" max="18" width="4.28515625" style="1" bestFit="1" customWidth="1"/>
    <col min="19" max="19" width="7.28515625" style="1" bestFit="1" customWidth="1"/>
    <col min="20" max="21" width="4.28515625" style="1" bestFit="1" customWidth="1"/>
    <col min="22" max="23" width="7.28515625" style="1" bestFit="1" customWidth="1"/>
    <col min="24" max="25" width="4.28515625" style="1" bestFit="1" customWidth="1"/>
    <col min="26" max="27" width="7.28515625" style="1" bestFit="1" customWidth="1"/>
    <col min="28" max="30" width="4.28515625" style="1" bestFit="1" customWidth="1"/>
    <col min="31" max="31" width="7.28515625" style="1" bestFit="1" customWidth="1"/>
    <col min="32" max="32" width="4.28515625" style="1" bestFit="1" customWidth="1"/>
    <col min="33" max="33" width="7.28515625" style="1" bestFit="1" customWidth="1"/>
    <col min="34" max="34" width="4.28515625" style="1" bestFit="1" customWidth="1"/>
    <col min="35" max="35" width="7.28515625" style="1" bestFit="1" customWidth="1"/>
    <col min="36" max="36" width="10.28515625" style="1" bestFit="1" customWidth="1"/>
    <col min="37" max="37" width="7.28515625" style="1" bestFit="1" customWidth="1"/>
    <col min="38" max="38" width="10.28515625" style="1" bestFit="1" customWidth="1"/>
    <col min="39" max="39" width="13.42578125" style="1" bestFit="1" customWidth="1"/>
    <col min="40" max="40" width="10.28515625" style="1" bestFit="1" customWidth="1"/>
    <col min="41" max="41" width="4.28515625" style="1" bestFit="1" customWidth="1"/>
    <col min="42" max="42" width="7.28515625" style="1" bestFit="1" customWidth="1"/>
    <col min="43" max="44" width="4.28515625" style="1" bestFit="1" customWidth="1"/>
    <col min="45" max="45" width="7.28515625" style="1" bestFit="1" customWidth="1"/>
    <col min="46" max="46" width="10.28515625" style="1" bestFit="1" customWidth="1"/>
    <col min="47" max="49" width="7.28515625" style="1" bestFit="1" customWidth="1"/>
    <col min="50" max="50" width="10.28515625" style="1" bestFit="1" customWidth="1"/>
    <col min="51" max="51" width="7.28515625" style="1" bestFit="1" customWidth="1"/>
    <col min="52" max="54" width="10.28515625" style="1" bestFit="1" customWidth="1"/>
    <col min="55" max="16384" width="9.140625" style="1"/>
  </cols>
  <sheetData>
    <row r="1" spans="1:54" ht="26.25" x14ac:dyDescent="0.4">
      <c r="A1" s="5" t="s">
        <v>0</v>
      </c>
      <c r="B1" s="5" t="s">
        <v>8</v>
      </c>
      <c r="C1" s="1" t="s">
        <v>41</v>
      </c>
    </row>
    <row r="2" spans="1:54" ht="26.25" x14ac:dyDescent="0.4">
      <c r="A2" s="5" t="s">
        <v>20</v>
      </c>
      <c r="B2" s="16"/>
      <c r="C2" s="1" t="s">
        <v>39</v>
      </c>
    </row>
    <row r="4" spans="1:54" x14ac:dyDescent="0.25">
      <c r="A4" s="1" t="s">
        <v>0</v>
      </c>
      <c r="B4" s="1" t="s">
        <v>21</v>
      </c>
      <c r="C4" s="1" t="s">
        <v>22</v>
      </c>
    </row>
    <row r="5" spans="1:54" x14ac:dyDescent="0.25">
      <c r="A5" s="1" t="s">
        <v>24</v>
      </c>
      <c r="B5" s="1">
        <v>0</v>
      </c>
      <c r="C5" s="1">
        <v>0</v>
      </c>
    </row>
    <row r="7" spans="1:54" s="18" customFormat="1" ht="184.5" x14ac:dyDescent="0.25">
      <c r="A7" s="20" t="s">
        <v>28</v>
      </c>
      <c r="B7" s="20" t="s">
        <v>29</v>
      </c>
      <c r="C7" s="20" t="s">
        <v>2</v>
      </c>
      <c r="D7" s="19" t="s">
        <v>30</v>
      </c>
      <c r="E7" s="19" t="s">
        <v>31</v>
      </c>
      <c r="F7" s="19" t="s">
        <v>42</v>
      </c>
      <c r="G7" s="19" t="s">
        <v>43</v>
      </c>
      <c r="H7" s="19" t="s">
        <v>44</v>
      </c>
      <c r="I7" s="19" t="s">
        <v>45</v>
      </c>
      <c r="J7" s="19" t="s">
        <v>46</v>
      </c>
      <c r="K7" s="19" t="s">
        <v>47</v>
      </c>
      <c r="L7" s="19" t="s">
        <v>48</v>
      </c>
      <c r="M7" s="19" t="s">
        <v>49</v>
      </c>
      <c r="N7" s="19" t="s">
        <v>50</v>
      </c>
      <c r="O7" s="19" t="s">
        <v>51</v>
      </c>
      <c r="P7" s="19" t="s">
        <v>52</v>
      </c>
      <c r="Q7" s="19" t="s">
        <v>53</v>
      </c>
      <c r="R7" s="19" t="s">
        <v>54</v>
      </c>
      <c r="S7" s="19" t="s">
        <v>55</v>
      </c>
      <c r="T7" s="19" t="s">
        <v>56</v>
      </c>
      <c r="U7" s="19" t="s">
        <v>57</v>
      </c>
      <c r="V7" s="19" t="s">
        <v>81</v>
      </c>
      <c r="W7" s="19" t="s">
        <v>82</v>
      </c>
      <c r="X7" s="19" t="s">
        <v>58</v>
      </c>
      <c r="Y7" s="19" t="s">
        <v>59</v>
      </c>
      <c r="Z7" s="19" t="s">
        <v>83</v>
      </c>
      <c r="AA7" s="19" t="s">
        <v>84</v>
      </c>
      <c r="AB7" s="19" t="s">
        <v>60</v>
      </c>
      <c r="AC7" s="19" t="s">
        <v>61</v>
      </c>
      <c r="AD7" s="19" t="s">
        <v>62</v>
      </c>
      <c r="AE7" s="19" t="s">
        <v>63</v>
      </c>
      <c r="AF7" s="19" t="s">
        <v>64</v>
      </c>
      <c r="AG7" s="19" t="s">
        <v>65</v>
      </c>
      <c r="AH7" s="19" t="s">
        <v>66</v>
      </c>
      <c r="AI7" s="19" t="s">
        <v>67</v>
      </c>
      <c r="AJ7" s="19" t="s">
        <v>68</v>
      </c>
      <c r="AK7" s="19" t="s">
        <v>85</v>
      </c>
      <c r="AL7" s="19" t="s">
        <v>86</v>
      </c>
      <c r="AM7" s="19" t="s">
        <v>69</v>
      </c>
      <c r="AN7" s="19" t="s">
        <v>70</v>
      </c>
      <c r="AO7" s="19" t="s">
        <v>71</v>
      </c>
      <c r="AP7" s="19" t="s">
        <v>72</v>
      </c>
      <c r="AQ7" s="19" t="s">
        <v>73</v>
      </c>
      <c r="AR7" s="19" t="s">
        <v>74</v>
      </c>
      <c r="AS7" s="19" t="s">
        <v>87</v>
      </c>
      <c r="AT7" s="19" t="s">
        <v>88</v>
      </c>
      <c r="AU7" s="19" t="s">
        <v>89</v>
      </c>
      <c r="AV7" s="19" t="s">
        <v>75</v>
      </c>
      <c r="AW7" s="19" t="s">
        <v>90</v>
      </c>
      <c r="AX7" s="19" t="s">
        <v>76</v>
      </c>
      <c r="AY7" s="19" t="s">
        <v>77</v>
      </c>
      <c r="AZ7" s="19" t="s">
        <v>78</v>
      </c>
      <c r="BA7" s="19" t="s">
        <v>79</v>
      </c>
      <c r="BB7" s="19" t="s">
        <v>80</v>
      </c>
    </row>
    <row r="8" spans="1:54" x14ac:dyDescent="0.25">
      <c r="A8" s="24" t="s">
        <v>37</v>
      </c>
      <c r="B8" s="24" t="s">
        <v>34</v>
      </c>
      <c r="C8" s="24" t="s">
        <v>3</v>
      </c>
      <c r="D8" s="21">
        <f ca="1">SUM(INDIRECT(ADDRESS(ROW(МартДанные[[#This Row],[Итого]]),COLUMN(МартДанные[[#This Row],[Итого]])+2)):INDIRECT(ADDRESS(ROW(МартДанные[[#This Row],[Итого]]),COUNTA(МартДанные[#Headers]))))</f>
        <v>0</v>
      </c>
      <c r="E8" s="30">
        <f ca="1">МартДанные[[#This Row],[Итого]]/COUNTIFS(МартДанные[Соц. Работник],МартДанные[[#This Row],[Соц. Работник]])</f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0</v>
      </c>
      <c r="V8" s="26">
        <v>0</v>
      </c>
      <c r="W8" s="26">
        <v>0</v>
      </c>
      <c r="X8" s="26">
        <v>0</v>
      </c>
      <c r="Y8" s="26">
        <v>0</v>
      </c>
      <c r="Z8" s="26">
        <v>0</v>
      </c>
      <c r="AA8" s="26">
        <v>0</v>
      </c>
      <c r="AB8" s="26">
        <v>0</v>
      </c>
      <c r="AC8" s="26">
        <v>0</v>
      </c>
      <c r="AD8" s="26">
        <v>0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6">
        <v>0</v>
      </c>
      <c r="AK8" s="26">
        <v>0</v>
      </c>
      <c r="AL8" s="26">
        <v>0</v>
      </c>
      <c r="AM8" s="26">
        <v>0</v>
      </c>
      <c r="AN8" s="26">
        <v>0</v>
      </c>
      <c r="AO8" s="26">
        <v>0</v>
      </c>
      <c r="AP8" s="26">
        <v>0</v>
      </c>
      <c r="AQ8" s="26">
        <v>0</v>
      </c>
      <c r="AR8" s="26">
        <v>0</v>
      </c>
      <c r="AS8" s="26">
        <v>0</v>
      </c>
      <c r="AT8" s="26">
        <v>0</v>
      </c>
      <c r="AU8" s="26">
        <v>0</v>
      </c>
      <c r="AV8" s="26">
        <v>0</v>
      </c>
      <c r="AW8" s="26">
        <v>0</v>
      </c>
      <c r="AX8" s="26">
        <v>0</v>
      </c>
      <c r="AY8" s="26">
        <v>0</v>
      </c>
      <c r="AZ8" s="26">
        <v>0</v>
      </c>
      <c r="BA8" s="26">
        <v>0</v>
      </c>
      <c r="BB8" s="26">
        <v>0</v>
      </c>
    </row>
  </sheetData>
  <conditionalFormatting sqref="B8">
    <cfRule type="duplicateValues" dxfId="732" priority="74"/>
  </conditionalFormatting>
  <dataValidations count="6">
    <dataValidation type="list" allowBlank="1" showInputMessage="1" showErrorMessage="1" sqref="F7:AK7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8">
      <formula1>СоцРаботник</formula1>
    </dataValidation>
    <dataValidation type="list" allowBlank="1" showInputMessage="1" showErrorMessage="1" sqref="C8">
      <formula1>Учет</formula1>
    </dataValidation>
    <dataValidation type="list" allowBlank="1" showInputMessage="1" showErrorMessage="1" sqref="A5">
      <formula1>ТипУслуги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BB8"/>
  <sheetViews>
    <sheetView zoomScale="70" zoomScaleNormal="70" workbookViewId="0">
      <selection activeCell="B2" sqref="B2"/>
    </sheetView>
  </sheetViews>
  <sheetFormatPr defaultColWidth="9.140625" defaultRowHeight="15.75" x14ac:dyDescent="0.25"/>
  <cols>
    <col min="1" max="1" width="23.5703125" style="1" bestFit="1" customWidth="1"/>
    <col min="2" max="2" width="21.5703125" style="1" bestFit="1" customWidth="1"/>
    <col min="3" max="3" width="17.140625" style="1" bestFit="1" customWidth="1"/>
    <col min="4" max="4" width="4.28515625" style="1" bestFit="1" customWidth="1"/>
    <col min="5" max="5" width="7.28515625" style="1" bestFit="1" customWidth="1"/>
    <col min="6" max="6" width="4.28515625" style="1" bestFit="1" customWidth="1"/>
    <col min="7" max="7" width="7.28515625" style="1" bestFit="1" customWidth="1"/>
    <col min="8" max="8" width="4.28515625" style="1" bestFit="1" customWidth="1"/>
    <col min="9" max="9" width="7.28515625" style="1" bestFit="1" customWidth="1"/>
    <col min="10" max="11" width="4.28515625" style="1" bestFit="1" customWidth="1"/>
    <col min="12" max="12" width="7.28515625" style="1" bestFit="1" customWidth="1"/>
    <col min="13" max="14" width="4.28515625" style="1" bestFit="1" customWidth="1"/>
    <col min="15" max="15" width="7.28515625" style="1" bestFit="1" customWidth="1"/>
    <col min="16" max="16" width="10.28515625" style="1" bestFit="1" customWidth="1"/>
    <col min="17" max="17" width="13.42578125" style="1" bestFit="1" customWidth="1"/>
    <col min="18" max="18" width="4.28515625" style="1" bestFit="1" customWidth="1"/>
    <col min="19" max="19" width="7.28515625" style="1" bestFit="1" customWidth="1"/>
    <col min="20" max="21" width="4.28515625" style="1" bestFit="1" customWidth="1"/>
    <col min="22" max="23" width="7.28515625" style="1" bestFit="1" customWidth="1"/>
    <col min="24" max="25" width="4.28515625" style="1" bestFit="1" customWidth="1"/>
    <col min="26" max="27" width="7.28515625" style="1" bestFit="1" customWidth="1"/>
    <col min="28" max="30" width="4.28515625" style="1" bestFit="1" customWidth="1"/>
    <col min="31" max="31" width="7.28515625" style="1" bestFit="1" customWidth="1"/>
    <col min="32" max="32" width="4.28515625" style="1" bestFit="1" customWidth="1"/>
    <col min="33" max="33" width="7.28515625" style="1" bestFit="1" customWidth="1"/>
    <col min="34" max="34" width="4.28515625" style="1" bestFit="1" customWidth="1"/>
    <col min="35" max="35" width="7.28515625" style="1" bestFit="1" customWidth="1"/>
    <col min="36" max="36" width="10.28515625" style="1" bestFit="1" customWidth="1"/>
    <col min="37" max="37" width="7.28515625" style="1" bestFit="1" customWidth="1"/>
    <col min="38" max="38" width="10.28515625" style="1" bestFit="1" customWidth="1"/>
    <col min="39" max="39" width="13.42578125" style="1" bestFit="1" customWidth="1"/>
    <col min="40" max="40" width="10.28515625" style="1" bestFit="1" customWidth="1"/>
    <col min="41" max="41" width="4.28515625" style="1" bestFit="1" customWidth="1"/>
    <col min="42" max="42" width="7.28515625" style="1" bestFit="1" customWidth="1"/>
    <col min="43" max="44" width="4.28515625" style="1" bestFit="1" customWidth="1"/>
    <col min="45" max="45" width="7.28515625" style="1" bestFit="1" customWidth="1"/>
    <col min="46" max="46" width="10.28515625" style="1" bestFit="1" customWidth="1"/>
    <col min="47" max="49" width="7.28515625" style="1" bestFit="1" customWidth="1"/>
    <col min="50" max="50" width="10.28515625" style="1" bestFit="1" customWidth="1"/>
    <col min="51" max="51" width="7.28515625" style="1" bestFit="1" customWidth="1"/>
    <col min="52" max="54" width="10.28515625" style="1" bestFit="1" customWidth="1"/>
    <col min="55" max="16384" width="9.140625" style="1"/>
  </cols>
  <sheetData>
    <row r="1" spans="1:54" ht="26.25" x14ac:dyDescent="0.4">
      <c r="A1" s="5" t="s">
        <v>0</v>
      </c>
      <c r="B1" s="5" t="s">
        <v>9</v>
      </c>
      <c r="C1" s="1" t="s">
        <v>41</v>
      </c>
    </row>
    <row r="2" spans="1:54" ht="26.25" x14ac:dyDescent="0.4">
      <c r="A2" s="5" t="s">
        <v>20</v>
      </c>
      <c r="B2" s="16"/>
      <c r="C2" s="1" t="s">
        <v>39</v>
      </c>
    </row>
    <row r="4" spans="1:54" x14ac:dyDescent="0.25">
      <c r="A4" s="1" t="s">
        <v>0</v>
      </c>
      <c r="B4" s="1" t="s">
        <v>21</v>
      </c>
      <c r="C4" s="1" t="s">
        <v>22</v>
      </c>
    </row>
    <row r="5" spans="1:54" x14ac:dyDescent="0.25">
      <c r="A5" s="1" t="s">
        <v>24</v>
      </c>
      <c r="B5" s="1">
        <v>0</v>
      </c>
      <c r="C5" s="1">
        <v>0</v>
      </c>
    </row>
    <row r="7" spans="1:54" s="18" customFormat="1" ht="184.5" x14ac:dyDescent="0.25">
      <c r="A7" s="20" t="s">
        <v>28</v>
      </c>
      <c r="B7" s="20" t="s">
        <v>29</v>
      </c>
      <c r="C7" s="20" t="s">
        <v>2</v>
      </c>
      <c r="D7" s="19" t="s">
        <v>30</v>
      </c>
      <c r="E7" s="19" t="s">
        <v>31</v>
      </c>
      <c r="F7" s="19" t="s">
        <v>42</v>
      </c>
      <c r="G7" s="19" t="s">
        <v>43</v>
      </c>
      <c r="H7" s="19" t="s">
        <v>44</v>
      </c>
      <c r="I7" s="19" t="s">
        <v>45</v>
      </c>
      <c r="J7" s="19" t="s">
        <v>46</v>
      </c>
      <c r="K7" s="19" t="s">
        <v>47</v>
      </c>
      <c r="L7" s="19" t="s">
        <v>48</v>
      </c>
      <c r="M7" s="19" t="s">
        <v>49</v>
      </c>
      <c r="N7" s="19" t="s">
        <v>50</v>
      </c>
      <c r="O7" s="19" t="s">
        <v>51</v>
      </c>
      <c r="P7" s="19" t="s">
        <v>52</v>
      </c>
      <c r="Q7" s="19" t="s">
        <v>53</v>
      </c>
      <c r="R7" s="19" t="s">
        <v>54</v>
      </c>
      <c r="S7" s="19" t="s">
        <v>55</v>
      </c>
      <c r="T7" s="19" t="s">
        <v>56</v>
      </c>
      <c r="U7" s="19" t="s">
        <v>57</v>
      </c>
      <c r="V7" s="19" t="s">
        <v>81</v>
      </c>
      <c r="W7" s="19" t="s">
        <v>82</v>
      </c>
      <c r="X7" s="19" t="s">
        <v>58</v>
      </c>
      <c r="Y7" s="19" t="s">
        <v>59</v>
      </c>
      <c r="Z7" s="19" t="s">
        <v>83</v>
      </c>
      <c r="AA7" s="19" t="s">
        <v>84</v>
      </c>
      <c r="AB7" s="19" t="s">
        <v>60</v>
      </c>
      <c r="AC7" s="19" t="s">
        <v>61</v>
      </c>
      <c r="AD7" s="19" t="s">
        <v>62</v>
      </c>
      <c r="AE7" s="19" t="s">
        <v>63</v>
      </c>
      <c r="AF7" s="19" t="s">
        <v>64</v>
      </c>
      <c r="AG7" s="19" t="s">
        <v>65</v>
      </c>
      <c r="AH7" s="19" t="s">
        <v>66</v>
      </c>
      <c r="AI7" s="19" t="s">
        <v>67</v>
      </c>
      <c r="AJ7" s="19" t="s">
        <v>68</v>
      </c>
      <c r="AK7" s="19" t="s">
        <v>85</v>
      </c>
      <c r="AL7" s="19" t="s">
        <v>86</v>
      </c>
      <c r="AM7" s="19" t="s">
        <v>69</v>
      </c>
      <c r="AN7" s="19" t="s">
        <v>70</v>
      </c>
      <c r="AO7" s="19" t="s">
        <v>71</v>
      </c>
      <c r="AP7" s="19" t="s">
        <v>72</v>
      </c>
      <c r="AQ7" s="19" t="s">
        <v>73</v>
      </c>
      <c r="AR7" s="19" t="s">
        <v>74</v>
      </c>
      <c r="AS7" s="19" t="s">
        <v>87</v>
      </c>
      <c r="AT7" s="19" t="s">
        <v>88</v>
      </c>
      <c r="AU7" s="19" t="s">
        <v>89</v>
      </c>
      <c r="AV7" s="19" t="s">
        <v>75</v>
      </c>
      <c r="AW7" s="19" t="s">
        <v>90</v>
      </c>
      <c r="AX7" s="19" t="s">
        <v>76</v>
      </c>
      <c r="AY7" s="19" t="s">
        <v>77</v>
      </c>
      <c r="AZ7" s="19" t="s">
        <v>78</v>
      </c>
      <c r="BA7" s="19" t="s">
        <v>79</v>
      </c>
      <c r="BB7" s="19" t="s">
        <v>80</v>
      </c>
    </row>
    <row r="8" spans="1:54" x14ac:dyDescent="0.25">
      <c r="A8" s="24" t="s">
        <v>37</v>
      </c>
      <c r="B8" s="24" t="s">
        <v>34</v>
      </c>
      <c r="C8" s="24" t="s">
        <v>3</v>
      </c>
      <c r="D8" s="21">
        <f ca="1">SUM(INDIRECT(ADDRESS(ROW(АпрельДанные[[#This Row],[Итого]]),COLUMN(АпрельДанные[[#This Row],[Итого]])+2)):INDIRECT(ADDRESS(ROW(АпрельДанные[[#This Row],[Итого]]),COUNTA(АпрельДанные[#Headers]))))</f>
        <v>0</v>
      </c>
      <c r="E8" s="30">
        <f ca="1">АпрельДанные[[#This Row],[Итого]]/COUNTIFS(АпрельДанные[Соц. Работник],АпрельДанные[[#This Row],[Соц. Работник]])</f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0</v>
      </c>
      <c r="V8" s="26">
        <v>0</v>
      </c>
      <c r="W8" s="26">
        <v>0</v>
      </c>
      <c r="X8" s="26">
        <v>0</v>
      </c>
      <c r="Y8" s="26">
        <v>0</v>
      </c>
      <c r="Z8" s="26">
        <v>0</v>
      </c>
      <c r="AA8" s="26">
        <v>0</v>
      </c>
      <c r="AB8" s="26">
        <v>0</v>
      </c>
      <c r="AC8" s="26">
        <v>0</v>
      </c>
      <c r="AD8" s="26">
        <v>0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6">
        <v>0</v>
      </c>
      <c r="AK8" s="26">
        <v>0</v>
      </c>
      <c r="AL8" s="26">
        <v>0</v>
      </c>
      <c r="AM8" s="26">
        <v>0</v>
      </c>
      <c r="AN8" s="26">
        <v>0</v>
      </c>
      <c r="AO8" s="26">
        <v>0</v>
      </c>
      <c r="AP8" s="26">
        <v>0</v>
      </c>
      <c r="AQ8" s="26">
        <v>0</v>
      </c>
      <c r="AR8" s="26">
        <v>0</v>
      </c>
      <c r="AS8" s="26">
        <v>0</v>
      </c>
      <c r="AT8" s="26">
        <v>0</v>
      </c>
      <c r="AU8" s="26">
        <v>0</v>
      </c>
      <c r="AV8" s="26">
        <v>0</v>
      </c>
      <c r="AW8" s="26">
        <v>0</v>
      </c>
      <c r="AX8" s="26">
        <v>0</v>
      </c>
      <c r="AY8" s="26">
        <v>0</v>
      </c>
      <c r="AZ8" s="26">
        <v>0</v>
      </c>
      <c r="BA8" s="26">
        <v>0</v>
      </c>
      <c r="BB8" s="26">
        <v>0</v>
      </c>
    </row>
  </sheetData>
  <conditionalFormatting sqref="B8">
    <cfRule type="duplicateValues" dxfId="661" priority="75"/>
  </conditionalFormatting>
  <dataValidations count="6">
    <dataValidation type="list" allowBlank="1" showInputMessage="1" showErrorMessage="1" sqref="C2">
      <formula1>СчетУслуги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F7:AK7">
      <formula1>Услуга</formula1>
    </dataValidation>
    <dataValidation type="list" allowBlank="1" showInputMessage="1" showErrorMessage="1" sqref="C8">
      <formula1>Учет</formula1>
    </dataValidation>
    <dataValidation type="list" allowBlank="1" showInputMessage="1" showErrorMessage="1" sqref="A8">
      <formula1>СоцРаботник</formula1>
    </dataValidation>
    <dataValidation type="list" allowBlank="1" showInputMessage="1" showErrorMessage="1" sqref="A5">
      <formula1>ТипУслуги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BB8"/>
  <sheetViews>
    <sheetView zoomScale="70" zoomScaleNormal="70" workbookViewId="0">
      <selection activeCell="B2" sqref="B2"/>
    </sheetView>
  </sheetViews>
  <sheetFormatPr defaultColWidth="9.140625" defaultRowHeight="15.75" x14ac:dyDescent="0.25"/>
  <cols>
    <col min="1" max="1" width="19.140625" style="1" bestFit="1" customWidth="1"/>
    <col min="2" max="2" width="21.5703125" style="1" bestFit="1" customWidth="1"/>
    <col min="3" max="3" width="17.140625" style="1" bestFit="1" customWidth="1"/>
    <col min="4" max="4" width="4.28515625" style="1" bestFit="1" customWidth="1"/>
    <col min="5" max="5" width="7.28515625" style="1" bestFit="1" customWidth="1"/>
    <col min="6" max="6" width="4.28515625" style="1" bestFit="1" customWidth="1"/>
    <col min="7" max="7" width="7.28515625" style="1" bestFit="1" customWidth="1"/>
    <col min="8" max="8" width="4.28515625" style="1" bestFit="1" customWidth="1"/>
    <col min="9" max="9" width="7.28515625" style="1" bestFit="1" customWidth="1"/>
    <col min="10" max="11" width="4.28515625" style="1" bestFit="1" customWidth="1"/>
    <col min="12" max="12" width="7.28515625" style="1" bestFit="1" customWidth="1"/>
    <col min="13" max="14" width="4.28515625" style="1" bestFit="1" customWidth="1"/>
    <col min="15" max="15" width="7.28515625" style="1" bestFit="1" customWidth="1"/>
    <col min="16" max="16" width="10.28515625" style="1" bestFit="1" customWidth="1"/>
    <col min="17" max="17" width="13.42578125" style="1" bestFit="1" customWidth="1"/>
    <col min="18" max="18" width="4.28515625" style="1" bestFit="1" customWidth="1"/>
    <col min="19" max="19" width="7.28515625" style="1" bestFit="1" customWidth="1"/>
    <col min="20" max="21" width="4.28515625" style="1" bestFit="1" customWidth="1"/>
    <col min="22" max="23" width="7.28515625" style="1" bestFit="1" customWidth="1"/>
    <col min="24" max="25" width="4.28515625" style="1" bestFit="1" customWidth="1"/>
    <col min="26" max="27" width="7.28515625" style="1" bestFit="1" customWidth="1"/>
    <col min="28" max="30" width="4.28515625" style="1" bestFit="1" customWidth="1"/>
    <col min="31" max="31" width="7.28515625" style="1" bestFit="1" customWidth="1"/>
    <col min="32" max="32" width="4.28515625" style="1" bestFit="1" customWidth="1"/>
    <col min="33" max="33" width="7.28515625" style="1" bestFit="1" customWidth="1"/>
    <col min="34" max="34" width="4.28515625" style="1" bestFit="1" customWidth="1"/>
    <col min="35" max="35" width="7.28515625" style="1" bestFit="1" customWidth="1"/>
    <col min="36" max="36" width="10.28515625" style="1" bestFit="1" customWidth="1"/>
    <col min="37" max="37" width="7.28515625" style="1" bestFit="1" customWidth="1"/>
    <col min="38" max="38" width="10.28515625" style="1" bestFit="1" customWidth="1"/>
    <col min="39" max="39" width="13.42578125" style="1" bestFit="1" customWidth="1"/>
    <col min="40" max="40" width="10.28515625" style="1" bestFit="1" customWidth="1"/>
    <col min="41" max="41" width="4.28515625" style="1" bestFit="1" customWidth="1"/>
    <col min="42" max="42" width="7.28515625" style="1" bestFit="1" customWidth="1"/>
    <col min="43" max="44" width="4.28515625" style="1" bestFit="1" customWidth="1"/>
    <col min="45" max="45" width="7.28515625" style="1" bestFit="1" customWidth="1"/>
    <col min="46" max="46" width="10.28515625" style="1" bestFit="1" customWidth="1"/>
    <col min="47" max="49" width="7.28515625" style="1" bestFit="1" customWidth="1"/>
    <col min="50" max="50" width="10.28515625" style="1" bestFit="1" customWidth="1"/>
    <col min="51" max="51" width="7.28515625" style="1" bestFit="1" customWidth="1"/>
    <col min="52" max="54" width="10.28515625" style="1" bestFit="1" customWidth="1"/>
    <col min="55" max="16384" width="9.140625" style="1"/>
  </cols>
  <sheetData>
    <row r="1" spans="1:54" ht="26.25" x14ac:dyDescent="0.4">
      <c r="A1" s="5" t="s">
        <v>0</v>
      </c>
      <c r="B1" s="5" t="s">
        <v>10</v>
      </c>
      <c r="C1" s="1" t="s">
        <v>41</v>
      </c>
    </row>
    <row r="2" spans="1:54" ht="26.25" x14ac:dyDescent="0.4">
      <c r="A2" s="5" t="s">
        <v>20</v>
      </c>
      <c r="B2" s="16"/>
      <c r="C2" s="1" t="s">
        <v>39</v>
      </c>
    </row>
    <row r="4" spans="1:54" x14ac:dyDescent="0.25">
      <c r="A4" s="1" t="s">
        <v>0</v>
      </c>
      <c r="B4" s="1" t="s">
        <v>21</v>
      </c>
      <c r="C4" s="1" t="s">
        <v>22</v>
      </c>
    </row>
    <row r="5" spans="1:54" x14ac:dyDescent="0.25">
      <c r="A5" s="1" t="s">
        <v>24</v>
      </c>
      <c r="B5" s="1">
        <v>0</v>
      </c>
      <c r="C5" s="1">
        <v>0</v>
      </c>
    </row>
    <row r="7" spans="1:54" s="18" customFormat="1" ht="184.5" x14ac:dyDescent="0.25">
      <c r="A7" s="20" t="s">
        <v>28</v>
      </c>
      <c r="B7" s="20" t="s">
        <v>29</v>
      </c>
      <c r="C7" s="20" t="s">
        <v>2</v>
      </c>
      <c r="D7" s="19" t="s">
        <v>30</v>
      </c>
      <c r="E7" s="19" t="s">
        <v>31</v>
      </c>
      <c r="F7" s="19" t="s">
        <v>42</v>
      </c>
      <c r="G7" s="19" t="s">
        <v>43</v>
      </c>
      <c r="H7" s="19" t="s">
        <v>44</v>
      </c>
      <c r="I7" s="19" t="s">
        <v>45</v>
      </c>
      <c r="J7" s="19" t="s">
        <v>46</v>
      </c>
      <c r="K7" s="19" t="s">
        <v>47</v>
      </c>
      <c r="L7" s="19" t="s">
        <v>48</v>
      </c>
      <c r="M7" s="19" t="s">
        <v>49</v>
      </c>
      <c r="N7" s="19" t="s">
        <v>50</v>
      </c>
      <c r="O7" s="19" t="s">
        <v>51</v>
      </c>
      <c r="P7" s="19" t="s">
        <v>52</v>
      </c>
      <c r="Q7" s="19" t="s">
        <v>53</v>
      </c>
      <c r="R7" s="19" t="s">
        <v>54</v>
      </c>
      <c r="S7" s="19" t="s">
        <v>55</v>
      </c>
      <c r="T7" s="19" t="s">
        <v>56</v>
      </c>
      <c r="U7" s="19" t="s">
        <v>57</v>
      </c>
      <c r="V7" s="19" t="s">
        <v>81</v>
      </c>
      <c r="W7" s="19" t="s">
        <v>82</v>
      </c>
      <c r="X7" s="19" t="s">
        <v>58</v>
      </c>
      <c r="Y7" s="19" t="s">
        <v>59</v>
      </c>
      <c r="Z7" s="19" t="s">
        <v>83</v>
      </c>
      <c r="AA7" s="19" t="s">
        <v>84</v>
      </c>
      <c r="AB7" s="19" t="s">
        <v>60</v>
      </c>
      <c r="AC7" s="19" t="s">
        <v>61</v>
      </c>
      <c r="AD7" s="19" t="s">
        <v>62</v>
      </c>
      <c r="AE7" s="19" t="s">
        <v>63</v>
      </c>
      <c r="AF7" s="19" t="s">
        <v>64</v>
      </c>
      <c r="AG7" s="19" t="s">
        <v>65</v>
      </c>
      <c r="AH7" s="19" t="s">
        <v>66</v>
      </c>
      <c r="AI7" s="19" t="s">
        <v>67</v>
      </c>
      <c r="AJ7" s="19" t="s">
        <v>68</v>
      </c>
      <c r="AK7" s="19" t="s">
        <v>85</v>
      </c>
      <c r="AL7" s="19" t="s">
        <v>86</v>
      </c>
      <c r="AM7" s="19" t="s">
        <v>69</v>
      </c>
      <c r="AN7" s="19" t="s">
        <v>70</v>
      </c>
      <c r="AO7" s="19" t="s">
        <v>71</v>
      </c>
      <c r="AP7" s="19" t="s">
        <v>72</v>
      </c>
      <c r="AQ7" s="19" t="s">
        <v>73</v>
      </c>
      <c r="AR7" s="19" t="s">
        <v>74</v>
      </c>
      <c r="AS7" s="19" t="s">
        <v>87</v>
      </c>
      <c r="AT7" s="19" t="s">
        <v>88</v>
      </c>
      <c r="AU7" s="19" t="s">
        <v>89</v>
      </c>
      <c r="AV7" s="19" t="s">
        <v>75</v>
      </c>
      <c r="AW7" s="19" t="s">
        <v>90</v>
      </c>
      <c r="AX7" s="19" t="s">
        <v>76</v>
      </c>
      <c r="AY7" s="19" t="s">
        <v>77</v>
      </c>
      <c r="AZ7" s="19" t="s">
        <v>78</v>
      </c>
      <c r="BA7" s="19" t="s">
        <v>79</v>
      </c>
      <c r="BB7" s="19" t="s">
        <v>80</v>
      </c>
    </row>
    <row r="8" spans="1:54" x14ac:dyDescent="0.25">
      <c r="A8" s="24" t="s">
        <v>37</v>
      </c>
      <c r="B8" s="24" t="s">
        <v>34</v>
      </c>
      <c r="C8" s="24" t="s">
        <v>3</v>
      </c>
      <c r="D8" s="21">
        <f ca="1">SUM(INDIRECT(ADDRESS(ROW(МайДанные[[#This Row],[Итого]]),COLUMN(МайДанные[[#This Row],[Итого]])+2)):INDIRECT(ADDRESS(ROW(МайДанные[[#This Row],[Итого]]),COUNTA(МайДанные[#Headers]))))</f>
        <v>0</v>
      </c>
      <c r="E8" s="30">
        <f ca="1">МайДанные[[#This Row],[Итого]]/COUNTIFS(МайДанные[Соц. Работник],МайДанные[[#This Row],[Соц. Работник]])</f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0</v>
      </c>
      <c r="V8" s="26">
        <v>0</v>
      </c>
      <c r="W8" s="26">
        <v>0</v>
      </c>
      <c r="X8" s="26">
        <v>0</v>
      </c>
      <c r="Y8" s="26">
        <v>0</v>
      </c>
      <c r="Z8" s="26">
        <v>0</v>
      </c>
      <c r="AA8" s="26">
        <v>0</v>
      </c>
      <c r="AB8" s="26">
        <v>0</v>
      </c>
      <c r="AC8" s="26">
        <v>0</v>
      </c>
      <c r="AD8" s="26">
        <v>0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6">
        <v>0</v>
      </c>
      <c r="AK8" s="26">
        <v>0</v>
      </c>
      <c r="AL8" s="26">
        <v>0</v>
      </c>
      <c r="AM8" s="26">
        <v>0</v>
      </c>
      <c r="AN8" s="26">
        <v>0</v>
      </c>
      <c r="AO8" s="26">
        <v>0</v>
      </c>
      <c r="AP8" s="26">
        <v>0</v>
      </c>
      <c r="AQ8" s="26">
        <v>0</v>
      </c>
      <c r="AR8" s="26">
        <v>0</v>
      </c>
      <c r="AS8" s="26">
        <v>0</v>
      </c>
      <c r="AT8" s="26">
        <v>0</v>
      </c>
      <c r="AU8" s="26">
        <v>0</v>
      </c>
      <c r="AV8" s="26">
        <v>0</v>
      </c>
      <c r="AW8" s="26">
        <v>0</v>
      </c>
      <c r="AX8" s="26">
        <v>0</v>
      </c>
      <c r="AY8" s="26">
        <v>0</v>
      </c>
      <c r="AZ8" s="26">
        <v>0</v>
      </c>
      <c r="BA8" s="26">
        <v>0</v>
      </c>
      <c r="BB8" s="26">
        <v>0</v>
      </c>
    </row>
  </sheetData>
  <conditionalFormatting sqref="B8">
    <cfRule type="duplicateValues" dxfId="591" priority="77"/>
  </conditionalFormatting>
  <dataValidations count="6">
    <dataValidation type="list" allowBlank="1" showInputMessage="1" showErrorMessage="1" sqref="F7:AK7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8">
      <formula1>СоцРаботник</formula1>
    </dataValidation>
    <dataValidation type="list" allowBlank="1" showInputMessage="1" showErrorMessage="1" sqref="C8">
      <formula1>Учет</formula1>
    </dataValidation>
    <dataValidation type="list" allowBlank="1" showInputMessage="1" showErrorMessage="1" sqref="A5">
      <formula1>ТипУслуги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BB8"/>
  <sheetViews>
    <sheetView zoomScale="70" zoomScaleNormal="70" workbookViewId="0">
      <selection activeCell="B2" sqref="B2"/>
    </sheetView>
  </sheetViews>
  <sheetFormatPr defaultColWidth="9.140625" defaultRowHeight="15.75" x14ac:dyDescent="0.25"/>
  <cols>
    <col min="1" max="1" width="19.140625" style="1" bestFit="1" customWidth="1"/>
    <col min="2" max="2" width="21.5703125" style="1" bestFit="1" customWidth="1"/>
    <col min="3" max="3" width="17.140625" style="1" bestFit="1" customWidth="1"/>
    <col min="4" max="4" width="4.28515625" style="1" bestFit="1" customWidth="1"/>
    <col min="5" max="5" width="7.28515625" style="1" bestFit="1" customWidth="1"/>
    <col min="6" max="6" width="4.28515625" style="1" bestFit="1" customWidth="1"/>
    <col min="7" max="7" width="7.28515625" style="1" bestFit="1" customWidth="1"/>
    <col min="8" max="8" width="4.28515625" style="1" bestFit="1" customWidth="1"/>
    <col min="9" max="9" width="7.28515625" style="1" bestFit="1" customWidth="1"/>
    <col min="10" max="11" width="4.28515625" style="1" bestFit="1" customWidth="1"/>
    <col min="12" max="12" width="7.28515625" style="1" bestFit="1" customWidth="1"/>
    <col min="13" max="14" width="4.28515625" style="1" bestFit="1" customWidth="1"/>
    <col min="15" max="15" width="7.28515625" style="1" bestFit="1" customWidth="1"/>
    <col min="16" max="16" width="10.28515625" style="1" bestFit="1" customWidth="1"/>
    <col min="17" max="17" width="13.42578125" style="1" bestFit="1" customWidth="1"/>
    <col min="18" max="18" width="4.28515625" style="1" bestFit="1" customWidth="1"/>
    <col min="19" max="19" width="7.28515625" style="1" bestFit="1" customWidth="1"/>
    <col min="20" max="21" width="4.28515625" style="1" bestFit="1" customWidth="1"/>
    <col min="22" max="23" width="7.28515625" style="1" bestFit="1" customWidth="1"/>
    <col min="24" max="25" width="4.28515625" style="1" bestFit="1" customWidth="1"/>
    <col min="26" max="27" width="7.28515625" style="1" bestFit="1" customWidth="1"/>
    <col min="28" max="30" width="4.28515625" style="1" bestFit="1" customWidth="1"/>
    <col min="31" max="31" width="7.28515625" style="1" bestFit="1" customWidth="1"/>
    <col min="32" max="32" width="4.28515625" style="1" bestFit="1" customWidth="1"/>
    <col min="33" max="33" width="7.28515625" style="1" bestFit="1" customWidth="1"/>
    <col min="34" max="34" width="4.28515625" style="1" bestFit="1" customWidth="1"/>
    <col min="35" max="35" width="7.28515625" style="1" bestFit="1" customWidth="1"/>
    <col min="36" max="36" width="10.28515625" style="1" bestFit="1" customWidth="1"/>
    <col min="37" max="37" width="7.28515625" style="1" bestFit="1" customWidth="1"/>
    <col min="38" max="38" width="10.28515625" style="1" bestFit="1" customWidth="1"/>
    <col min="39" max="39" width="13.42578125" style="1" bestFit="1" customWidth="1"/>
    <col min="40" max="40" width="10.28515625" style="1" bestFit="1" customWidth="1"/>
    <col min="41" max="41" width="4.28515625" style="1" bestFit="1" customWidth="1"/>
    <col min="42" max="42" width="7.28515625" style="1" bestFit="1" customWidth="1"/>
    <col min="43" max="44" width="4.28515625" style="1" bestFit="1" customWidth="1"/>
    <col min="45" max="45" width="7.28515625" style="1" bestFit="1" customWidth="1"/>
    <col min="46" max="46" width="10.28515625" style="1" bestFit="1" customWidth="1"/>
    <col min="47" max="49" width="7.28515625" style="1" bestFit="1" customWidth="1"/>
    <col min="50" max="50" width="10.28515625" style="1" bestFit="1" customWidth="1"/>
    <col min="51" max="51" width="7.28515625" style="1" bestFit="1" customWidth="1"/>
    <col min="52" max="54" width="10.28515625" style="1" bestFit="1" customWidth="1"/>
    <col min="55" max="16384" width="9.140625" style="1"/>
  </cols>
  <sheetData>
    <row r="1" spans="1:54" ht="26.25" x14ac:dyDescent="0.4">
      <c r="A1" s="5" t="s">
        <v>0</v>
      </c>
      <c r="B1" s="5" t="s">
        <v>11</v>
      </c>
      <c r="C1" s="1" t="s">
        <v>41</v>
      </c>
    </row>
    <row r="2" spans="1:54" ht="26.25" x14ac:dyDescent="0.4">
      <c r="A2" s="5" t="s">
        <v>20</v>
      </c>
      <c r="B2" s="16"/>
      <c r="C2" s="1" t="s">
        <v>39</v>
      </c>
    </row>
    <row r="4" spans="1:54" x14ac:dyDescent="0.25">
      <c r="A4" s="1" t="s">
        <v>0</v>
      </c>
      <c r="B4" s="1" t="s">
        <v>21</v>
      </c>
      <c r="C4" s="1" t="s">
        <v>22</v>
      </c>
    </row>
    <row r="5" spans="1:54" x14ac:dyDescent="0.25">
      <c r="A5" s="1" t="s">
        <v>24</v>
      </c>
      <c r="B5" s="1">
        <v>0</v>
      </c>
      <c r="C5" s="1">
        <v>0</v>
      </c>
    </row>
    <row r="7" spans="1:54" s="18" customFormat="1" ht="184.5" x14ac:dyDescent="0.25">
      <c r="A7" s="20" t="s">
        <v>28</v>
      </c>
      <c r="B7" s="20" t="s">
        <v>29</v>
      </c>
      <c r="C7" s="20" t="s">
        <v>2</v>
      </c>
      <c r="D7" s="19" t="s">
        <v>30</v>
      </c>
      <c r="E7" s="19" t="s">
        <v>31</v>
      </c>
      <c r="F7" s="19" t="s">
        <v>42</v>
      </c>
      <c r="G7" s="19" t="s">
        <v>43</v>
      </c>
      <c r="H7" s="19" t="s">
        <v>44</v>
      </c>
      <c r="I7" s="19" t="s">
        <v>45</v>
      </c>
      <c r="J7" s="19" t="s">
        <v>46</v>
      </c>
      <c r="K7" s="19" t="s">
        <v>47</v>
      </c>
      <c r="L7" s="19" t="s">
        <v>48</v>
      </c>
      <c r="M7" s="19" t="s">
        <v>49</v>
      </c>
      <c r="N7" s="19" t="s">
        <v>50</v>
      </c>
      <c r="O7" s="19" t="s">
        <v>51</v>
      </c>
      <c r="P7" s="19" t="s">
        <v>52</v>
      </c>
      <c r="Q7" s="19" t="s">
        <v>53</v>
      </c>
      <c r="R7" s="19" t="s">
        <v>54</v>
      </c>
      <c r="S7" s="19" t="s">
        <v>55</v>
      </c>
      <c r="T7" s="19" t="s">
        <v>56</v>
      </c>
      <c r="U7" s="19" t="s">
        <v>57</v>
      </c>
      <c r="V7" s="19" t="s">
        <v>81</v>
      </c>
      <c r="W7" s="19" t="s">
        <v>82</v>
      </c>
      <c r="X7" s="19" t="s">
        <v>58</v>
      </c>
      <c r="Y7" s="19" t="s">
        <v>59</v>
      </c>
      <c r="Z7" s="19" t="s">
        <v>83</v>
      </c>
      <c r="AA7" s="19" t="s">
        <v>84</v>
      </c>
      <c r="AB7" s="19" t="s">
        <v>60</v>
      </c>
      <c r="AC7" s="19" t="s">
        <v>61</v>
      </c>
      <c r="AD7" s="19" t="s">
        <v>62</v>
      </c>
      <c r="AE7" s="19" t="s">
        <v>63</v>
      </c>
      <c r="AF7" s="19" t="s">
        <v>64</v>
      </c>
      <c r="AG7" s="19" t="s">
        <v>65</v>
      </c>
      <c r="AH7" s="19" t="s">
        <v>66</v>
      </c>
      <c r="AI7" s="19" t="s">
        <v>67</v>
      </c>
      <c r="AJ7" s="19" t="s">
        <v>68</v>
      </c>
      <c r="AK7" s="19" t="s">
        <v>85</v>
      </c>
      <c r="AL7" s="19" t="s">
        <v>86</v>
      </c>
      <c r="AM7" s="19" t="s">
        <v>69</v>
      </c>
      <c r="AN7" s="19" t="s">
        <v>70</v>
      </c>
      <c r="AO7" s="19" t="s">
        <v>71</v>
      </c>
      <c r="AP7" s="19" t="s">
        <v>72</v>
      </c>
      <c r="AQ7" s="19" t="s">
        <v>73</v>
      </c>
      <c r="AR7" s="19" t="s">
        <v>74</v>
      </c>
      <c r="AS7" s="19" t="s">
        <v>87</v>
      </c>
      <c r="AT7" s="19" t="s">
        <v>88</v>
      </c>
      <c r="AU7" s="19" t="s">
        <v>89</v>
      </c>
      <c r="AV7" s="19" t="s">
        <v>75</v>
      </c>
      <c r="AW7" s="19" t="s">
        <v>90</v>
      </c>
      <c r="AX7" s="19" t="s">
        <v>76</v>
      </c>
      <c r="AY7" s="19" t="s">
        <v>77</v>
      </c>
      <c r="AZ7" s="19" t="s">
        <v>78</v>
      </c>
      <c r="BA7" s="19" t="s">
        <v>79</v>
      </c>
      <c r="BB7" s="19" t="s">
        <v>80</v>
      </c>
    </row>
    <row r="8" spans="1:54" x14ac:dyDescent="0.25">
      <c r="A8" s="24" t="s">
        <v>37</v>
      </c>
      <c r="B8" s="24" t="s">
        <v>34</v>
      </c>
      <c r="C8" s="24" t="s">
        <v>3</v>
      </c>
      <c r="D8" s="21">
        <f ca="1">SUM(INDIRECT(ADDRESS(ROW(ИюньДанные[[#This Row],[Итого]]),COLUMN(ИюньДанные[[#This Row],[Итого]])+2)):INDIRECT(ADDRESS(ROW(ИюньДанные[[#This Row],[Итого]]),COUNTA(ИюньДанные[#Headers]))))</f>
        <v>0</v>
      </c>
      <c r="E8" s="30">
        <f ca="1">ИюньДанные[[#This Row],[Итого]]/COUNTIFS(ИюньДанные[Соц. Работник],ИюньДанные[[#This Row],[Соц. Работник]])</f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0</v>
      </c>
      <c r="V8" s="26">
        <v>0</v>
      </c>
      <c r="W8" s="26">
        <v>0</v>
      </c>
      <c r="X8" s="26">
        <v>0</v>
      </c>
      <c r="Y8" s="26">
        <v>0</v>
      </c>
      <c r="Z8" s="26">
        <v>0</v>
      </c>
      <c r="AA8" s="26">
        <v>0</v>
      </c>
      <c r="AB8" s="26">
        <v>0</v>
      </c>
      <c r="AC8" s="26">
        <v>0</v>
      </c>
      <c r="AD8" s="26">
        <v>0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6">
        <v>0</v>
      </c>
      <c r="AK8" s="26">
        <v>0</v>
      </c>
      <c r="AL8" s="26">
        <v>0</v>
      </c>
      <c r="AM8" s="26">
        <v>0</v>
      </c>
      <c r="AN8" s="26">
        <v>0</v>
      </c>
      <c r="AO8" s="26">
        <v>0</v>
      </c>
      <c r="AP8" s="26">
        <v>0</v>
      </c>
      <c r="AQ8" s="26">
        <v>0</v>
      </c>
      <c r="AR8" s="26">
        <v>0</v>
      </c>
      <c r="AS8" s="26">
        <v>0</v>
      </c>
      <c r="AT8" s="26">
        <v>0</v>
      </c>
      <c r="AU8" s="26">
        <v>0</v>
      </c>
      <c r="AV8" s="26">
        <v>0</v>
      </c>
      <c r="AW8" s="26">
        <v>0</v>
      </c>
      <c r="AX8" s="26">
        <v>0</v>
      </c>
      <c r="AY8" s="26">
        <v>0</v>
      </c>
      <c r="AZ8" s="26">
        <v>0</v>
      </c>
      <c r="BA8" s="26">
        <v>0</v>
      </c>
      <c r="BB8" s="26">
        <v>0</v>
      </c>
    </row>
  </sheetData>
  <conditionalFormatting sqref="B8">
    <cfRule type="duplicateValues" dxfId="521" priority="78"/>
  </conditionalFormatting>
  <dataValidations count="6">
    <dataValidation type="list" allowBlank="1" showInputMessage="1" showErrorMessage="1" sqref="C2">
      <formula1>СчетУслуги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F7:AK7">
      <formula1>Услуга</formula1>
    </dataValidation>
    <dataValidation type="list" allowBlank="1" showInputMessage="1" showErrorMessage="1" sqref="C8">
      <formula1>Учет</formula1>
    </dataValidation>
    <dataValidation type="list" allowBlank="1" showInputMessage="1" showErrorMessage="1" sqref="A8">
      <formula1>СоцРаботник</formula1>
    </dataValidation>
    <dataValidation type="list" allowBlank="1" showInputMessage="1" showErrorMessage="1" sqref="A5">
      <formula1>ТипУслуги</formula1>
    </dataValidation>
  </dataValidations>
  <pageMargins left="0.7" right="0.7" top="0.75" bottom="0.75" header="0.3" footer="0.3"/>
  <pageSetup paperSize="9" orientation="landscape" verticalDpi="0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BB9"/>
  <sheetViews>
    <sheetView zoomScale="70" zoomScaleNormal="70" workbookViewId="0">
      <selection activeCell="B2" sqref="B2"/>
    </sheetView>
  </sheetViews>
  <sheetFormatPr defaultColWidth="9.140625" defaultRowHeight="15.75" x14ac:dyDescent="0.25"/>
  <cols>
    <col min="1" max="1" width="19.140625" style="1" bestFit="1" customWidth="1"/>
    <col min="2" max="2" width="21.5703125" style="1" bestFit="1" customWidth="1"/>
    <col min="3" max="3" width="17.140625" style="1" bestFit="1" customWidth="1"/>
    <col min="4" max="4" width="4.28515625" style="1" bestFit="1" customWidth="1"/>
    <col min="5" max="5" width="7.28515625" style="1" bestFit="1" customWidth="1"/>
    <col min="6" max="6" width="4.28515625" style="1" bestFit="1" customWidth="1"/>
    <col min="7" max="7" width="7.28515625" style="1" bestFit="1" customWidth="1"/>
    <col min="8" max="8" width="4.28515625" style="1" bestFit="1" customWidth="1"/>
    <col min="9" max="9" width="7.28515625" style="1" bestFit="1" customWidth="1"/>
    <col min="10" max="11" width="4.28515625" style="1" bestFit="1" customWidth="1"/>
    <col min="12" max="12" width="7.28515625" style="1" bestFit="1" customWidth="1"/>
    <col min="13" max="14" width="4.28515625" style="1" bestFit="1" customWidth="1"/>
    <col min="15" max="15" width="7.28515625" style="1" bestFit="1" customWidth="1"/>
    <col min="16" max="16" width="10.28515625" style="1" bestFit="1" customWidth="1"/>
    <col min="17" max="17" width="13.42578125" style="1" bestFit="1" customWidth="1"/>
    <col min="18" max="18" width="4.28515625" style="1" bestFit="1" customWidth="1"/>
    <col min="19" max="19" width="7.28515625" style="1" bestFit="1" customWidth="1"/>
    <col min="20" max="21" width="4.28515625" style="1" bestFit="1" customWidth="1"/>
    <col min="22" max="23" width="7.28515625" style="1" bestFit="1" customWidth="1"/>
    <col min="24" max="25" width="4.28515625" style="1" bestFit="1" customWidth="1"/>
    <col min="26" max="27" width="7.28515625" style="1" bestFit="1" customWidth="1"/>
    <col min="28" max="30" width="4.28515625" style="1" bestFit="1" customWidth="1"/>
    <col min="31" max="31" width="7.28515625" style="1" bestFit="1" customWidth="1"/>
    <col min="32" max="32" width="4.28515625" style="1" bestFit="1" customWidth="1"/>
    <col min="33" max="33" width="7.28515625" style="1" bestFit="1" customWidth="1"/>
    <col min="34" max="34" width="4.28515625" style="1" bestFit="1" customWidth="1"/>
    <col min="35" max="35" width="7.28515625" style="1" bestFit="1" customWidth="1"/>
    <col min="36" max="36" width="10.28515625" style="1" bestFit="1" customWidth="1"/>
    <col min="37" max="37" width="7.28515625" style="1" bestFit="1" customWidth="1"/>
    <col min="38" max="38" width="10.28515625" style="1" bestFit="1" customWidth="1"/>
    <col min="39" max="39" width="13.42578125" style="1" bestFit="1" customWidth="1"/>
    <col min="40" max="40" width="10.28515625" style="1" bestFit="1" customWidth="1"/>
    <col min="41" max="41" width="4.28515625" style="1" bestFit="1" customWidth="1"/>
    <col min="42" max="42" width="7.28515625" style="1" bestFit="1" customWidth="1"/>
    <col min="43" max="44" width="4.28515625" style="1" bestFit="1" customWidth="1"/>
    <col min="45" max="45" width="7.28515625" style="1" bestFit="1" customWidth="1"/>
    <col min="46" max="46" width="10.28515625" style="1" bestFit="1" customWidth="1"/>
    <col min="47" max="49" width="7.28515625" style="1" bestFit="1" customWidth="1"/>
    <col min="50" max="50" width="10.28515625" style="1" bestFit="1" customWidth="1"/>
    <col min="51" max="51" width="7.28515625" style="1" bestFit="1" customWidth="1"/>
    <col min="52" max="54" width="10.28515625" style="1" bestFit="1" customWidth="1"/>
    <col min="55" max="16384" width="9.140625" style="1"/>
  </cols>
  <sheetData>
    <row r="1" spans="1:54" ht="26.25" x14ac:dyDescent="0.4">
      <c r="A1" s="5" t="s">
        <v>0</v>
      </c>
      <c r="B1" s="5" t="s">
        <v>12</v>
      </c>
      <c r="C1" s="1" t="s">
        <v>41</v>
      </c>
    </row>
    <row r="2" spans="1:54" ht="26.25" x14ac:dyDescent="0.4">
      <c r="A2" s="5" t="s">
        <v>20</v>
      </c>
      <c r="B2" s="16"/>
      <c r="C2" s="1" t="s">
        <v>39</v>
      </c>
    </row>
    <row r="4" spans="1:54" x14ac:dyDescent="0.25">
      <c r="A4" s="1" t="s">
        <v>0</v>
      </c>
      <c r="B4" s="1" t="s">
        <v>21</v>
      </c>
      <c r="C4" s="1" t="s">
        <v>22</v>
      </c>
    </row>
    <row r="5" spans="1:54" x14ac:dyDescent="0.25">
      <c r="A5" s="1" t="s">
        <v>24</v>
      </c>
      <c r="B5" s="1">
        <v>0</v>
      </c>
      <c r="C5" s="1">
        <v>0</v>
      </c>
    </row>
    <row r="7" spans="1:54" s="18" customFormat="1" ht="184.5" x14ac:dyDescent="0.25">
      <c r="A7" s="20" t="s">
        <v>28</v>
      </c>
      <c r="B7" s="20" t="s">
        <v>29</v>
      </c>
      <c r="C7" s="20" t="s">
        <v>2</v>
      </c>
      <c r="D7" s="19" t="s">
        <v>30</v>
      </c>
      <c r="E7" s="19" t="s">
        <v>31</v>
      </c>
      <c r="F7" s="19" t="s">
        <v>42</v>
      </c>
      <c r="G7" s="19" t="s">
        <v>43</v>
      </c>
      <c r="H7" s="19" t="s">
        <v>44</v>
      </c>
      <c r="I7" s="19" t="s">
        <v>45</v>
      </c>
      <c r="J7" s="19" t="s">
        <v>46</v>
      </c>
      <c r="K7" s="19" t="s">
        <v>47</v>
      </c>
      <c r="L7" s="19" t="s">
        <v>48</v>
      </c>
      <c r="M7" s="19" t="s">
        <v>49</v>
      </c>
      <c r="N7" s="19" t="s">
        <v>50</v>
      </c>
      <c r="O7" s="19" t="s">
        <v>51</v>
      </c>
      <c r="P7" s="19" t="s">
        <v>52</v>
      </c>
      <c r="Q7" s="19" t="s">
        <v>53</v>
      </c>
      <c r="R7" s="19" t="s">
        <v>54</v>
      </c>
      <c r="S7" s="19" t="s">
        <v>55</v>
      </c>
      <c r="T7" s="19" t="s">
        <v>56</v>
      </c>
      <c r="U7" s="19" t="s">
        <v>57</v>
      </c>
      <c r="V7" s="19" t="s">
        <v>81</v>
      </c>
      <c r="W7" s="19" t="s">
        <v>82</v>
      </c>
      <c r="X7" s="19" t="s">
        <v>58</v>
      </c>
      <c r="Y7" s="19" t="s">
        <v>59</v>
      </c>
      <c r="Z7" s="19" t="s">
        <v>83</v>
      </c>
      <c r="AA7" s="19" t="s">
        <v>84</v>
      </c>
      <c r="AB7" s="19" t="s">
        <v>60</v>
      </c>
      <c r="AC7" s="19" t="s">
        <v>61</v>
      </c>
      <c r="AD7" s="19" t="s">
        <v>62</v>
      </c>
      <c r="AE7" s="19" t="s">
        <v>63</v>
      </c>
      <c r="AF7" s="19" t="s">
        <v>64</v>
      </c>
      <c r="AG7" s="19" t="s">
        <v>65</v>
      </c>
      <c r="AH7" s="19" t="s">
        <v>66</v>
      </c>
      <c r="AI7" s="19" t="s">
        <v>67</v>
      </c>
      <c r="AJ7" s="19" t="s">
        <v>68</v>
      </c>
      <c r="AK7" s="19" t="s">
        <v>85</v>
      </c>
      <c r="AL7" s="19" t="s">
        <v>86</v>
      </c>
      <c r="AM7" s="19" t="s">
        <v>69</v>
      </c>
      <c r="AN7" s="19" t="s">
        <v>70</v>
      </c>
      <c r="AO7" s="19" t="s">
        <v>71</v>
      </c>
      <c r="AP7" s="19" t="s">
        <v>72</v>
      </c>
      <c r="AQ7" s="19" t="s">
        <v>73</v>
      </c>
      <c r="AR7" s="19" t="s">
        <v>74</v>
      </c>
      <c r="AS7" s="19" t="s">
        <v>87</v>
      </c>
      <c r="AT7" s="19" t="s">
        <v>88</v>
      </c>
      <c r="AU7" s="19" t="s">
        <v>89</v>
      </c>
      <c r="AV7" s="19" t="s">
        <v>75</v>
      </c>
      <c r="AW7" s="19" t="s">
        <v>90</v>
      </c>
      <c r="AX7" s="19" t="s">
        <v>76</v>
      </c>
      <c r="AY7" s="19" t="s">
        <v>77</v>
      </c>
      <c r="AZ7" s="19" t="s">
        <v>78</v>
      </c>
      <c r="BA7" s="19" t="s">
        <v>79</v>
      </c>
      <c r="BB7" s="19" t="s">
        <v>80</v>
      </c>
    </row>
    <row r="8" spans="1:54" x14ac:dyDescent="0.25">
      <c r="A8" s="24" t="s">
        <v>37</v>
      </c>
      <c r="B8" s="24" t="s">
        <v>34</v>
      </c>
      <c r="C8" s="24" t="s">
        <v>3</v>
      </c>
      <c r="D8" s="21">
        <f ca="1">SUM(INDIRECT(ADDRESS(ROW(ИюльДанные[[#This Row],[Итого]]),COLUMN(ИюльДанные[[#This Row],[Итого]])+2)):INDIRECT(ADDRESS(ROW(ИюльДанные[[#This Row],[Итого]]),COUNTA(ИюльДанные[#Headers]))))</f>
        <v>0</v>
      </c>
      <c r="E8" s="30">
        <f ca="1">ИюльДанные[[#This Row],[Итого]]/COUNTIFS(ИюльДанные[Соц. Работник],ИюльДанные[[#This Row],[Соц. Работник]])</f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0</v>
      </c>
      <c r="V8" s="26">
        <v>0</v>
      </c>
      <c r="W8" s="26">
        <v>0</v>
      </c>
      <c r="X8" s="26">
        <v>0</v>
      </c>
      <c r="Y8" s="26">
        <v>0</v>
      </c>
      <c r="Z8" s="26">
        <v>0</v>
      </c>
      <c r="AA8" s="26">
        <v>0</v>
      </c>
      <c r="AB8" s="26">
        <v>0</v>
      </c>
      <c r="AC8" s="26">
        <v>0</v>
      </c>
      <c r="AD8" s="26">
        <v>0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6">
        <v>0</v>
      </c>
      <c r="AK8" s="26">
        <v>0</v>
      </c>
      <c r="AL8" s="26">
        <v>0</v>
      </c>
      <c r="AM8" s="26">
        <v>0</v>
      </c>
      <c r="AN8" s="26">
        <v>0</v>
      </c>
      <c r="AO8" s="26">
        <v>0</v>
      </c>
      <c r="AP8" s="26">
        <v>0</v>
      </c>
      <c r="AQ8" s="26">
        <v>0</v>
      </c>
      <c r="AR8" s="26">
        <v>0</v>
      </c>
      <c r="AS8" s="26">
        <v>0</v>
      </c>
      <c r="AT8" s="26">
        <v>0</v>
      </c>
      <c r="AU8" s="26">
        <v>0</v>
      </c>
      <c r="AV8" s="26">
        <v>0</v>
      </c>
      <c r="AW8" s="26">
        <v>0</v>
      </c>
      <c r="AX8" s="26">
        <v>0</v>
      </c>
      <c r="AY8" s="26">
        <v>0</v>
      </c>
      <c r="AZ8" s="26">
        <v>0</v>
      </c>
      <c r="BA8" s="26">
        <v>0</v>
      </c>
      <c r="BB8" s="26">
        <v>0</v>
      </c>
    </row>
    <row r="9" spans="1:54" x14ac:dyDescent="0.25">
      <c r="A9" s="36"/>
    </row>
  </sheetData>
  <conditionalFormatting sqref="B8">
    <cfRule type="duplicateValues" dxfId="450" priority="79"/>
  </conditionalFormatting>
  <dataValidations count="6">
    <dataValidation type="list" allowBlank="1" showInputMessage="1" showErrorMessage="1" sqref="F7:AK7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C8">
      <formula1>Учет</formula1>
    </dataValidation>
    <dataValidation type="list" allowBlank="1" showInputMessage="1" showErrorMessage="1" sqref="A8:A9">
      <formula1>СоцРаботник</formula1>
    </dataValidation>
    <dataValidation type="list" allowBlank="1" showInputMessage="1" showErrorMessage="1" sqref="A5">
      <formula1>ТипУслуги</formula1>
    </dataValidation>
  </dataValidations>
  <pageMargins left="0.7" right="0.7" top="0.75" bottom="0.75" header="0.3" footer="0.3"/>
  <pageSetup paperSize="9" orientation="portrait" verticalDpi="0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BB8"/>
  <sheetViews>
    <sheetView zoomScale="70" zoomScaleNormal="70" workbookViewId="0">
      <selection activeCell="B2" sqref="B2"/>
    </sheetView>
  </sheetViews>
  <sheetFormatPr defaultColWidth="9.140625" defaultRowHeight="15.75" x14ac:dyDescent="0.25"/>
  <cols>
    <col min="1" max="1" width="19.140625" style="1" bestFit="1" customWidth="1"/>
    <col min="2" max="2" width="21.5703125" style="1" bestFit="1" customWidth="1"/>
    <col min="3" max="3" width="17.140625" style="1" bestFit="1" customWidth="1"/>
    <col min="4" max="4" width="4.28515625" style="1" bestFit="1" customWidth="1"/>
    <col min="5" max="5" width="7.28515625" style="1" bestFit="1" customWidth="1"/>
    <col min="6" max="6" width="4.28515625" style="1" bestFit="1" customWidth="1"/>
    <col min="7" max="7" width="7.28515625" style="1" bestFit="1" customWidth="1"/>
    <col min="8" max="8" width="4.28515625" style="1" bestFit="1" customWidth="1"/>
    <col min="9" max="9" width="7.28515625" style="1" bestFit="1" customWidth="1"/>
    <col min="10" max="11" width="4.28515625" style="1" bestFit="1" customWidth="1"/>
    <col min="12" max="12" width="7.28515625" style="1" bestFit="1" customWidth="1"/>
    <col min="13" max="14" width="4.28515625" style="1" bestFit="1" customWidth="1"/>
    <col min="15" max="15" width="7.28515625" style="1" bestFit="1" customWidth="1"/>
    <col min="16" max="16" width="10.28515625" style="1" bestFit="1" customWidth="1"/>
    <col min="17" max="17" width="13.42578125" style="1" bestFit="1" customWidth="1"/>
    <col min="18" max="18" width="4.28515625" style="1" bestFit="1" customWidth="1"/>
    <col min="19" max="19" width="7.28515625" style="1" bestFit="1" customWidth="1"/>
    <col min="20" max="21" width="4.28515625" style="1" bestFit="1" customWidth="1"/>
    <col min="22" max="23" width="7.28515625" style="1" bestFit="1" customWidth="1"/>
    <col min="24" max="25" width="4.28515625" style="1" bestFit="1" customWidth="1"/>
    <col min="26" max="27" width="7.28515625" style="1" bestFit="1" customWidth="1"/>
    <col min="28" max="30" width="4.28515625" style="1" bestFit="1" customWidth="1"/>
    <col min="31" max="31" width="7.28515625" style="1" bestFit="1" customWidth="1"/>
    <col min="32" max="32" width="4.28515625" style="1" bestFit="1" customWidth="1"/>
    <col min="33" max="33" width="7.28515625" style="1" bestFit="1" customWidth="1"/>
    <col min="34" max="34" width="4.28515625" style="1" bestFit="1" customWidth="1"/>
    <col min="35" max="35" width="7.28515625" style="1" bestFit="1" customWidth="1"/>
    <col min="36" max="36" width="10.28515625" style="1" bestFit="1" customWidth="1"/>
    <col min="37" max="37" width="7.28515625" style="1" bestFit="1" customWidth="1"/>
    <col min="38" max="38" width="10.28515625" style="1" bestFit="1" customWidth="1"/>
    <col min="39" max="39" width="13.42578125" style="1" bestFit="1" customWidth="1"/>
    <col min="40" max="40" width="10.28515625" style="1" bestFit="1" customWidth="1"/>
    <col min="41" max="41" width="4.28515625" style="1" bestFit="1" customWidth="1"/>
    <col min="42" max="42" width="7.28515625" style="1" bestFit="1" customWidth="1"/>
    <col min="43" max="44" width="4.28515625" style="1" bestFit="1" customWidth="1"/>
    <col min="45" max="45" width="7.28515625" style="1" bestFit="1" customWidth="1"/>
    <col min="46" max="46" width="10.28515625" style="1" bestFit="1" customWidth="1"/>
    <col min="47" max="49" width="7.28515625" style="1" bestFit="1" customWidth="1"/>
    <col min="50" max="50" width="10.28515625" style="1" bestFit="1" customWidth="1"/>
    <col min="51" max="51" width="7.28515625" style="1" bestFit="1" customWidth="1"/>
    <col min="52" max="54" width="10.28515625" style="1" bestFit="1" customWidth="1"/>
    <col min="55" max="66" width="9.140625" style="1"/>
    <col min="67" max="68" width="10.140625" style="1" bestFit="1" customWidth="1"/>
    <col min="69" max="16384" width="9.140625" style="1"/>
  </cols>
  <sheetData>
    <row r="1" spans="1:54" ht="26.25" x14ac:dyDescent="0.4">
      <c r="A1" s="5" t="s">
        <v>0</v>
      </c>
      <c r="B1" s="5" t="s">
        <v>13</v>
      </c>
      <c r="C1" s="1" t="s">
        <v>41</v>
      </c>
    </row>
    <row r="2" spans="1:54" ht="26.25" x14ac:dyDescent="0.4">
      <c r="A2" s="5" t="s">
        <v>20</v>
      </c>
      <c r="B2" s="16"/>
      <c r="C2" s="1" t="s">
        <v>39</v>
      </c>
    </row>
    <row r="4" spans="1:54" x14ac:dyDescent="0.25">
      <c r="A4" s="1" t="s">
        <v>0</v>
      </c>
      <c r="B4" s="1" t="s">
        <v>21</v>
      </c>
      <c r="C4" s="1" t="s">
        <v>22</v>
      </c>
    </row>
    <row r="5" spans="1:54" x14ac:dyDescent="0.25">
      <c r="A5" s="1" t="s">
        <v>24</v>
      </c>
      <c r="B5" s="1">
        <v>0</v>
      </c>
      <c r="C5" s="1">
        <v>0</v>
      </c>
    </row>
    <row r="7" spans="1:54" s="18" customFormat="1" ht="184.5" x14ac:dyDescent="0.25">
      <c r="A7" s="20" t="s">
        <v>28</v>
      </c>
      <c r="B7" s="20" t="s">
        <v>29</v>
      </c>
      <c r="C7" s="20" t="s">
        <v>2</v>
      </c>
      <c r="D7" s="19" t="s">
        <v>30</v>
      </c>
      <c r="E7" s="19" t="s">
        <v>31</v>
      </c>
      <c r="F7" s="19" t="s">
        <v>42</v>
      </c>
      <c r="G7" s="19" t="s">
        <v>43</v>
      </c>
      <c r="H7" s="19" t="s">
        <v>44</v>
      </c>
      <c r="I7" s="19" t="s">
        <v>45</v>
      </c>
      <c r="J7" s="19" t="s">
        <v>46</v>
      </c>
      <c r="K7" s="19" t="s">
        <v>47</v>
      </c>
      <c r="L7" s="19" t="s">
        <v>48</v>
      </c>
      <c r="M7" s="19" t="s">
        <v>49</v>
      </c>
      <c r="N7" s="19" t="s">
        <v>50</v>
      </c>
      <c r="O7" s="19" t="s">
        <v>51</v>
      </c>
      <c r="P7" s="19" t="s">
        <v>52</v>
      </c>
      <c r="Q7" s="19" t="s">
        <v>53</v>
      </c>
      <c r="R7" s="19" t="s">
        <v>54</v>
      </c>
      <c r="S7" s="19" t="s">
        <v>55</v>
      </c>
      <c r="T7" s="19" t="s">
        <v>56</v>
      </c>
      <c r="U7" s="19" t="s">
        <v>57</v>
      </c>
      <c r="V7" s="19" t="s">
        <v>81</v>
      </c>
      <c r="W7" s="19" t="s">
        <v>82</v>
      </c>
      <c r="X7" s="19" t="s">
        <v>58</v>
      </c>
      <c r="Y7" s="19" t="s">
        <v>59</v>
      </c>
      <c r="Z7" s="19" t="s">
        <v>83</v>
      </c>
      <c r="AA7" s="19" t="s">
        <v>84</v>
      </c>
      <c r="AB7" s="19" t="s">
        <v>60</v>
      </c>
      <c r="AC7" s="19" t="s">
        <v>61</v>
      </c>
      <c r="AD7" s="19" t="s">
        <v>62</v>
      </c>
      <c r="AE7" s="19" t="s">
        <v>63</v>
      </c>
      <c r="AF7" s="19" t="s">
        <v>64</v>
      </c>
      <c r="AG7" s="19" t="s">
        <v>65</v>
      </c>
      <c r="AH7" s="19" t="s">
        <v>66</v>
      </c>
      <c r="AI7" s="19" t="s">
        <v>67</v>
      </c>
      <c r="AJ7" s="19" t="s">
        <v>68</v>
      </c>
      <c r="AK7" s="19" t="s">
        <v>85</v>
      </c>
      <c r="AL7" s="19" t="s">
        <v>86</v>
      </c>
      <c r="AM7" s="19" t="s">
        <v>69</v>
      </c>
      <c r="AN7" s="19" t="s">
        <v>70</v>
      </c>
      <c r="AO7" s="19" t="s">
        <v>71</v>
      </c>
      <c r="AP7" s="19" t="s">
        <v>72</v>
      </c>
      <c r="AQ7" s="19" t="s">
        <v>73</v>
      </c>
      <c r="AR7" s="19" t="s">
        <v>74</v>
      </c>
      <c r="AS7" s="19" t="s">
        <v>87</v>
      </c>
      <c r="AT7" s="19" t="s">
        <v>88</v>
      </c>
      <c r="AU7" s="19" t="s">
        <v>89</v>
      </c>
      <c r="AV7" s="19" t="s">
        <v>75</v>
      </c>
      <c r="AW7" s="19" t="s">
        <v>90</v>
      </c>
      <c r="AX7" s="19" t="s">
        <v>76</v>
      </c>
      <c r="AY7" s="19" t="s">
        <v>77</v>
      </c>
      <c r="AZ7" s="19" t="s">
        <v>78</v>
      </c>
      <c r="BA7" s="19" t="s">
        <v>79</v>
      </c>
      <c r="BB7" s="19" t="s">
        <v>80</v>
      </c>
    </row>
    <row r="8" spans="1:54" x14ac:dyDescent="0.25">
      <c r="A8" s="24" t="s">
        <v>37</v>
      </c>
      <c r="B8" s="24" t="s">
        <v>34</v>
      </c>
      <c r="C8" s="24" t="s">
        <v>3</v>
      </c>
      <c r="D8" s="34">
        <f ca="1">SUM(INDIRECT(ADDRESS(ROW(АвгустДанные[[#This Row],[Итого]]),COLUMN(АвгустДанные[[#This Row],[Итого]])+2)):INDIRECT(ADDRESS(ROW(АвгустДанные[[#This Row],[Итого]]),COUNTA(АвгустДанные[#Headers]))))</f>
        <v>0</v>
      </c>
      <c r="E8" s="35">
        <f ca="1">АвгустДанные[[#This Row],[Итого]]/COUNTIFS(АвгустДанные[Соц. Работник],АвгустДанные[[#This Row],[Соц. Работник]])</f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0</v>
      </c>
      <c r="V8" s="26">
        <v>0</v>
      </c>
      <c r="W8" s="26">
        <v>0</v>
      </c>
      <c r="X8" s="26">
        <v>0</v>
      </c>
      <c r="Y8" s="26">
        <v>0</v>
      </c>
      <c r="Z8" s="26">
        <v>0</v>
      </c>
      <c r="AA8" s="26">
        <v>0</v>
      </c>
      <c r="AB8" s="26">
        <v>0</v>
      </c>
      <c r="AC8" s="26">
        <v>0</v>
      </c>
      <c r="AD8" s="26">
        <v>0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6">
        <v>0</v>
      </c>
      <c r="AK8" s="26">
        <v>0</v>
      </c>
      <c r="AL8" s="26">
        <v>0</v>
      </c>
      <c r="AM8" s="26">
        <v>0</v>
      </c>
      <c r="AN8" s="26">
        <v>0</v>
      </c>
      <c r="AO8" s="26">
        <v>0</v>
      </c>
      <c r="AP8" s="26">
        <v>0</v>
      </c>
      <c r="AQ8" s="26">
        <v>0</v>
      </c>
      <c r="AR8" s="26">
        <v>0</v>
      </c>
      <c r="AS8" s="26">
        <v>0</v>
      </c>
      <c r="AT8" s="26">
        <v>0</v>
      </c>
      <c r="AU8" s="26">
        <v>0</v>
      </c>
      <c r="AV8" s="26">
        <v>0</v>
      </c>
      <c r="AW8" s="26">
        <v>0</v>
      </c>
      <c r="AX8" s="26">
        <v>0</v>
      </c>
      <c r="AY8" s="26">
        <v>0</v>
      </c>
      <c r="AZ8" s="26">
        <v>0</v>
      </c>
      <c r="BA8" s="26">
        <v>0</v>
      </c>
      <c r="BB8" s="26">
        <v>0</v>
      </c>
    </row>
  </sheetData>
  <conditionalFormatting sqref="B8">
    <cfRule type="duplicateValues" dxfId="379" priority="80"/>
  </conditionalFormatting>
  <dataValidations count="6">
    <dataValidation type="list" allowBlank="1" showInputMessage="1" showErrorMessage="1" sqref="C2">
      <formula1>СчетУслуги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F7:AK7">
      <formula1>Услуга</formula1>
    </dataValidation>
    <dataValidation type="list" allowBlank="1" showInputMessage="1" showErrorMessage="1" sqref="C8">
      <formula1>Учет</formula1>
    </dataValidation>
    <dataValidation type="list" allowBlank="1" showInputMessage="1" showErrorMessage="1" sqref="A8">
      <formula1>СоцРаботник</formula1>
    </dataValidation>
    <dataValidation type="list" allowBlank="1" showInputMessage="1" showErrorMessage="1" sqref="A5">
      <formula1>ТипУслуги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BB8"/>
  <sheetViews>
    <sheetView zoomScale="70" zoomScaleNormal="70" workbookViewId="0">
      <selection activeCell="B2" sqref="B2"/>
    </sheetView>
  </sheetViews>
  <sheetFormatPr defaultColWidth="9.140625" defaultRowHeight="15.75" x14ac:dyDescent="0.25"/>
  <cols>
    <col min="1" max="1" width="19.140625" style="1" bestFit="1" customWidth="1"/>
    <col min="2" max="2" width="21.5703125" style="1" bestFit="1" customWidth="1"/>
    <col min="3" max="3" width="17.140625" style="1" bestFit="1" customWidth="1"/>
    <col min="4" max="4" width="4.28515625" style="1" bestFit="1" customWidth="1"/>
    <col min="5" max="5" width="7.28515625" style="1" bestFit="1" customWidth="1"/>
    <col min="6" max="6" width="4.28515625" style="1" bestFit="1" customWidth="1"/>
    <col min="7" max="7" width="7.28515625" style="1" bestFit="1" customWidth="1"/>
    <col min="8" max="8" width="4.28515625" style="1" bestFit="1" customWidth="1"/>
    <col min="9" max="9" width="7.28515625" style="1" bestFit="1" customWidth="1"/>
    <col min="10" max="11" width="4.28515625" style="1" bestFit="1" customWidth="1"/>
    <col min="12" max="12" width="7.28515625" style="1" bestFit="1" customWidth="1"/>
    <col min="13" max="14" width="4.28515625" style="1" bestFit="1" customWidth="1"/>
    <col min="15" max="15" width="7.28515625" style="1" bestFit="1" customWidth="1"/>
    <col min="16" max="16" width="10.28515625" style="1" bestFit="1" customWidth="1"/>
    <col min="17" max="17" width="13.42578125" style="1" bestFit="1" customWidth="1"/>
    <col min="18" max="18" width="4.28515625" style="1" bestFit="1" customWidth="1"/>
    <col min="19" max="19" width="7.28515625" style="1" bestFit="1" customWidth="1"/>
    <col min="20" max="21" width="4.28515625" style="1" bestFit="1" customWidth="1"/>
    <col min="22" max="23" width="7.28515625" style="1" bestFit="1" customWidth="1"/>
    <col min="24" max="25" width="4.28515625" style="1" bestFit="1" customWidth="1"/>
    <col min="26" max="27" width="7.28515625" style="1" bestFit="1" customWidth="1"/>
    <col min="28" max="30" width="4.28515625" style="1" bestFit="1" customWidth="1"/>
    <col min="31" max="31" width="7.28515625" style="1" bestFit="1" customWidth="1"/>
    <col min="32" max="32" width="4.28515625" style="1" bestFit="1" customWidth="1"/>
    <col min="33" max="33" width="7.28515625" style="1" bestFit="1" customWidth="1"/>
    <col min="34" max="34" width="4.28515625" style="1" bestFit="1" customWidth="1"/>
    <col min="35" max="35" width="7.28515625" style="1" bestFit="1" customWidth="1"/>
    <col min="36" max="36" width="10.28515625" style="1" bestFit="1" customWidth="1"/>
    <col min="37" max="37" width="7.28515625" style="1" bestFit="1" customWidth="1"/>
    <col min="38" max="38" width="10.28515625" style="1" bestFit="1" customWidth="1"/>
    <col min="39" max="39" width="13.42578125" style="1" bestFit="1" customWidth="1"/>
    <col min="40" max="40" width="10.28515625" style="1" bestFit="1" customWidth="1"/>
    <col min="41" max="41" width="4.28515625" style="1" bestFit="1" customWidth="1"/>
    <col min="42" max="42" width="7.28515625" style="1" bestFit="1" customWidth="1"/>
    <col min="43" max="44" width="4.28515625" style="1" bestFit="1" customWidth="1"/>
    <col min="45" max="45" width="7.28515625" style="1" bestFit="1" customWidth="1"/>
    <col min="46" max="46" width="10.28515625" style="1" bestFit="1" customWidth="1"/>
    <col min="47" max="49" width="7.28515625" style="1" bestFit="1" customWidth="1"/>
    <col min="50" max="50" width="10.28515625" style="1" bestFit="1" customWidth="1"/>
    <col min="51" max="51" width="7.28515625" style="1" bestFit="1" customWidth="1"/>
    <col min="52" max="54" width="10.28515625" style="1" bestFit="1" customWidth="1"/>
    <col min="55" max="16384" width="9.140625" style="1"/>
  </cols>
  <sheetData>
    <row r="1" spans="1:54" ht="26.25" x14ac:dyDescent="0.4">
      <c r="A1" s="5" t="s">
        <v>0</v>
      </c>
      <c r="B1" s="5" t="s">
        <v>14</v>
      </c>
      <c r="C1" s="1" t="s">
        <v>41</v>
      </c>
    </row>
    <row r="2" spans="1:54" ht="26.25" x14ac:dyDescent="0.4">
      <c r="A2" s="5" t="s">
        <v>20</v>
      </c>
      <c r="B2" s="16"/>
      <c r="C2" s="1" t="s">
        <v>39</v>
      </c>
    </row>
    <row r="4" spans="1:54" x14ac:dyDescent="0.25">
      <c r="A4" s="1" t="s">
        <v>0</v>
      </c>
      <c r="B4" s="1" t="s">
        <v>21</v>
      </c>
      <c r="C4" s="1" t="s">
        <v>22</v>
      </c>
    </row>
    <row r="5" spans="1:54" x14ac:dyDescent="0.25">
      <c r="A5" s="1" t="s">
        <v>24</v>
      </c>
      <c r="B5" s="1">
        <v>0</v>
      </c>
      <c r="C5" s="1">
        <v>0</v>
      </c>
    </row>
    <row r="7" spans="1:54" s="18" customFormat="1" ht="184.5" x14ac:dyDescent="0.25">
      <c r="A7" s="20" t="s">
        <v>28</v>
      </c>
      <c r="B7" s="20" t="s">
        <v>29</v>
      </c>
      <c r="C7" s="20" t="s">
        <v>2</v>
      </c>
      <c r="D7" s="19" t="s">
        <v>30</v>
      </c>
      <c r="E7" s="19" t="s">
        <v>31</v>
      </c>
      <c r="F7" s="19" t="s">
        <v>42</v>
      </c>
      <c r="G7" s="19" t="s">
        <v>43</v>
      </c>
      <c r="H7" s="19" t="s">
        <v>44</v>
      </c>
      <c r="I7" s="19" t="s">
        <v>45</v>
      </c>
      <c r="J7" s="19" t="s">
        <v>46</v>
      </c>
      <c r="K7" s="19" t="s">
        <v>47</v>
      </c>
      <c r="L7" s="19" t="s">
        <v>48</v>
      </c>
      <c r="M7" s="19" t="s">
        <v>49</v>
      </c>
      <c r="N7" s="19" t="s">
        <v>50</v>
      </c>
      <c r="O7" s="19" t="s">
        <v>51</v>
      </c>
      <c r="P7" s="19" t="s">
        <v>52</v>
      </c>
      <c r="Q7" s="19" t="s">
        <v>53</v>
      </c>
      <c r="R7" s="19" t="s">
        <v>54</v>
      </c>
      <c r="S7" s="19" t="s">
        <v>55</v>
      </c>
      <c r="T7" s="19" t="s">
        <v>56</v>
      </c>
      <c r="U7" s="19" t="s">
        <v>57</v>
      </c>
      <c r="V7" s="19" t="s">
        <v>81</v>
      </c>
      <c r="W7" s="19" t="s">
        <v>82</v>
      </c>
      <c r="X7" s="19" t="s">
        <v>58</v>
      </c>
      <c r="Y7" s="19" t="s">
        <v>59</v>
      </c>
      <c r="Z7" s="19" t="s">
        <v>83</v>
      </c>
      <c r="AA7" s="19" t="s">
        <v>84</v>
      </c>
      <c r="AB7" s="19" t="s">
        <v>60</v>
      </c>
      <c r="AC7" s="19" t="s">
        <v>61</v>
      </c>
      <c r="AD7" s="19" t="s">
        <v>62</v>
      </c>
      <c r="AE7" s="19" t="s">
        <v>63</v>
      </c>
      <c r="AF7" s="19" t="s">
        <v>64</v>
      </c>
      <c r="AG7" s="19" t="s">
        <v>65</v>
      </c>
      <c r="AH7" s="19" t="s">
        <v>66</v>
      </c>
      <c r="AI7" s="19" t="s">
        <v>67</v>
      </c>
      <c r="AJ7" s="19" t="s">
        <v>68</v>
      </c>
      <c r="AK7" s="19" t="s">
        <v>85</v>
      </c>
      <c r="AL7" s="19" t="s">
        <v>86</v>
      </c>
      <c r="AM7" s="19" t="s">
        <v>69</v>
      </c>
      <c r="AN7" s="19" t="s">
        <v>70</v>
      </c>
      <c r="AO7" s="19" t="s">
        <v>71</v>
      </c>
      <c r="AP7" s="19" t="s">
        <v>72</v>
      </c>
      <c r="AQ7" s="19" t="s">
        <v>73</v>
      </c>
      <c r="AR7" s="19" t="s">
        <v>74</v>
      </c>
      <c r="AS7" s="19" t="s">
        <v>87</v>
      </c>
      <c r="AT7" s="19" t="s">
        <v>88</v>
      </c>
      <c r="AU7" s="19" t="s">
        <v>89</v>
      </c>
      <c r="AV7" s="19" t="s">
        <v>75</v>
      </c>
      <c r="AW7" s="19" t="s">
        <v>90</v>
      </c>
      <c r="AX7" s="19" t="s">
        <v>76</v>
      </c>
      <c r="AY7" s="19" t="s">
        <v>77</v>
      </c>
      <c r="AZ7" s="19" t="s">
        <v>78</v>
      </c>
      <c r="BA7" s="19" t="s">
        <v>79</v>
      </c>
      <c r="BB7" s="19" t="s">
        <v>80</v>
      </c>
    </row>
    <row r="8" spans="1:54" s="22" customFormat="1" x14ac:dyDescent="0.25">
      <c r="A8" s="24" t="s">
        <v>37</v>
      </c>
      <c r="B8" s="24" t="s">
        <v>34</v>
      </c>
      <c r="C8" s="24" t="s">
        <v>3</v>
      </c>
      <c r="D8" s="21">
        <f ca="1">SUM(INDIRECT(ADDRESS(ROW(СентябрьДанные[[#This Row],[Итого]]),COLUMN(СентябрьДанные[[#This Row],[Итого]])+2)):INDIRECT(ADDRESS(ROW(СентябрьДанные[[#This Row],[Итого]]),COUNTA(СентябрьДанные[#Headers]))))</f>
        <v>0</v>
      </c>
      <c r="E8" s="30">
        <f ca="1">СентябрьДанные[[#This Row],[Итого]]/COUNTIFS(СентябрьДанные[Соц. Работник],СентябрьДанные[[#This Row],[Соц. Работник]])</f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0</v>
      </c>
      <c r="V8" s="26">
        <v>0</v>
      </c>
      <c r="W8" s="26">
        <v>0</v>
      </c>
      <c r="X8" s="26">
        <v>0</v>
      </c>
      <c r="Y8" s="26">
        <v>0</v>
      </c>
      <c r="Z8" s="26">
        <v>0</v>
      </c>
      <c r="AA8" s="26">
        <v>0</v>
      </c>
      <c r="AB8" s="26">
        <v>0</v>
      </c>
      <c r="AC8" s="26">
        <v>0</v>
      </c>
      <c r="AD8" s="26">
        <v>0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6">
        <v>0</v>
      </c>
      <c r="AK8" s="26">
        <v>0</v>
      </c>
      <c r="AL8" s="26">
        <v>0</v>
      </c>
      <c r="AM8" s="26">
        <v>0</v>
      </c>
      <c r="AN8" s="26">
        <v>0</v>
      </c>
      <c r="AO8" s="26">
        <v>0</v>
      </c>
      <c r="AP8" s="26">
        <v>0</v>
      </c>
      <c r="AQ8" s="26">
        <v>0</v>
      </c>
      <c r="AR8" s="26">
        <v>0</v>
      </c>
      <c r="AS8" s="26">
        <v>0</v>
      </c>
      <c r="AT8" s="26">
        <v>0</v>
      </c>
      <c r="AU8" s="26">
        <v>0</v>
      </c>
      <c r="AV8" s="26">
        <v>0</v>
      </c>
      <c r="AW8" s="26">
        <v>0</v>
      </c>
      <c r="AX8" s="26">
        <v>0</v>
      </c>
      <c r="AY8" s="26">
        <v>0</v>
      </c>
      <c r="AZ8" s="26">
        <v>0</v>
      </c>
      <c r="BA8" s="26">
        <v>0</v>
      </c>
      <c r="BB8" s="26">
        <v>0</v>
      </c>
    </row>
  </sheetData>
  <conditionalFormatting sqref="B8">
    <cfRule type="duplicateValues" dxfId="259" priority="81"/>
  </conditionalFormatting>
  <dataValidations count="6">
    <dataValidation type="list" allowBlank="1" showInputMessage="1" showErrorMessage="1" sqref="F7:AK7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8">
      <formula1>СоцРаботник</formula1>
    </dataValidation>
    <dataValidation type="list" allowBlank="1" showInputMessage="1" showErrorMessage="1" sqref="C8">
      <formula1>Учет</formula1>
    </dataValidation>
    <dataValidation type="list" allowBlank="1" showInputMessage="1" showErrorMessage="1" sqref="A5">
      <formula1>ТипУслуги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BB8"/>
  <sheetViews>
    <sheetView zoomScale="70" zoomScaleNormal="70" workbookViewId="0">
      <selection activeCell="B2" sqref="B2"/>
    </sheetView>
  </sheetViews>
  <sheetFormatPr defaultColWidth="9.140625" defaultRowHeight="15.75" x14ac:dyDescent="0.25"/>
  <cols>
    <col min="1" max="1" width="19.140625" style="1" bestFit="1" customWidth="1"/>
    <col min="2" max="2" width="21.5703125" style="1" bestFit="1" customWidth="1"/>
    <col min="3" max="3" width="17.140625" style="1" bestFit="1" customWidth="1"/>
    <col min="4" max="4" width="4.28515625" style="1" bestFit="1" customWidth="1"/>
    <col min="5" max="5" width="7.28515625" style="1" bestFit="1" customWidth="1"/>
    <col min="6" max="6" width="4.28515625" style="1" bestFit="1" customWidth="1"/>
    <col min="7" max="7" width="7.28515625" style="1" bestFit="1" customWidth="1"/>
    <col min="8" max="8" width="4.28515625" style="1" bestFit="1" customWidth="1"/>
    <col min="9" max="9" width="7.28515625" style="1" bestFit="1" customWidth="1"/>
    <col min="10" max="11" width="4.28515625" style="1" bestFit="1" customWidth="1"/>
    <col min="12" max="12" width="7.28515625" style="1" bestFit="1" customWidth="1"/>
    <col min="13" max="14" width="4.28515625" style="1" bestFit="1" customWidth="1"/>
    <col min="15" max="15" width="7.28515625" style="1" bestFit="1" customWidth="1"/>
    <col min="16" max="16" width="10.28515625" style="1" bestFit="1" customWidth="1"/>
    <col min="17" max="17" width="13.42578125" style="1" bestFit="1" customWidth="1"/>
    <col min="18" max="18" width="4.28515625" style="1" bestFit="1" customWidth="1"/>
    <col min="19" max="19" width="7.28515625" style="1" bestFit="1" customWidth="1"/>
    <col min="20" max="21" width="4.28515625" style="1" bestFit="1" customWidth="1"/>
    <col min="22" max="23" width="7.28515625" style="1" bestFit="1" customWidth="1"/>
    <col min="24" max="25" width="4.28515625" style="1" bestFit="1" customWidth="1"/>
    <col min="26" max="27" width="7.28515625" style="1" bestFit="1" customWidth="1"/>
    <col min="28" max="30" width="4.28515625" style="1" bestFit="1" customWidth="1"/>
    <col min="31" max="31" width="7.28515625" style="1" bestFit="1" customWidth="1"/>
    <col min="32" max="32" width="4.28515625" style="1" bestFit="1" customWidth="1"/>
    <col min="33" max="33" width="7.28515625" style="1" bestFit="1" customWidth="1"/>
    <col min="34" max="34" width="4.28515625" style="1" bestFit="1" customWidth="1"/>
    <col min="35" max="35" width="7.28515625" style="1" bestFit="1" customWidth="1"/>
    <col min="36" max="36" width="10.28515625" style="1" bestFit="1" customWidth="1"/>
    <col min="37" max="37" width="7.28515625" style="1" bestFit="1" customWidth="1"/>
    <col min="38" max="38" width="10.28515625" style="1" bestFit="1" customWidth="1"/>
    <col min="39" max="39" width="13.42578125" style="1" bestFit="1" customWidth="1"/>
    <col min="40" max="40" width="10.28515625" style="1" bestFit="1" customWidth="1"/>
    <col min="41" max="41" width="4.28515625" style="1" bestFit="1" customWidth="1"/>
    <col min="42" max="42" width="7.28515625" style="1" bestFit="1" customWidth="1"/>
    <col min="43" max="44" width="4.28515625" style="1" bestFit="1" customWidth="1"/>
    <col min="45" max="45" width="7.28515625" style="1" bestFit="1" customWidth="1"/>
    <col min="46" max="46" width="10.28515625" style="1" bestFit="1" customWidth="1"/>
    <col min="47" max="49" width="7.28515625" style="1" bestFit="1" customWidth="1"/>
    <col min="50" max="50" width="10.28515625" style="1" bestFit="1" customWidth="1"/>
    <col min="51" max="51" width="7.28515625" style="1" bestFit="1" customWidth="1"/>
    <col min="52" max="54" width="10.28515625" style="1" bestFit="1" customWidth="1"/>
    <col min="55" max="16384" width="9.140625" style="1"/>
  </cols>
  <sheetData>
    <row r="1" spans="1:54" ht="26.25" x14ac:dyDescent="0.4">
      <c r="A1" s="5" t="s">
        <v>0</v>
      </c>
      <c r="B1" s="5" t="s">
        <v>15</v>
      </c>
      <c r="C1" s="1" t="s">
        <v>41</v>
      </c>
    </row>
    <row r="2" spans="1:54" ht="26.25" x14ac:dyDescent="0.4">
      <c r="A2" s="5" t="s">
        <v>20</v>
      </c>
      <c r="B2" s="16"/>
      <c r="C2" s="1" t="s">
        <v>39</v>
      </c>
    </row>
    <row r="4" spans="1:54" x14ac:dyDescent="0.25">
      <c r="A4" s="1" t="s">
        <v>0</v>
      </c>
      <c r="B4" s="1" t="s">
        <v>21</v>
      </c>
      <c r="C4" s="1" t="s">
        <v>22</v>
      </c>
    </row>
    <row r="5" spans="1:54" x14ac:dyDescent="0.25">
      <c r="A5" s="1" t="s">
        <v>24</v>
      </c>
      <c r="B5" s="1">
        <v>0</v>
      </c>
      <c r="C5" s="1">
        <v>0</v>
      </c>
    </row>
    <row r="7" spans="1:54" s="18" customFormat="1" ht="184.5" x14ac:dyDescent="0.25">
      <c r="A7" s="20" t="s">
        <v>28</v>
      </c>
      <c r="B7" s="20" t="s">
        <v>29</v>
      </c>
      <c r="C7" s="20" t="s">
        <v>2</v>
      </c>
      <c r="D7" s="19" t="s">
        <v>30</v>
      </c>
      <c r="E7" s="19" t="s">
        <v>31</v>
      </c>
      <c r="F7" s="19" t="s">
        <v>42</v>
      </c>
      <c r="G7" s="19" t="s">
        <v>43</v>
      </c>
      <c r="H7" s="19" t="s">
        <v>44</v>
      </c>
      <c r="I7" s="19" t="s">
        <v>45</v>
      </c>
      <c r="J7" s="19" t="s">
        <v>46</v>
      </c>
      <c r="K7" s="19" t="s">
        <v>47</v>
      </c>
      <c r="L7" s="19" t="s">
        <v>48</v>
      </c>
      <c r="M7" s="19" t="s">
        <v>49</v>
      </c>
      <c r="N7" s="19" t="s">
        <v>50</v>
      </c>
      <c r="O7" s="19" t="s">
        <v>51</v>
      </c>
      <c r="P7" s="19" t="s">
        <v>52</v>
      </c>
      <c r="Q7" s="19" t="s">
        <v>53</v>
      </c>
      <c r="R7" s="19" t="s">
        <v>54</v>
      </c>
      <c r="S7" s="19" t="s">
        <v>55</v>
      </c>
      <c r="T7" s="19" t="s">
        <v>56</v>
      </c>
      <c r="U7" s="19" t="s">
        <v>57</v>
      </c>
      <c r="V7" s="19" t="s">
        <v>81</v>
      </c>
      <c r="W7" s="19" t="s">
        <v>82</v>
      </c>
      <c r="X7" s="19" t="s">
        <v>58</v>
      </c>
      <c r="Y7" s="19" t="s">
        <v>59</v>
      </c>
      <c r="Z7" s="19" t="s">
        <v>83</v>
      </c>
      <c r="AA7" s="19" t="s">
        <v>84</v>
      </c>
      <c r="AB7" s="19" t="s">
        <v>60</v>
      </c>
      <c r="AC7" s="19" t="s">
        <v>61</v>
      </c>
      <c r="AD7" s="19" t="s">
        <v>62</v>
      </c>
      <c r="AE7" s="19" t="s">
        <v>63</v>
      </c>
      <c r="AF7" s="19" t="s">
        <v>64</v>
      </c>
      <c r="AG7" s="19" t="s">
        <v>65</v>
      </c>
      <c r="AH7" s="19" t="s">
        <v>66</v>
      </c>
      <c r="AI7" s="19" t="s">
        <v>67</v>
      </c>
      <c r="AJ7" s="19" t="s">
        <v>68</v>
      </c>
      <c r="AK7" s="19" t="s">
        <v>85</v>
      </c>
      <c r="AL7" s="19" t="s">
        <v>86</v>
      </c>
      <c r="AM7" s="19" t="s">
        <v>69</v>
      </c>
      <c r="AN7" s="19" t="s">
        <v>70</v>
      </c>
      <c r="AO7" s="19" t="s">
        <v>71</v>
      </c>
      <c r="AP7" s="19" t="s">
        <v>72</v>
      </c>
      <c r="AQ7" s="19" t="s">
        <v>73</v>
      </c>
      <c r="AR7" s="19" t="s">
        <v>74</v>
      </c>
      <c r="AS7" s="19" t="s">
        <v>87</v>
      </c>
      <c r="AT7" s="19" t="s">
        <v>88</v>
      </c>
      <c r="AU7" s="19" t="s">
        <v>89</v>
      </c>
      <c r="AV7" s="19" t="s">
        <v>75</v>
      </c>
      <c r="AW7" s="19" t="s">
        <v>90</v>
      </c>
      <c r="AX7" s="19" t="s">
        <v>76</v>
      </c>
      <c r="AY7" s="19" t="s">
        <v>77</v>
      </c>
      <c r="AZ7" s="19" t="s">
        <v>78</v>
      </c>
      <c r="BA7" s="19" t="s">
        <v>79</v>
      </c>
      <c r="BB7" s="19" t="s">
        <v>80</v>
      </c>
    </row>
    <row r="8" spans="1:54" s="22" customFormat="1" x14ac:dyDescent="0.25">
      <c r="A8" s="24" t="s">
        <v>37</v>
      </c>
      <c r="B8" s="24" t="s">
        <v>34</v>
      </c>
      <c r="C8" s="24" t="s">
        <v>3</v>
      </c>
      <c r="D8" s="21">
        <f ca="1">SUM(INDIRECT(ADDRESS(ROW(ОктябрьДанные[[#This Row],[Итого]]),COLUMN(ОктябрьДанные[[#This Row],[Итого]])+2)):INDIRECT(ADDRESS(ROW(ОктябрьДанные[[#This Row],[Итого]]),COUNTA(ОктябрьДанные[#Headers]))))</f>
        <v>0</v>
      </c>
      <c r="E8" s="30">
        <f ca="1">ОктябрьДанные[[#This Row],[Итого]]/COUNTIFS(ОктябрьДанные[Соц. Работник],ОктябрьДанные[[#This Row],[Соц. Работник]])</f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0</v>
      </c>
      <c r="V8" s="26">
        <v>0</v>
      </c>
      <c r="W8" s="26">
        <v>0</v>
      </c>
      <c r="X8" s="26">
        <v>0</v>
      </c>
      <c r="Y8" s="26">
        <v>0</v>
      </c>
      <c r="Z8" s="26">
        <v>0</v>
      </c>
      <c r="AA8" s="26">
        <v>0</v>
      </c>
      <c r="AB8" s="26">
        <v>0</v>
      </c>
      <c r="AC8" s="26">
        <v>0</v>
      </c>
      <c r="AD8" s="26">
        <v>0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6">
        <v>0</v>
      </c>
      <c r="AK8" s="26">
        <v>0</v>
      </c>
      <c r="AL8" s="26">
        <v>0</v>
      </c>
      <c r="AM8" s="26">
        <v>0</v>
      </c>
      <c r="AN8" s="26">
        <v>0</v>
      </c>
      <c r="AO8" s="26">
        <v>0</v>
      </c>
      <c r="AP8" s="26">
        <v>0</v>
      </c>
      <c r="AQ8" s="26">
        <v>0</v>
      </c>
      <c r="AR8" s="26">
        <v>0</v>
      </c>
      <c r="AS8" s="26">
        <v>0</v>
      </c>
      <c r="AT8" s="26">
        <v>0</v>
      </c>
      <c r="AU8" s="26">
        <v>0</v>
      </c>
      <c r="AV8" s="26">
        <v>0</v>
      </c>
      <c r="AW8" s="26">
        <v>0</v>
      </c>
      <c r="AX8" s="26">
        <v>0</v>
      </c>
      <c r="AY8" s="26">
        <v>0</v>
      </c>
      <c r="AZ8" s="26">
        <v>0</v>
      </c>
      <c r="BA8" s="26">
        <v>0</v>
      </c>
      <c r="BB8" s="26">
        <v>0</v>
      </c>
    </row>
  </sheetData>
  <conditionalFormatting sqref="B8">
    <cfRule type="duplicateValues" dxfId="194" priority="82"/>
  </conditionalFormatting>
  <dataValidations count="6">
    <dataValidation type="list" allowBlank="1" showInputMessage="1" showErrorMessage="1" sqref="F7:AK7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8">
      <formula1>СоцРаботник</formula1>
    </dataValidation>
    <dataValidation type="list" allowBlank="1" showInputMessage="1" showErrorMessage="1" sqref="C8">
      <formula1>Учет</formula1>
    </dataValidation>
    <dataValidation type="list" allowBlank="1" showInputMessage="1" showErrorMessage="1" sqref="A5">
      <formula1>ТипУслуги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BB8"/>
  <sheetViews>
    <sheetView zoomScale="70" zoomScaleNormal="70" workbookViewId="0">
      <selection activeCell="B2" sqref="B2"/>
    </sheetView>
  </sheetViews>
  <sheetFormatPr defaultColWidth="9.140625" defaultRowHeight="15.75" x14ac:dyDescent="0.25"/>
  <cols>
    <col min="1" max="1" width="19.140625" style="1" bestFit="1" customWidth="1"/>
    <col min="2" max="2" width="21.5703125" style="1" bestFit="1" customWidth="1"/>
    <col min="3" max="3" width="17.140625" style="1" bestFit="1" customWidth="1"/>
    <col min="4" max="4" width="4.28515625" style="1" bestFit="1" customWidth="1"/>
    <col min="5" max="5" width="7.28515625" style="1" bestFit="1" customWidth="1"/>
    <col min="6" max="6" width="4.28515625" style="1" bestFit="1" customWidth="1"/>
    <col min="7" max="7" width="7.28515625" style="1" bestFit="1" customWidth="1"/>
    <col min="8" max="8" width="4.28515625" style="1" bestFit="1" customWidth="1"/>
    <col min="9" max="9" width="7.28515625" style="1" bestFit="1" customWidth="1"/>
    <col min="10" max="11" width="4.28515625" style="1" bestFit="1" customWidth="1"/>
    <col min="12" max="12" width="7.28515625" style="1" bestFit="1" customWidth="1"/>
    <col min="13" max="14" width="4.28515625" style="1" bestFit="1" customWidth="1"/>
    <col min="15" max="15" width="7.28515625" style="1" bestFit="1" customWidth="1"/>
    <col min="16" max="16" width="10.28515625" style="1" bestFit="1" customWidth="1"/>
    <col min="17" max="17" width="13.42578125" style="1" bestFit="1" customWidth="1"/>
    <col min="18" max="18" width="4.28515625" style="1" bestFit="1" customWidth="1"/>
    <col min="19" max="19" width="7.28515625" style="1" bestFit="1" customWidth="1"/>
    <col min="20" max="21" width="4.28515625" style="1" bestFit="1" customWidth="1"/>
    <col min="22" max="23" width="7.28515625" style="1" bestFit="1" customWidth="1"/>
    <col min="24" max="25" width="4.28515625" style="1" bestFit="1" customWidth="1"/>
    <col min="26" max="27" width="7.28515625" style="1" bestFit="1" customWidth="1"/>
    <col min="28" max="30" width="4.28515625" style="1" bestFit="1" customWidth="1"/>
    <col min="31" max="31" width="7.28515625" style="1" bestFit="1" customWidth="1"/>
    <col min="32" max="32" width="4.28515625" style="1" bestFit="1" customWidth="1"/>
    <col min="33" max="33" width="7.28515625" style="1" bestFit="1" customWidth="1"/>
    <col min="34" max="34" width="4.28515625" style="1" bestFit="1" customWidth="1"/>
    <col min="35" max="35" width="7.28515625" style="1" bestFit="1" customWidth="1"/>
    <col min="36" max="36" width="10.28515625" style="1" bestFit="1" customWidth="1"/>
    <col min="37" max="37" width="7.28515625" style="1" bestFit="1" customWidth="1"/>
    <col min="38" max="38" width="10.28515625" style="1" bestFit="1" customWidth="1"/>
    <col min="39" max="39" width="13.42578125" style="1" bestFit="1" customWidth="1"/>
    <col min="40" max="40" width="10.28515625" style="1" bestFit="1" customWidth="1"/>
    <col min="41" max="41" width="4.28515625" style="1" bestFit="1" customWidth="1"/>
    <col min="42" max="42" width="7.28515625" style="1" bestFit="1" customWidth="1"/>
    <col min="43" max="44" width="4.28515625" style="1" bestFit="1" customWidth="1"/>
    <col min="45" max="45" width="7.28515625" style="1" bestFit="1" customWidth="1"/>
    <col min="46" max="46" width="10.28515625" style="1" bestFit="1" customWidth="1"/>
    <col min="47" max="49" width="7.28515625" style="1" bestFit="1" customWidth="1"/>
    <col min="50" max="50" width="10.28515625" style="1" bestFit="1" customWidth="1"/>
    <col min="51" max="51" width="7.28515625" style="1" bestFit="1" customWidth="1"/>
    <col min="52" max="54" width="10.28515625" style="1" bestFit="1" customWidth="1"/>
    <col min="55" max="16384" width="9.140625" style="1"/>
  </cols>
  <sheetData>
    <row r="1" spans="1:54" ht="26.25" x14ac:dyDescent="0.4">
      <c r="A1" s="5" t="s">
        <v>0</v>
      </c>
      <c r="B1" s="5" t="s">
        <v>16</v>
      </c>
      <c r="C1" s="1" t="s">
        <v>41</v>
      </c>
    </row>
    <row r="2" spans="1:54" ht="26.25" x14ac:dyDescent="0.4">
      <c r="A2" s="5" t="s">
        <v>20</v>
      </c>
      <c r="B2" s="16"/>
      <c r="C2" s="1" t="s">
        <v>39</v>
      </c>
    </row>
    <row r="4" spans="1:54" x14ac:dyDescent="0.25">
      <c r="A4" s="1" t="s">
        <v>0</v>
      </c>
      <c r="B4" s="1" t="s">
        <v>21</v>
      </c>
      <c r="C4" s="1" t="s">
        <v>22</v>
      </c>
    </row>
    <row r="5" spans="1:54" x14ac:dyDescent="0.25">
      <c r="A5" s="1" t="s">
        <v>24</v>
      </c>
      <c r="B5" s="1">
        <v>0</v>
      </c>
      <c r="C5" s="1">
        <v>0</v>
      </c>
    </row>
    <row r="7" spans="1:54" s="18" customFormat="1" ht="184.5" x14ac:dyDescent="0.25">
      <c r="A7" s="20" t="s">
        <v>28</v>
      </c>
      <c r="B7" s="20" t="s">
        <v>29</v>
      </c>
      <c r="C7" s="20" t="s">
        <v>2</v>
      </c>
      <c r="D7" s="19" t="s">
        <v>30</v>
      </c>
      <c r="E7" s="19" t="s">
        <v>31</v>
      </c>
      <c r="F7" s="19" t="s">
        <v>42</v>
      </c>
      <c r="G7" s="19" t="s">
        <v>43</v>
      </c>
      <c r="H7" s="19" t="s">
        <v>44</v>
      </c>
      <c r="I7" s="19" t="s">
        <v>45</v>
      </c>
      <c r="J7" s="19" t="s">
        <v>46</v>
      </c>
      <c r="K7" s="19" t="s">
        <v>47</v>
      </c>
      <c r="L7" s="19" t="s">
        <v>48</v>
      </c>
      <c r="M7" s="19" t="s">
        <v>49</v>
      </c>
      <c r="N7" s="19" t="s">
        <v>50</v>
      </c>
      <c r="O7" s="19" t="s">
        <v>51</v>
      </c>
      <c r="P7" s="19" t="s">
        <v>52</v>
      </c>
      <c r="Q7" s="19" t="s">
        <v>53</v>
      </c>
      <c r="R7" s="19" t="s">
        <v>54</v>
      </c>
      <c r="S7" s="19" t="s">
        <v>55</v>
      </c>
      <c r="T7" s="19" t="s">
        <v>56</v>
      </c>
      <c r="U7" s="19" t="s">
        <v>57</v>
      </c>
      <c r="V7" s="19" t="s">
        <v>81</v>
      </c>
      <c r="W7" s="19" t="s">
        <v>82</v>
      </c>
      <c r="X7" s="19" t="s">
        <v>58</v>
      </c>
      <c r="Y7" s="19" t="s">
        <v>59</v>
      </c>
      <c r="Z7" s="19" t="s">
        <v>83</v>
      </c>
      <c r="AA7" s="19" t="s">
        <v>84</v>
      </c>
      <c r="AB7" s="19" t="s">
        <v>60</v>
      </c>
      <c r="AC7" s="19" t="s">
        <v>61</v>
      </c>
      <c r="AD7" s="19" t="s">
        <v>62</v>
      </c>
      <c r="AE7" s="19" t="s">
        <v>63</v>
      </c>
      <c r="AF7" s="19" t="s">
        <v>64</v>
      </c>
      <c r="AG7" s="19" t="s">
        <v>65</v>
      </c>
      <c r="AH7" s="19" t="s">
        <v>66</v>
      </c>
      <c r="AI7" s="19" t="s">
        <v>67</v>
      </c>
      <c r="AJ7" s="19" t="s">
        <v>68</v>
      </c>
      <c r="AK7" s="19" t="s">
        <v>85</v>
      </c>
      <c r="AL7" s="19" t="s">
        <v>86</v>
      </c>
      <c r="AM7" s="19" t="s">
        <v>69</v>
      </c>
      <c r="AN7" s="19" t="s">
        <v>70</v>
      </c>
      <c r="AO7" s="19" t="s">
        <v>71</v>
      </c>
      <c r="AP7" s="19" t="s">
        <v>72</v>
      </c>
      <c r="AQ7" s="19" t="s">
        <v>73</v>
      </c>
      <c r="AR7" s="19" t="s">
        <v>74</v>
      </c>
      <c r="AS7" s="19" t="s">
        <v>87</v>
      </c>
      <c r="AT7" s="19" t="s">
        <v>88</v>
      </c>
      <c r="AU7" s="19" t="s">
        <v>89</v>
      </c>
      <c r="AV7" s="19" t="s">
        <v>75</v>
      </c>
      <c r="AW7" s="19" t="s">
        <v>90</v>
      </c>
      <c r="AX7" s="19" t="s">
        <v>76</v>
      </c>
      <c r="AY7" s="19" t="s">
        <v>77</v>
      </c>
      <c r="AZ7" s="19" t="s">
        <v>78</v>
      </c>
      <c r="BA7" s="19" t="s">
        <v>79</v>
      </c>
      <c r="BB7" s="19" t="s">
        <v>80</v>
      </c>
    </row>
    <row r="8" spans="1:54" s="22" customFormat="1" x14ac:dyDescent="0.25">
      <c r="A8" s="24" t="s">
        <v>37</v>
      </c>
      <c r="B8" s="24" t="s">
        <v>34</v>
      </c>
      <c r="C8" s="24" t="s">
        <v>3</v>
      </c>
      <c r="D8" s="21">
        <f ca="1">SUM(INDIRECT(ADDRESS(ROW(НоябрьДанные[[#This Row],[Итого]]),COLUMN(НоябрьДанные[[#This Row],[Итого]])+2)):INDIRECT(ADDRESS(ROW(НоябрьДанные[[#This Row],[Итого]]),COUNTA(НоябрьДанные[#Headers]))))</f>
        <v>0</v>
      </c>
      <c r="E8" s="30">
        <f ca="1">НоябрьДанные[[#This Row],[Итого]]/COUNTIFS(НоябрьДанные[Соц. Работник],НоябрьДанные[[#This Row],[Соц. Работник]])</f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0</v>
      </c>
      <c r="V8" s="26">
        <v>0</v>
      </c>
      <c r="W8" s="26">
        <v>0</v>
      </c>
      <c r="X8" s="26">
        <v>0</v>
      </c>
      <c r="Y8" s="26">
        <v>0</v>
      </c>
      <c r="Z8" s="26">
        <v>0</v>
      </c>
      <c r="AA8" s="26">
        <v>0</v>
      </c>
      <c r="AB8" s="26">
        <v>0</v>
      </c>
      <c r="AC8" s="26">
        <v>0</v>
      </c>
      <c r="AD8" s="26">
        <v>0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6">
        <v>0</v>
      </c>
      <c r="AK8" s="26">
        <v>0</v>
      </c>
      <c r="AL8" s="26">
        <v>0</v>
      </c>
      <c r="AM8" s="26">
        <v>0</v>
      </c>
      <c r="AN8" s="26">
        <v>0</v>
      </c>
      <c r="AO8" s="26">
        <v>0</v>
      </c>
      <c r="AP8" s="26">
        <v>0</v>
      </c>
      <c r="AQ8" s="26">
        <v>0</v>
      </c>
      <c r="AR8" s="26">
        <v>0</v>
      </c>
      <c r="AS8" s="26">
        <v>0</v>
      </c>
      <c r="AT8" s="26">
        <v>0</v>
      </c>
      <c r="AU8" s="26">
        <v>0</v>
      </c>
      <c r="AV8" s="26">
        <v>0</v>
      </c>
      <c r="AW8" s="26">
        <v>0</v>
      </c>
      <c r="AX8" s="26">
        <v>0</v>
      </c>
      <c r="AY8" s="26">
        <v>0</v>
      </c>
      <c r="AZ8" s="26">
        <v>0</v>
      </c>
      <c r="BA8" s="26">
        <v>0</v>
      </c>
      <c r="BB8" s="26">
        <v>0</v>
      </c>
    </row>
  </sheetData>
  <conditionalFormatting sqref="B8">
    <cfRule type="duplicateValues" dxfId="129" priority="83"/>
  </conditionalFormatting>
  <dataValidations count="6">
    <dataValidation type="list" allowBlank="1" showInputMessage="1" showErrorMessage="1" sqref="F7:AK7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8">
      <formula1>СоцРаботник</formula1>
    </dataValidation>
    <dataValidation type="list" allowBlank="1" showInputMessage="1" showErrorMessage="1" sqref="C8">
      <formula1>Учет</formula1>
    </dataValidation>
    <dataValidation type="list" allowBlank="1" showInputMessage="1" showErrorMessage="1" sqref="A5">
      <formula1>ТипУслуги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BB8"/>
  <sheetViews>
    <sheetView zoomScale="70" zoomScaleNormal="70" workbookViewId="0">
      <selection activeCell="B2" sqref="B2"/>
    </sheetView>
  </sheetViews>
  <sheetFormatPr defaultColWidth="9.140625" defaultRowHeight="15.75" x14ac:dyDescent="0.25"/>
  <cols>
    <col min="1" max="1" width="19.140625" style="1" bestFit="1" customWidth="1"/>
    <col min="2" max="2" width="21.5703125" style="1" bestFit="1" customWidth="1"/>
    <col min="3" max="3" width="17.140625" style="1" bestFit="1" customWidth="1"/>
    <col min="4" max="4" width="4.28515625" style="1" bestFit="1" customWidth="1"/>
    <col min="5" max="5" width="7.28515625" style="1" bestFit="1" customWidth="1"/>
    <col min="6" max="6" width="4.28515625" style="1" bestFit="1" customWidth="1"/>
    <col min="7" max="7" width="7.28515625" style="1" bestFit="1" customWidth="1"/>
    <col min="8" max="8" width="4.28515625" style="1" bestFit="1" customWidth="1"/>
    <col min="9" max="9" width="7.28515625" style="1" bestFit="1" customWidth="1"/>
    <col min="10" max="11" width="4.28515625" style="1" bestFit="1" customWidth="1"/>
    <col min="12" max="12" width="7.28515625" style="1" bestFit="1" customWidth="1"/>
    <col min="13" max="14" width="4.28515625" style="1" bestFit="1" customWidth="1"/>
    <col min="15" max="15" width="7.28515625" style="1" bestFit="1" customWidth="1"/>
    <col min="16" max="16" width="10.28515625" style="1" bestFit="1" customWidth="1"/>
    <col min="17" max="17" width="13.42578125" style="1" bestFit="1" customWidth="1"/>
    <col min="18" max="18" width="4.28515625" style="1" bestFit="1" customWidth="1"/>
    <col min="19" max="19" width="7.28515625" style="1" bestFit="1" customWidth="1"/>
    <col min="20" max="21" width="4.28515625" style="1" bestFit="1" customWidth="1"/>
    <col min="22" max="23" width="7.28515625" style="1" bestFit="1" customWidth="1"/>
    <col min="24" max="25" width="4.28515625" style="1" bestFit="1" customWidth="1"/>
    <col min="26" max="27" width="7.28515625" style="1" bestFit="1" customWidth="1"/>
    <col min="28" max="30" width="4.28515625" style="1" bestFit="1" customWidth="1"/>
    <col min="31" max="31" width="7.28515625" style="1" bestFit="1" customWidth="1"/>
    <col min="32" max="32" width="4.28515625" style="1" bestFit="1" customWidth="1"/>
    <col min="33" max="33" width="7.28515625" style="1" bestFit="1" customWidth="1"/>
    <col min="34" max="34" width="4.28515625" style="1" bestFit="1" customWidth="1"/>
    <col min="35" max="35" width="7.28515625" style="1" bestFit="1" customWidth="1"/>
    <col min="36" max="36" width="10.28515625" style="1" bestFit="1" customWidth="1"/>
    <col min="37" max="37" width="7.28515625" style="1" bestFit="1" customWidth="1"/>
    <col min="38" max="38" width="10.28515625" style="1" bestFit="1" customWidth="1"/>
    <col min="39" max="39" width="13.42578125" style="1" bestFit="1" customWidth="1"/>
    <col min="40" max="40" width="10.28515625" style="1" bestFit="1" customWidth="1"/>
    <col min="41" max="41" width="4.28515625" style="1" bestFit="1" customWidth="1"/>
    <col min="42" max="42" width="7.28515625" style="1" bestFit="1" customWidth="1"/>
    <col min="43" max="44" width="4.28515625" style="1" bestFit="1" customWidth="1"/>
    <col min="45" max="45" width="7.28515625" style="1" bestFit="1" customWidth="1"/>
    <col min="46" max="46" width="10.28515625" style="1" bestFit="1" customWidth="1"/>
    <col min="47" max="49" width="7.28515625" style="1" bestFit="1" customWidth="1"/>
    <col min="50" max="50" width="10.28515625" style="1" bestFit="1" customWidth="1"/>
    <col min="51" max="51" width="7.28515625" style="1" bestFit="1" customWidth="1"/>
    <col min="52" max="54" width="10.28515625" style="1" bestFit="1" customWidth="1"/>
    <col min="55" max="16384" width="9.140625" style="1"/>
  </cols>
  <sheetData>
    <row r="1" spans="1:54" ht="26.25" x14ac:dyDescent="0.4">
      <c r="A1" s="5" t="s">
        <v>0</v>
      </c>
      <c r="B1" s="5" t="s">
        <v>17</v>
      </c>
      <c r="C1" s="1" t="s">
        <v>41</v>
      </c>
    </row>
    <row r="2" spans="1:54" ht="26.25" x14ac:dyDescent="0.4">
      <c r="A2" s="5" t="s">
        <v>20</v>
      </c>
      <c r="B2" s="16"/>
      <c r="C2" s="1" t="s">
        <v>39</v>
      </c>
    </row>
    <row r="4" spans="1:54" x14ac:dyDescent="0.25">
      <c r="A4" s="1" t="s">
        <v>0</v>
      </c>
      <c r="B4" s="1" t="s">
        <v>21</v>
      </c>
      <c r="C4" s="1" t="s">
        <v>22</v>
      </c>
    </row>
    <row r="5" spans="1:54" x14ac:dyDescent="0.25">
      <c r="A5" s="1" t="s">
        <v>24</v>
      </c>
      <c r="B5" s="1">
        <v>0</v>
      </c>
      <c r="C5" s="1">
        <v>0</v>
      </c>
    </row>
    <row r="7" spans="1:54" s="18" customFormat="1" ht="184.5" x14ac:dyDescent="0.25">
      <c r="A7" s="20" t="s">
        <v>28</v>
      </c>
      <c r="B7" s="20" t="s">
        <v>29</v>
      </c>
      <c r="C7" s="20" t="s">
        <v>2</v>
      </c>
      <c r="D7" s="19" t="s">
        <v>30</v>
      </c>
      <c r="E7" s="19" t="s">
        <v>31</v>
      </c>
      <c r="F7" s="19" t="s">
        <v>42</v>
      </c>
      <c r="G7" s="19" t="s">
        <v>43</v>
      </c>
      <c r="H7" s="19" t="s">
        <v>44</v>
      </c>
      <c r="I7" s="19" t="s">
        <v>45</v>
      </c>
      <c r="J7" s="19" t="s">
        <v>46</v>
      </c>
      <c r="K7" s="19" t="s">
        <v>47</v>
      </c>
      <c r="L7" s="19" t="s">
        <v>48</v>
      </c>
      <c r="M7" s="19" t="s">
        <v>49</v>
      </c>
      <c r="N7" s="19" t="s">
        <v>50</v>
      </c>
      <c r="O7" s="19" t="s">
        <v>51</v>
      </c>
      <c r="P7" s="19" t="s">
        <v>52</v>
      </c>
      <c r="Q7" s="19" t="s">
        <v>53</v>
      </c>
      <c r="R7" s="19" t="s">
        <v>54</v>
      </c>
      <c r="S7" s="19" t="s">
        <v>55</v>
      </c>
      <c r="T7" s="19" t="s">
        <v>56</v>
      </c>
      <c r="U7" s="19" t="s">
        <v>57</v>
      </c>
      <c r="V7" s="19" t="s">
        <v>81</v>
      </c>
      <c r="W7" s="19" t="s">
        <v>82</v>
      </c>
      <c r="X7" s="19" t="s">
        <v>58</v>
      </c>
      <c r="Y7" s="19" t="s">
        <v>59</v>
      </c>
      <c r="Z7" s="19" t="s">
        <v>83</v>
      </c>
      <c r="AA7" s="19" t="s">
        <v>84</v>
      </c>
      <c r="AB7" s="19" t="s">
        <v>60</v>
      </c>
      <c r="AC7" s="19" t="s">
        <v>61</v>
      </c>
      <c r="AD7" s="19" t="s">
        <v>62</v>
      </c>
      <c r="AE7" s="19" t="s">
        <v>63</v>
      </c>
      <c r="AF7" s="19" t="s">
        <v>64</v>
      </c>
      <c r="AG7" s="19" t="s">
        <v>65</v>
      </c>
      <c r="AH7" s="19" t="s">
        <v>66</v>
      </c>
      <c r="AI7" s="19" t="s">
        <v>67</v>
      </c>
      <c r="AJ7" s="19" t="s">
        <v>68</v>
      </c>
      <c r="AK7" s="19" t="s">
        <v>85</v>
      </c>
      <c r="AL7" s="19" t="s">
        <v>86</v>
      </c>
      <c r="AM7" s="19" t="s">
        <v>69</v>
      </c>
      <c r="AN7" s="19" t="s">
        <v>70</v>
      </c>
      <c r="AO7" s="19" t="s">
        <v>71</v>
      </c>
      <c r="AP7" s="19" t="s">
        <v>72</v>
      </c>
      <c r="AQ7" s="19" t="s">
        <v>73</v>
      </c>
      <c r="AR7" s="19" t="s">
        <v>74</v>
      </c>
      <c r="AS7" s="19" t="s">
        <v>87</v>
      </c>
      <c r="AT7" s="19" t="s">
        <v>88</v>
      </c>
      <c r="AU7" s="19" t="s">
        <v>89</v>
      </c>
      <c r="AV7" s="19" t="s">
        <v>75</v>
      </c>
      <c r="AW7" s="19" t="s">
        <v>90</v>
      </c>
      <c r="AX7" s="19" t="s">
        <v>76</v>
      </c>
      <c r="AY7" s="19" t="s">
        <v>77</v>
      </c>
      <c r="AZ7" s="19" t="s">
        <v>78</v>
      </c>
      <c r="BA7" s="19" t="s">
        <v>79</v>
      </c>
      <c r="BB7" s="19" t="s">
        <v>80</v>
      </c>
    </row>
    <row r="8" spans="1:54" s="22" customFormat="1" x14ac:dyDescent="0.25">
      <c r="A8" s="24" t="s">
        <v>37</v>
      </c>
      <c r="B8" s="24" t="s">
        <v>34</v>
      </c>
      <c r="C8" s="24" t="s">
        <v>3</v>
      </c>
      <c r="D8" s="21">
        <f ca="1">SUM(INDIRECT(ADDRESS(ROW(ДекабрьДанные[[#This Row],[Итого]]),COLUMN(ДекабрьДанные[[#This Row],[Итого]])+2)):INDIRECT(ADDRESS(ROW(ДекабрьДанные[[#This Row],[Итого]]),COUNTA(ДекабрьДанные[#Headers]))))</f>
        <v>0</v>
      </c>
      <c r="E8" s="30">
        <f ca="1">ДекабрьДанные[[#This Row],[Итого]]/COUNTIFS(ДекабрьДанные[Соц. Работник],ДекабрьДанные[[#This Row],[Соц. Работник]])</f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0</v>
      </c>
      <c r="V8" s="26">
        <v>0</v>
      </c>
      <c r="W8" s="26">
        <v>0</v>
      </c>
      <c r="X8" s="26">
        <v>0</v>
      </c>
      <c r="Y8" s="26">
        <v>0</v>
      </c>
      <c r="Z8" s="26">
        <v>0</v>
      </c>
      <c r="AA8" s="26">
        <v>0</v>
      </c>
      <c r="AB8" s="26">
        <v>0</v>
      </c>
      <c r="AC8" s="26">
        <v>0</v>
      </c>
      <c r="AD8" s="26">
        <v>0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6">
        <v>0</v>
      </c>
      <c r="AK8" s="26">
        <v>0</v>
      </c>
      <c r="AL8" s="26">
        <v>0</v>
      </c>
      <c r="AM8" s="26">
        <v>0</v>
      </c>
      <c r="AN8" s="26">
        <v>0</v>
      </c>
      <c r="AO8" s="26">
        <v>0</v>
      </c>
      <c r="AP8" s="26">
        <v>0</v>
      </c>
      <c r="AQ8" s="26">
        <v>0</v>
      </c>
      <c r="AR8" s="26">
        <v>0</v>
      </c>
      <c r="AS8" s="26">
        <v>0</v>
      </c>
      <c r="AT8" s="26">
        <v>0</v>
      </c>
      <c r="AU8" s="26">
        <v>0</v>
      </c>
      <c r="AV8" s="26">
        <v>0</v>
      </c>
      <c r="AW8" s="26">
        <v>0</v>
      </c>
      <c r="AX8" s="26">
        <v>0</v>
      </c>
      <c r="AY8" s="26">
        <v>0</v>
      </c>
      <c r="AZ8" s="26">
        <v>0</v>
      </c>
      <c r="BA8" s="26">
        <v>0</v>
      </c>
      <c r="BB8" s="26">
        <v>0</v>
      </c>
    </row>
  </sheetData>
  <conditionalFormatting sqref="B8">
    <cfRule type="duplicateValues" dxfId="64" priority="84"/>
  </conditionalFormatting>
  <dataValidations count="6">
    <dataValidation type="list" allowBlank="1" showInputMessage="1" showErrorMessage="1" sqref="F7:AK7">
      <formula1>Услуга</formula1>
    </dataValidation>
    <dataValidation type="list" allowBlank="1" showInputMessage="1" showErrorMessage="1" sqref="B1">
      <formula1>Месяц</formula1>
    </dataValidation>
    <dataValidation type="list" allowBlank="1" showInputMessage="1" showErrorMessage="1" sqref="C2">
      <formula1>СчетУслуги</formula1>
    </dataValidation>
    <dataValidation type="list" allowBlank="1" showInputMessage="1" showErrorMessage="1" sqref="A8">
      <formula1>СоцРаботник</formula1>
    </dataValidation>
    <dataValidation type="list" allowBlank="1" showInputMessage="1" showErrorMessage="1" sqref="C8">
      <formula1>Учет</formula1>
    </dataValidation>
    <dataValidation type="list" allowBlank="1" showInputMessage="1" showErrorMessage="1" sqref="A5">
      <formula1>ТипУслуги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customUI/_rels/customUI14.xml.rels><?xml version="1.0" encoding="UTF-8" standalone="yes"?>
<Relationships xmlns="http://schemas.openxmlformats.org/package/2006/relationships"><Relationship Id="btn-down" Type="http://schemas.openxmlformats.org/officeDocument/2006/relationships/image" Target="images/btn-down.png"/><Relationship Id="btn-month" Type="http://schemas.openxmlformats.org/officeDocument/2006/relationships/image" Target="images/btn-month.png"/><Relationship Id="btn-update" Type="http://schemas.openxmlformats.org/officeDocument/2006/relationships/image" Target="images/btn-update.png"/><Relationship Id="kvartal-four" Type="http://schemas.openxmlformats.org/officeDocument/2006/relationships/image" Target="images/kvartal-four.png"/><Relationship Id="btn-ok" Type="http://schemas.openxmlformats.org/officeDocument/2006/relationships/image" Target="images/btn-ok.png"/><Relationship Id="clear-errors" Type="http://schemas.openxmlformats.org/officeDocument/2006/relationships/image" Target="images/clear-errors.png"/><Relationship Id="kvartal-two" Type="http://schemas.openxmlformats.org/officeDocument/2006/relationships/image" Target="images/kvartal-two.png"/><Relationship Id="select-list" Type="http://schemas.openxmlformats.org/officeDocument/2006/relationships/image" Target="images/select-list.png"/><Relationship Id="services" Type="http://schemas.openxmlformats.org/officeDocument/2006/relationships/image" Target="images/services.png"/><Relationship Id="reset-columns" Type="http://schemas.openxmlformats.org/officeDocument/2006/relationships/image" Target="images/reset-columns.png"/><Relationship Id="update-columns" Type="http://schemas.openxmlformats.org/officeDocument/2006/relationships/image" Target="images/update-columns.png"/><Relationship Id="Color" Type="http://schemas.openxmlformats.org/officeDocument/2006/relationships/image" Target="images/Color.png"/><Relationship Id="NoColor" Type="http://schemas.openxmlformats.org/officeDocument/2006/relationships/image" Target="images/NoColor.png"/><Relationship Id="btn-list" Type="http://schemas.openxmlformats.org/officeDocument/2006/relationships/image" Target="images/btn-list.png"/><Relationship Id="clear-double" Type="http://schemas.openxmlformats.org/officeDocument/2006/relationships/image" Target="images/clear-double.png"/><Relationship Id="update-rows" Type="http://schemas.openxmlformats.org/officeDocument/2006/relationships/image" Target="images/update-rows.png"/><Relationship Id="accounting-btn" Type="http://schemas.openxmlformats.org/officeDocument/2006/relationships/image" Target="images/accounting-btn.png"/><Relationship Id="add-columns" Type="http://schemas.openxmlformats.org/officeDocument/2006/relationships/image" Target="images/add-columns.png"/><Relationship Id="btn-prev" Type="http://schemas.openxmlformats.org/officeDocument/2006/relationships/image" Target="images/btn-prev.png"/><Relationship Id="CreateName" Type="http://schemas.openxmlformats.org/officeDocument/2006/relationships/image" Target="images/CreateName.png"/><Relationship Id="Main" Type="http://schemas.openxmlformats.org/officeDocument/2006/relationships/image" Target="images/Main.png"/><Relationship Id="btn-resize" Type="http://schemas.openxmlformats.org/officeDocument/2006/relationships/image" Target="images/btn-resize.png"/><Relationship Id="reset-btn" Type="http://schemas.openxmlformats.org/officeDocument/2006/relationships/image" Target="images/reset-btn.png"/><Relationship Id="reset-rows" Type="http://schemas.openxmlformats.org/officeDocument/2006/relationships/image" Target="images/reset-rows.png"/><Relationship Id="worker" Type="http://schemas.openxmlformats.org/officeDocument/2006/relationships/image" Target="images/worker.png"/><Relationship Id="config-icon" Type="http://schemas.openxmlformats.org/officeDocument/2006/relationships/image" Target="images/config-icon.png"/><Relationship Id="btn-up" Type="http://schemas.openxmlformats.org/officeDocument/2006/relationships/image" Target="images/btn-up.png"/><Relationship Id="kvartal-menu" Type="http://schemas.openxmlformats.org/officeDocument/2006/relationships/image" Target="images/kvartal-menu.png"/><Relationship Id="kvartal-one" Type="http://schemas.openxmlformats.org/officeDocument/2006/relationships/image" Target="images/kvartal-one.png"/><Relationship Id="add-rows" Type="http://schemas.openxmlformats.org/officeDocument/2006/relationships/image" Target="images/add-rows.png"/><Relationship Id="btn-next" Type="http://schemas.openxmlformats.org/officeDocument/2006/relationships/image" Target="images/btn-next.png"/><Relationship Id="kvartal-three" Type="http://schemas.openxmlformats.org/officeDocument/2006/relationships/image" Target="images/kvartal-three.png"/></Relationships>
</file>

<file path=customUI/customUI14.xml><?xml version="1.0" encoding="utf-8"?>
<customUI xmlns="http://schemas.microsoft.com/office/2009/07/customui" onLoad="RibbonOnLoad">
  <ribbon startFromScratch="false">
    <tabs>
      <tab id="SocialServices" label="Управление услугами" getVisible="GetVisible" tag="XSocSer">
        <group id="TransitionsID" label="Перемещения по страницам" getVisible="GetterVisible" tag="GTran">
          <button id="MainID" label="Домой" image="Main" size="large" onAction="MainClick"/>
          <menu id="SelectListID" label="Выбрать страницу" image="select-list" size="large">
            <button id="onMainID" label="Домой" image="Main" onAction="MainClick"/>
            <button id="onJanID" label="Январь" image="btn-list" onAction="JanuaryClick"/>
            <button id="onFebID" label="Февраль" image="btn-list" onAction="FebruaryClick"/>
            <button id="onMarID" label="Март" image="btn-list" onAction="MarchClick"/>
            <button id="onAprID" label="Апрель" image="btn-list" onAction="AprilClick"/>
            <button id="onMayID" label="Май" image="btn-list" onAction="MayClick"/>
            <button id="onJuneID" label="Июнь" image="btn-list" onAction="JuneClick"/>
            <button id="onJulyID" label="Июль" image="btn-list" onAction="JulyClick"/>
            <button id="onAugID" label="Август" image="btn-list" onAction="AugustClick"/>
            <button id="onSeptID" label="Сентябрь" image="btn-list" onAction="SeptemberClick"/>
            <button id="onOctID" label="Октябрь" image="btn-list" onAction="OctoberClick"/>
            <button id="onNovID" label="Ноябрь" image="btn-list" onAction="NovemberClick"/>
            <button id="onDecID" label="Декабрь" image="btn-list" onAction="DecemberClick"/>
          </menu>
          <button id="PreviousID" label="Предыдущая" image="btn-prev" size="large" onAction="ClickPrevious"/>
          <button id="IDNext" label="Следующая" image="btn-next" size="large" onAction="NextClick"/>
        </group>
        <group id="SocialParametersID" label="Параметры" getVisible="GetterVisible" tag="GTranParameters">
          <menu id="GMenuParametersID" label="Настройки таблиц" image="config-icon" size="large">
            <button id="EditServices" label="Добавить услугу" image="services" onAction="EditServicesClick"/>
            <button id="EditWorker" label="Редактировать соц. работников" image="worker" onAction="EditWorkerClick"/>
            <button id="EditAccounting" label="Изменить постановку на учет" image="accounting-btn" onAction="EditAccountingClick"/>
            <button id="EditMonths" label="Изменить периоды" image="btn-month" onAction="EditMonthsClick"/>
          </menu>
        </group>
        <group id="Transitions" label="Перемещения по страницам" getVisible="GetterVisible" tag="XTran">
          <button id="Main" label="Домой" image="Main" size="large" onAction="MainClick"/>
          <menu id="SelectList" label="Выбрать страницу" image="select-list" size="large">
            <button id="onMain" label="Домой" image="Main" onAction="MainClick"/>
            <button id="onJan" label="Январь" image="btn-list" onAction="JanuaryClick"/>
            <button id="onFeb" label="Февраль" image="btn-list" onAction="FebruaryClick"/>
            <button id="onMar" label="Март" image="btn-list" onAction="MarchClick"/>
            <button id="onApr" label="Апрель" image="btn-list" onAction="AprilClick"/>
            <button id="onMay" label="Май" image="btn-list" onAction="MayClick"/>
            <button id="onJune" label="Июнь" image="btn-list" onAction="JuneClick"/>
            <button id="onJuly" label="Июль" image="btn-list" onAction="JulyClick"/>
            <button id="onAug" label="Август" image="btn-list" onAction="AugustClick"/>
            <button id="onSept" label="Сентябрь" image="btn-list" onAction="SeptemberClick"/>
            <button id="onOct" label="Октябрь" image="btn-list" onAction="OctoberClick"/>
            <button id="onNov" label="Ноябрь" image="btn-list" onAction="NovemberClick"/>
            <button id="onDec" label="Декабрь" image="btn-list" onAction="DecemberClick"/>
          </menu>
          <button id="BtnUpID" label="Вверх" image="btn-up" size="large" onAction="UpClick"/>
          <button id="BtnDownID" label="Вниз" image="btn-down" size="large" onAction="DownClick"/>
          <button id="IdPrevious" label="Предыдущая" image="btn-prev" size="large" onAction="ClickPrevious"/>
          <button id="NextID" label="Следующая" image="btn-next" size="large" onAction="NextClick"/>
        </group>
        <group id="XMoneyID" label="Деньги" getVisible="GetterVisible" tag="XMoney">
          <button id="XRubleID" label="Закрасить" image="Color" size="large" onAction="RubleClick"/>
          <button id="XNoRubleID" label="Обесцветить" image="NoColor" size="large" onAction="NoRubleClick"/>
        </group>
        <group id="SocialEdit" label="Редактирование" getVisible="GetterVisible" tag="XEdit">
          <menu id="XAddEditID" label="Добавить" imageMso="PictureBackgroundRemovalMarkForeground" size="large">
            <button id="AddRowsID" label="Добавить строку" image="add-rows" onAction="AddRowsClick"/>
            <button id="AddColumnID" label="Добавить столбец" image="add-columns" onAction="AddColumnClick"/>
            <button id="CreateNameID" label="Придумать имя" imageMso="PencilTool" onAction="CreateNameClick"/>
          </menu>
          <button id="XCalcUpdateID" label="Обновить вычисления" image="btn-update" size="large" onAction="CalcUpdateClick"/>
          <button id="XBtnFitSizesID" label="Подогнать размеры" image="btn-resize" size="large" onAction="BtnFitSizesClick"/>
          <menu id="XRemoveEditID" label="Удалить" imageMso="PictureBackgroundRemovalMarkBackground" size="large">
            <button id="DeleteDoubleID" label="Удалить дубликаты" image="clear-double" onAction="DeleteDoubleClick"/>
            <button id="DeleteErrorID" label="Удалить ошибки" image="clear-errors" onAction="RemoveErrorsClick"/>
          </menu>
          <menu id="XClearEditID" label="Очистить" imageMso="ClearAll" size="large">
            <button id="SelectRowsID" label="Очистить строку" image="reset-rows" onAction="SelectRowsClick"/>
            <button id="SelectColumnID" label="Очистить столбец" image="reset-columns" onAction="SelectColumnClick"/>
            <button id="AllZeroID" label="Очистить всё" image="reset-btn" onAction="ClearAllClick"/>
          </menu>
        </group>
        <group id="SocialParameters" label="Параметры" getVisible="GetterVisible" tag="XTranParameters">
          <menu id="MyXMenuParametersID" label="Настройки таблиц" image="config-icon" size="large">
            <button id="EditServicesID" label="Добавить услугу" image="services" onAction="EditServicesClick"/>
            <button id="EditWorkerID" label="Редактировать соц. работников" image="worker" onAction="EditWorkerClick"/>
            <button id="EditAccountingID" label="Изменить постановку на учет" image="accounting-btn" onAction="EditAccountingClick"/>
            <button id="EditMonthsID" label="Изменить периоды" image="btn-month" onAction="EditMonthsClick"/>
          </menu>
        </group>
        <group id="MyTransitions" label="Перемещения по страницам" getVisible="GetterVisible" tag="MyTran">
          <button id="IDMain" label="Домой" image="Main" size="large" onAction="MainClick"/>
          <menu id="IDSelectList" label="Выбрать страницу" image="select-list" size="large">
            <button id="inMain" label="Домой" image="Main" onAction="MainClick"/>
            <button id="inJan" label="Январь" image="btn-list" onAction="JanuaryClick"/>
            <button id="inFeb" label="Февраль" image="btn-list" onAction="FebruaryClick"/>
            <button id="inMar" label="Март" image="btn-list" onAction="MarchClick"/>
            <button id="inApr" label="Апрель" image="btn-list" onAction="AprilClick"/>
            <button id="inMay" label="Май" image="btn-list" onAction="MayClick"/>
            <button id="inJune" label="Июнь" image="btn-list" onAction="JuneClick"/>
            <button id="inJuly" label="Июль" image="btn-list" onAction="JulyClick"/>
            <button id="inAug" label="Август" image="btn-list" onAction="AugustClick"/>
            <button id="inSept" label="Сентябрь" image="btn-list" onAction="SeptemberClick"/>
            <button id="inOct" label="Октябрь" image="btn-list" onAction="OctoberClick"/>
            <button id="inNov" label="Ноябрь" image="btn-list" onAction="NovemberClick"/>
            <button id="inDec" label="Декабрь" image="btn-list" onAction="DecemberClick"/>
          </menu>
          <button id="MyBtnUpID" label="Вверх" image="btn-up" size="large" onAction="UpClick"/>
          <button id="MyBtnDownID" label="Вниз" image="btn-down" size="large" onAction="DownClick"/>
          <button id="MyIdPrevious" label="Предыдущая" image="btn-prev" size="large" onAction="ClickPrevious"/>
          <button id="MyNextID" label="Следующая" image="btn-next" size="large" onAction="NextClick"/>
        </group>
        <group id="MyMoneyID" label="Деньги" getVisible="GetterVisible" tag="MyMoney">
          <button id="MyRubleID" label="Закрасить" image="Color" size="large" onAction="RubleClick"/>
          <button id="MyNoRubleID" label="Обесцветить" image="NoColor" size="large" onAction="NoRubleClick"/>
        </group>
        <group id="MySocialEdit" label="Редактирование" getVisible="GetterVisible" tag="MyEdit">
          <menu id="MyAddEditID" label="Добавить" imageMso="PictureBackgroundRemovalMarkForeground" size="large">
            <button id="MyAddRowsID" label="Добавить строку" image="add-rows" onAction="AddRowsClick"/>
            <button id="MyAddColumnID" label="Добавить столбец" image="add-columns" onAction="AddColumnClick"/>
            <button id="MyCreateNameID" label="Придумать имя" imageMso="PencilTool" onAction="CreateNameClick"/>
          </menu>
          <button id="MyCalcUpdateID" label="Обновить вычисления" image="btn-update" size="large" onAction="CalcUpdateClick"/>
          <button id="MyBtnFitSizesID" label="Подогнать размеры" image="btn-resize" size="large" onAction="BtnFitSizesClick"/>
          <button id="MyResetRowsID" label="Перенести строки" image="update-rows" size="large" onAction="ResetRowsClick"/>
          <button id="MyResetColumnID" label="Перенести столбцы" image="update-columns" size="large" onAction="ResetColumnClick"/>
          <menu id="MyRemoveEditID" label="Удалить" imageMso="PictureBackgroundRemovalMarkBackground" size="large">
            <button id="MyDeleteDoubleID" label="Удалить дубликаты" image="clear-double" onAction="DeleteDoubleClick"/>
            <button id="MyDeleteErrorID" label="Удалить ошибки" image="clear-errors" onAction="RemoveErrorsClick"/>
          </menu>
          <menu id="MyClearEditID" label="Очистить" imageMso="ClearAll" size="large">
            <button id="MySelectRowsID" label="Очистить строку" image="reset-rows" onAction="SelectRowsClick"/>
            <button id="MySelectColumnID" label="Очистить столбец" image="reset-columns" onAction="SelectColumnClick"/>
            <button id="MyAllZeroID" label="Очистить всё" image="reset-btn" onAction="ClearAllClick"/>
          </menu>
        </group>
        <group id="MySocialParameters" label="Параметры" getVisible="GetterVisible" tag="MyParameters">
          <menu id="MyMenuParametersID" label="Настройки таблиц" image="config-icon" size="large">
            <button id="MyEditServicesID" label="Добавить услугу" image="services" onAction="EditServicesClick"/>
            <button id="MyEditWorkerID" label="Редактировать соц. работников" image="worker" onAction="EditWorkerClick"/>
            <button id="MyEditAccountingID" label="Изменить постановку на учет" image="accounting-btn" onAction="EditAccountingClick"/>
            <button id="MyEditMonthsID" label="Изменить периоды" image="btn-month" onAction="EditMonthsClick"/>
          </menu>
        </group>
      </tab>
      <tab id="SocialEditor" label="Изменения" getVisible="GetVisible" tag="MySocEd">
        <group id="Editing" label="Редактирование списка" getVisible="GetterVisible" tag="XEditing">
          <button id="FineID" label="Завершить редактирование" image="btn-ok" size="large" onAction="FineClick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8DE0EE8-3806-440E-91DA-65D72B9F42C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СписокУслуг</vt:lpstr>
      <vt:lpstr>СоцРаботники</vt:lpstr>
      <vt:lpstr>СписокУчета</vt:lpstr>
      <vt:lpstr>Месяцы</vt:lpstr>
      <vt:lpstr>ЦветПлатной</vt:lpstr>
      <vt:lpstr>СчетУслуг</vt:lpstr>
      <vt:lpstr>Главная</vt:lpstr>
      <vt:lpstr>Январь</vt:lpstr>
      <vt:lpstr>Февраль</vt:lpstr>
      <vt:lpstr>Март</vt:lpstr>
      <vt:lpstr>Апрель</vt:lpstr>
      <vt:lpstr>Май</vt:lpstr>
      <vt:lpstr>Июнь</vt:lpstr>
      <vt:lpstr>Июль</vt:lpstr>
      <vt:lpstr>Август</vt:lpstr>
      <vt:lpstr>Сентябрь</vt:lpstr>
      <vt:lpstr>Октябрь</vt:lpstr>
      <vt:lpstr>Ноябрь</vt:lpstr>
      <vt:lpstr>Декабрь</vt:lpstr>
    </vt:vector>
  </TitlesOfParts>
  <Company>Grizli777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utv2</cp:lastModifiedBy>
  <cp:lastPrinted>2024-07-01T15:17:11Z</cp:lastPrinted>
  <dcterms:created xsi:type="dcterms:W3CDTF">2023-02-17T06:03:05Z</dcterms:created>
  <dcterms:modified xsi:type="dcterms:W3CDTF">2025-04-10T13:25:36Z</dcterms:modified>
</cp:coreProperties>
</file>