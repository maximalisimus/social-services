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slicers/slicer3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vbox\Social_Develop\social-services-Develop\"/>
    </mc:Choice>
  </mc:AlternateContent>
  <bookViews>
    <workbookView xWindow="240" yWindow="105" windowWidth="14805" windowHeight="8025"/>
  </bookViews>
  <sheets>
    <sheet name="Настройки" sheetId="2" r:id="rId1"/>
    <sheet name="Главная" sheetId="3" r:id="rId2"/>
    <sheet name="Месяцы" sheetId="1" r:id="rId3"/>
    <sheet name="Период" sheetId="9" r:id="rId4"/>
    <sheet name="Год" sheetId="8" r:id="rId5"/>
  </sheets>
  <functionGroups builtInGroupCount="18"/>
  <definedNames>
    <definedName name="ExternalData_1" localSheetId="4" hidden="1">Год!$A$4:$D$9</definedName>
    <definedName name="ExternalData_1" localSheetId="2" hidden="1">Месяцы!$A$4:$D$9</definedName>
    <definedName name="ExternalData_1" localSheetId="3" hidden="1">Период!$A$4:$D$9</definedName>
    <definedName name="ExternalData_2" localSheetId="2" hidden="1">Месяцы!#REF!</definedName>
    <definedName name="СписокФайлов">OFFSET(Настройки!$E$2,0,0,COUNTIF(Настройки!$E:$E,"*")-1,1)</definedName>
    <definedName name="Срез_Признак_учета">#N/A</definedName>
    <definedName name="Срез_Соц._Работник">#N/A</definedName>
    <definedName name="Срез_Соц._Работник1">#N/A</definedName>
    <definedName name="Срез_Соц._Работник5">#N/A</definedName>
  </definedNames>
  <calcPr calcId="152511"/>
  <pivotCaches>
    <pivotCache cacheId="7" r:id="rId6"/>
    <pivotCache cacheId="8" r:id="rId7"/>
    <pivotCache cacheId="6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F5" i="8" l="1"/>
  <c r="F5" i="9"/>
  <c r="F5" i="1"/>
  <c r="J5" i="8" l="1"/>
  <c r="I5" i="8"/>
  <c r="G5" i="8"/>
  <c r="J5" i="1"/>
  <c r="I5" i="1"/>
  <c r="G5" i="1"/>
  <c r="J5" i="9"/>
  <c r="I5" i="9"/>
  <c r="G5" i="9"/>
  <c r="H5" i="9" l="1"/>
  <c r="H5" i="8"/>
  <c r="H5" i="1"/>
  <c r="A5" i="2"/>
</calcChain>
</file>

<file path=xl/connections.xml><?xml version="1.0" encoding="utf-8"?>
<connections xmlns="http://schemas.openxmlformats.org/spreadsheetml/2006/main">
  <connection id="1" name="Запрос — SelectMonth" description="Соединение с запросом &quot;SelectMonth&quot; в книге." type="5" refreshedVersion="0" background="1">
    <dbPr connection="provider=Microsoft.Mashup.OleDb.1;data source=$EmbeddedMashup(935a7206-3876-4f11-8f22-6c659aa74857)$;location=SelectMonth;extended properties=&quot;UEsDBBQAAgAIAOCIOV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OCIOV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giDlY0FtOBwkBAACQAQAAEwAcAEZvcm11bGFzL1NlY3Rpb24xLm0gohgAKKAUAAAAAAAAAAAAAAAAAAAAAAAAAAAAXVA/awIxFJ8N+B1Cpjs4jnaW6yJ1a4er0OG4IZ4PTkwvcokoiIMUujh06ditQ9dCEYRiP8PLN+o7Y6t2SvL79/J7Bgo70hW/8+dlp83azJSyhiFhitAbXdmSJzwYSiv9QxpuYW5DnlwxBZa19rAh0fW8ABV3p3UNlb3X9Xig9TgIF9mtfIBE4Ctu3Mo9uye3Fvky65KPhHnEWumkT5EUIfDNrfDLPeInboVnZvqPfMEP3OHOrXHTkA1ONFHNLU5homQBx79G3AdHXIiQ9L2pUgfRf88hau/wA39N5mwRfTlQEPvlpHpmAt8+4iCLkgfZacmc9Ccjw3BxsczwHbdNRfzO2ag6i+/8AFBLAQItABQAAgAIAOCIOVgxQeUkqgAAAPoAAAASAAAAAAAAAAAAAAAAAAAAAABDb25maWcvUGFja2FnZS54bWxQSwECLQAUAAIACADgiDlYD8rpq6QAAADpAAAAEwAAAAAAAAAAAAAAAAD2AAAAW0NvbnRlbnRfVHlwZXNdLnhtbFBLAQItABQAAgAIAOCIOVjQW04HCQEAAJABAAATAAAAAAAAAAAAAAAAAOcBAABGb3JtdWxhcy9TZWN0aW9uMS5tUEsFBgAAAAADAAMAwgAAAD0DAAAAAA==&quot;" command="SELECT * FROM [SelectMonth]"/>
  </connection>
  <connection id="2" name="Запрос — SelectServices" description="Соединение с запросом &quot;SelectServices&quot; в книге." type="5" refreshedVersion="0" background="1">
    <dbPr connection="provider=Microsoft.Mashup.OleDb.1;data source=$EmbeddedMashup(935a7206-3876-4f11-8f22-6c659aa74857)$;location=SelectServices;extended properties=&quot;UEsDBBQAAgAIACt+O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t+O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rfjpYQToyWT8CAAALBgAAEwAcAEZvcm11bGFzL1NlY3Rpb24xLm0gohgAKKAUAAAAAAAAAAAAAAAAAAAAAAAAAAAApVTLbtNAFN1H6j+MzMaWrArYVkFCoYgVQi0Si8iLaTJSrToeZDslUhSpSaFIJOxYsCuQH0gLUU0ezS/c+SOOx2lsghEl9WZmzp177zlnxhOKWuRKn+2n44OdrdJWKTzkgagD84Dui+DYrYmQlZkZpoisudxjPGSRaEUWKz8qeSIqMXz0WXVVj67Ve5pTTBMk7bZqwtt+JYOjAymPzKeuJ7Yr0o+EH4VmGqw0gwDL1R6rXX3OG6Js0DmN1AmNaEZj1VMnqm84neoy22nf71TpXJ0iMmDoRTGav6Nr+kFz1acZw2QEHnrhWDbzm55nsyhoCsvWdO8Z9DWpi5wJxUx1GS2wipN+SBzfJDP1FuBUDZabZwaEveQHkJKatCffhOa6eJsJXjtkphbjIAPdaJGw1P2GGKfqlL4bVkbnE0QCQvqYYZIImK54ANINAF2oM5ixxqIivWbDD83NZdlt4wmPuNHJMULgAjQuUyIolRBQA7rCeInz6QFOanSTZvSTJfvVB4AT1csYPq7XU3rmf6u0mdaTIrgIZ8bS2bTyi0A2ZCSeCV4XQWhWEwFOztLhrV3cEw15LHIu3k17gZlfUOwKmWP4Pdc3t48s9VHX16ejemxN7Irebus19+t6nln5T3VF7rWN7PZRrLd8A/8FDiMHd269MROoo6qfi+ftlQGOKOfvJnbA1SIOCbVhMafN/oWHhf94scSb+4jnUL9t3IW+ap6PY7P842mtOfa7FjS+A239LP5Z1Sm5vu75l6Y7vwBQSwECLQAUAAIACAArfjpYMUHlJKoAAAD6AAAAEgAAAAAAAAAAAAAAAAAAAAAAQ29uZmlnL1BhY2thZ2UueG1sUEsBAi0AFAACAAgAK346WA/K6aukAAAA6QAAABMAAAAAAAAAAAAAAAAA9gAAAFtDb250ZW50X1R5cGVzXS54bWxQSwECLQAUAAIACAArfjpYQToyWT8CAAALBgAAEwAAAAAAAAAAAAAAAADnAQAARm9ybXVsYXMvU2VjdGlvbjEubVBLBQYAAAAAAwADAMIAAABzBAAAAAA=&quot;" command="SELECT * FROM [SelectServices]"/>
  </connection>
  <connection id="3" name="Запрос — ГодДанные" description="Соединение с запросом &quot;ГодДанные&quot; в книге." type="5" refreshedVersion="5">
    <dbPr connection="provider=Microsoft.Mashup.OleDb.1;data source=$EmbeddedMashup(935a7206-3876-4f11-8f22-6c659aa74857)$;location=ГодДанные;extended properties=&quot;UEsDBBQAAgAIAOCIOV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OCIOV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giDlYqZks8hMEAAD0EAAAEwAcAEZvcm11bGFzL1NlY3Rpb24xLm0gohgAKKAUAAAAAAAAAAAAAAAAAAAAAAAAAAAAvVddTxNBFH0n4T9M1pc2WRurPkl4MPjxoNEEND40jSl0DI3tLtkPP9I0ERBNBMUoicQoSPDdAlYLlPIXZv6R587u0m0ju90WhQd2d+7cOefec+8dbD7jlEyDTXl/s2OjI6Mj9mzB4kUmPoq2+CnWRF0ciSO5LBpsnJW5M8LwI9blvFwQbfkai01xgKXrz2Z4OfPAtB5Pm+bj1I1SmWcmTMPhhmOnvMUJ17LwemKTrubuFCp8XBOboi5f4KSWaMgF+UIua/lazt+dr16o5cSmXMTKCsNZoonDlxQ6wtVieAhAtvJpnRluuawzx3J5Wldwz2lii/xiz4FoMjnPxDHemnQeNjaCzUy+xMdDueIbtzQQu1eYBpUpXkaQJs2ndqqXvM54YWaWpXK3SkYxjx2a2qKlWcEo4jNxVJ/Fe7Er9kCEtocCqzHTYl1mhK5BQKLM1mBygOUdBCzScF2+i/NFJkfRJl+wtB9jACSRzL4iaqvxgDfEATLQh+EW5a4/0+8w3VUiiwnFDyzsKirdZumOmNawuCj2kPwGwwPJ7/BERfik5IFPO/IVpNyjoQmz7FYMOzW4KPWqdq3gFLRaB9E3QPgN2A2YHKlSWRb7TL5VuFpelJjadILm+rM56FM9e5BSiZnpzAOi+y49PxRKO7kzKnPyRhV8pu46UdruO1WTvGI+4aFU9R9gZAfdihL5G8fU0bBg/poam6hTykYDNB/U4XU49RC1rzDSgs/S+9YkfQagrhaLnUzFctH9Qup157erO25lmluZSdM1iqmcEiP1nJ9Keg30WXJ1HuDahH8eAoQbRoxYFkqlVeKVYWKbVjNaXmeXkDrn+RxHBybnIa5xaC9FhL7fOFHghyURzs+mSnbjpCLb1Bb6UI4BwYbgx1PXq9XTUnUGjEJdYg3LO51IBvYrUKoiB1hq6mAnWhL0TfbyDc0ZuZA9RYiJwkSMPqv3pqoJWiUu6iCPzS94Ig8oK7kslwK9ZkOzHEOUQnWM36bqib0nBl21A/mmZbpzqeFjoDNSGcbYK4SYmsIOnhe8i4BWw2pV65oaPvqHfmE4BCackjh1ZCMKI0Ec9CjUZySQiwN2KgqqNuHajlkJwuV5uW/MlZ6Yzl1nllsB7Vw4uvkoWiS1zaAeAugYtLgJrIsN5ErzSsSbKRpeP1EZkSzJg1wNFZiWYIhcjMjYkPHVe8SV9ALgBzn6ChDPL5yuwRNAy10JYJEZqP3PswbpNdm/NJskWTlLfn4jiqDoF9rtku1kptwK6up043z3WK+Fh+RQij6lYSSJua7+eSF57tEYOe6ai/QfZcC09IjlwjHyLvsJZxFDKzIwaHnZ5iwmZH3ffS7/q4ah+kW0zAe67GSHuO1c9m47cSmLxl1Lj5SMwZCP/QFQSwECLQAUAAIACADgiDlYMUHlJKoAAAD6AAAAEgAAAAAAAAAAAAAAAAAAAAAAQ29uZmlnL1BhY2thZ2UueG1sUEsBAi0AFAACAAgA4Ig5WA/K6aukAAAA6QAAABMAAAAAAAAAAAAAAAAA9gAAAFtDb250ZW50X1R5cGVzXS54bWxQSwECLQAUAAIACADgiDlYqZks8hMEAAD0EAAAEwAAAAAAAAAAAAAAAADnAQAARm9ybXVsYXMvU2VjdGlvbjEubVBLBQYAAAAAAwADAMIAAABHBgAAAAA=&quot;" command="SELECT * FROM [ГодДанные]"/>
  </connection>
  <connection id="4" keepAlive="1" name="Запрос — ГодИтоги" description="Соединение с запросом &quot;ГодИтоги&quot; в книге." type="5" refreshedVersion="5" background="1" saveData="1">
    <dbPr connection="provider=Microsoft.Mashup.OleDb.1;data source=$EmbeddedMashup(935a7206-3876-4f11-8f22-6c659aa74857)$;location=ГодИтоги;extended properties=&quot;UEsDBBQAAgAIAOCIOV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OCIOV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giDlYsuVR5nIFAABEHAAAEwAcAEZvcm11bGFzL1NlY3Rpb24xLm0gohgAKKAUAAAAAAAAAAAAAAAAAAAAAAAAAAAAvVlNbxtFGL5H6n8YbS62tBjWaXqpekChUKBqUQLiEFnIiQfFqr0brdellWUpH5BKJBAEkcgBEkK54zix6qax8xdm/xHvO7v2ztrr2VmvQ3Kwd+edmef9euaZpEbXnbJlkhXv07h/Z+7OXG2jaNMSYb+xPrtkx+4OfF6wLnlAKtSZI/ADL7fxtfuK9ViXXcHQwxfrtJL72rKfrVnWs8zH5QrNLVmmQ02nlvEGl+q2DY9Dm2xj9UmxSh9o7JS13C3WYtes4+64W+6+Vmiu+rMLjQ+aq+zU3YWRAwJ7sS5s/gPH1nP32TWBLy3AwR8KWZ2Y9UpFJ45dp1mdw53X2BmuC3OuwA93m7AbeOrifjCxM5hM3O/h5Tv3wDe+1sCxL4tr4MoKrUCIlq3vaplR53VCi+sbJLP6edksFWCGxqdoWVI0S/AafeSv2S+szS7AEZx+NMTc0Yhlk5AZousgEJnZEZhcwfA5BExqeOz+HLcWmvTkJn/A0NsYA0Ai9exPiNphPOATdgUZUDA8w9ypmf4Dpm1eZDGh+BcG2tyVsFk2KKbXvOLeDQunQ7yKgFfn7h5U77BslmnVek6XrEq9atYy09eh3tAQoaYT7VOHVvETqw0/H5VLJWpqzQDeXwDuDfjQgck93jf77C1xf+KIr72QkY+KTjHA+fDFJhQr/+6Bzai4CbvzZXR/FW8qAq0pzcfOxgWwadOuoJ4dQ5Ie9dBBRoCUMHlvYJ8W8BKYv0L+Yi0MzJA3+/zpjHf0Jc9yB1gM4bwHG/Vx2jbkepddEFyIGFAUOIrL5Qh7jaM5Mb1nwCFbYH8Dv11eH+2gTLmvgwoLHP3EtuqbKhE1AG0D9+i7e7A7xuMcvu94VKc1YbShhfrCp79vgHFfblLi4H7Npno68rJuUXdVl6EO0ByB+TkMtz1Eg1gfQBb54jCHEy9EHVaF3KO9+yNSrbsjVM6HpZJ6o+SxBJbqNceqDsLlrfKVuVl+bjlPnQ1qD9xeFaNbkLmFdXU6KJUBdOAV4LpjdgK50rzqwdrCCGnsd6wwrFJcwT0Uai8JvS1IMpYyvvpIcSVlNT/I6XhtIZSu6ROAw6EEEGkGmv/nXtPQiRHBJ0myMkv/fCKSuOg32uNyzcmt1KvQV5ON8QDi7GXWq2vUTkJfd2dCX4aUv+IaPUD7K3jUwUOHN57gIYrrKY6Du17SIiIvHm/pA+27F00TLffQAOjz2qjy1lLKeyNa38dhmU7wizGUCH6JWVjwSwwHgj/GpCc38QS/3IALfomJKPglZmHBLzEcFfwS07DglxiKgl80S3AiLs5c8Ru3JPmNlGfjYlrRv5he9S9Gyv7g7xRq1JcgZJM48Px92ArE+RgDzgdjAeNZJvWO+IlzIiaoEmT+VghyYSqCzA8JUmxcPAK3OYJhJMUWO+InJQQX072rfMH2YKVutwVsN17Ws7or5CfcFZL56V0d/TdQqnvh+8MXtlW1HPqIFkvUhqtD0qvwvdtS8vmoeCp13Ii76djqXmQAG+NS+W/w4EbkjK4vx1UMAw/5qLsvylAhwJZdCq55U8YDZWIEhjF5rEgbCx5tyGXj0L0TP8GXAKAnBB1Wb/FG60P4heZ8QmsOLX1mlXmyIoKjj/FqLODxKVrsHE1HDHh65h7Tb52ndYfaScsydg95pSqGLlD6Mm9ISH83R5/Fv3rvggfXrDXLM1ER4ISWagjVFnF1GLohuZKdcnwdpHXsd+4i1JXUxWVqwlkUOidkodEbin0mwFJLsTGpPeT6ZbzskwUium3Up8+igZJnLUUrGX4vqbtIQqXZHH0eqz9+se/DcX4IUPr+dTfu3wHTnQEpEo1REBtOVK2+4mxm58rm1M7d/w9QSwECLQAUAAIACADgiDlYMUHlJKoAAAD6AAAAEgAAAAAAAAAAAAAAAAAAAAAAQ29uZmlnL1BhY2thZ2UueG1sUEsBAi0AFAACAAgA4Ig5WA/K6aukAAAA6QAAABMAAAAAAAAAAAAAAAAA9gAAAFtDb250ZW50X1R5cGVzXS54bWxQSwECLQAUAAIACADgiDlYsuVR5nIFAABEHAAAEwAAAAAAAAAAAAAAAADnAQAARm9ybXVsYXMvU2VjdGlvbjEubVBLBQYAAAAAAwADAMIAAACmBwAAAAA=&quot;" command="SELECT * FROM [ГодИтоги]"/>
  </connection>
  <connection id="5" name="Запрос — МесяцыДанные" description="Соединение с запросом &quot;МесяцыДанные&quot; в книге." type="5" refreshedVersion="5">
    <dbPr connection="provider=Microsoft.Mashup.OleDb.1;data source=$EmbeddedMashup(935a7206-3876-4f11-8f22-6c659aa74857)$;location=МесяцыДанные;extended properties=UEsDBBQAAgAIAOCIOV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OCIOV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giDlYtBu+G7gCAAAZCAAAEwAcAEZvcm11bGFzL1NlY3Rpb24xLm0gohgAKKAUAAAAAAAAAAAAAAAAAAAAAAAAAAAAzVTfa9NQGH0v7H+4xJcGQnF7HX2QOkUUBZ34UMrI1gsNS5OSpmNSAlvKNrCTgQgOEavou52zrm5t9y989z/yfEn6Y2PW6SbYl6T3++45557z3VTlim+5jngSP2fnZ1IzqWrJ9GRR0DvqqE21p7ZVk15Tm/rUx1tHZIUt/ZTAr2j65qJc97GkTbZoxqj8wHJWUV5YX5F2JlfzPOn4z1xvddl1V9N6Pf/QLMusRq+w7YAGamMMo7a0QpDPuY6PLYX6zSA/VlQYEzAACFhGJueWly1HputDZmMkMdDjLWumZ5mOn+y6Hlkt1Lt0hHqbjoVqqB3oDKmdqKR9iA6BsoOOLjqGvCPCO5YtMwlkNf07US1qg7BNPWZRG6p5gaAGKrsCXNQF+RYN6FsUTU/gZZhTr6AbwqnZtiF8ryYTh+gLyl+ZQ+1Ohrq0aC7bbNr589Tz93xZzg7DMO5bTjGrRd2s7DbWEydu8JQM4GgbBCfUob6gUyycgOkIT2YNsYz/apOOAf5DcL96gcVjFc5qnDQDZ24ViznXrpWd9HS9BibzLVPAiJ1ofEI0D2LYTTA16Dt4sB8UvSheQ0hzpSRm9ZHoj3QI9Aa0ngJmI1Y6ug+MGS1C8FjgXc+tVdJXP7Eh6ixgoLYzgj4Ah+cxjJ3XAlTr565erH4JmT6vSOGzmCAYn+VTNACRlAn9kUMHfNUnPH4sy+6ajG2upv/MB2Oaav16xmHuonG41BExFbla1XfLQ7tilKdOxVpz/Ud+SXrDY+cn3S1MOxaPWiuSz1+ARDp1BX2mfXofl3/xpUCQkJ3M4yHbp9Eb7uIGhld73J3UNf3ycc5NifOK5hvnJm8iVrbmCBAdnLcffYya2K5eRkQ9JlOhSBIY6VtYr5hOMXq/fJZzZ7L8R+lw8Uw6Ymo8wX8jRE9Zzt9kMv8TUEsBAi0AFAACAAgA4Ig5WDFB5SSqAAAA+gAAABIAAAAAAAAAAAAAAAAAAAAAAENvbmZpZy9QYWNrYWdlLnhtbFBLAQItABQAAgAIAOCIOVgPyumrpAAAAOkAAAATAAAAAAAAAAAAAAAAAPYAAABbQ29udGVudF9UeXBlc10ueG1sUEsBAi0AFAACAAgA4Ig5WLQbvhu4AgAAGQgAABMAAAAAAAAAAAAAAAAA5wEAAEZvcm11bGFzL1NlY3Rpb24xLm1QSwUGAAAAAAMAAwDCAAAA7AQAAAAA" command="SELECT * FROM [МесяцыДанные]"/>
  </connection>
  <connection id="6" keepAlive="1" name="Запрос — МесяцыИтоги" description="Соединение с запросом &quot;МесяцыИтоги&quot; в книге." type="5" refreshedVersion="5" background="1" saveData="1">
    <dbPr connection="provider=Microsoft.Mashup.OleDb.1;data source=$EmbeddedMashup(935a7206-3876-4f11-8f22-6c659aa74857)$;location=МесяцыИтоги;extended properties=&quot;UEsDBBQAAgAIAOCIOV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OCIOV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giDlYpHJwmc8EAAAAFQAAEwAcAEZvcm11bGFzL1NlY3Rpb24xLm0gohgAKKAUAAAAAAAAAAAAAAAAAAAAAAAAAAAAvVhLTxtXFN4j5T9cTTe2NHVrk6wiFpWbNm1RUoVEXVhWNDC3YsR4Bo1nKJVlCUyTSoUIKYqULKpQmu5rSCwo2OYv3PuPes6dxx1sz8PGCQts38c533ce3xm7Sddcw7bIiv9avntr4dZCc11zqE7Yn6zHd/khf8732RveYUP2np2TJWJSd4HAn6652mO67cKSwl6xLhuwARztKWq0vWxYG7B9b3uNmqWq5zjUcn+ynY1V294oFFu1B1qDLinsJVw7YUO+I83wZ0q9XavalgtX6q0v2zWJpy4doAFwgDBKVbuxali00Ao9qxHEdtG/4tCmZ7oR6Hd8l13yPeSlxA9kWJVWQrtbmmNoVnhvPnSPYP+cncF+l10Qvsd/B/4d1g3YQ0p2MSmwPIBzF5HfyOE3hklLgclmIQvUEeuCwy7roxe+w/cnANqDnQMCvtg5OH8GFfFBpLxP4E2Y/369qBLLM02VuI5Hgwixf2H7FH3wg3ixPH2srZoYtFE+rdp3Lm0shUlWfzAsfUkRpxHZ17AeROIzSKTwf8l6oVniG4OlE6xfBbOJV0uPaMPeolXb9BpWs5COSm0piVlQVKifsCuG4tMxHO1hROB/D6KE7j8H60O8FhQaQUOkTNgV7qK5EvHLsKSExQR8jtl7gLQHp64g1Dtw9lSCE9zE4gXUbcTsW8f2Ngt5gqGSFroY8ufg/C84i8XY8cOutGG3NdLPhGpr6+QpJPTXTUpcdNeOoX0Ftk/g/KnvNCR3AGETwMF2Dz8DTUDM/iN4nv8Bixe8U5YMvtJ1PzGF6UIAwa96TdduhEh9c0+sTWPLdh+669QJE16LE6urKXHAjB6FSQo5gP6xf9gb9hbCNCIfCnuNucX6QAv8MJZ1pVjMXarlpFq9eaDVsbymlIFEjFtnYL4HAR8IDdgH0/yFANFHILxDggRE2O9tb2qWLt7LnGZzj6dy9uSoo9pOUrPT/pS+8ldCJaUSpsnJTapcopVPAFh1MUo4M2ZQoYqf4XjoAumJq6po52Wj6ZZWvAZ0b3JkceoIebK8xip1In0K6E3ukS4/LAN0Qe/a9FGkFEuhAQZAXgwEEeKIW5/w32ARrfqH+7EuXqEmPF09sn+BcZOFJSBcEEO5Lp5RjoX+7QoE72YRlMWUMpqVHJQUIsTywSmNrzif8fW+oevUUuY1HioJ4yGbdcJU+NGxG7ZL71NNpw4MBPEgMUU4b38sfa5gVBHNjNpbvqH43h4V31FV+xsgX8Ub/zxQzjwHJaXXgMIf7WdY9QQwwHF8I1UyFmLb0eX4njYiKH0T0Ixqdl6tqIRakSaFEdG3QW4/AIBBLOxgvSs6bQgJiD2aPqBNl+rf24ZIV54wqWMCmslg/IqSeUdRERQ2eGmZ/uw+9FzqTFmi2T7SizdnLOU4S2NDrg2Z9uhnSe0lXOrhYs6ZN6dQCEAJ3daKoZowHyMaSeMwixV+tQsjEetCC9Q+1oTpgVFbOdsub98tfpQZXZlpRi+OzWj5m8EUY+TO3KdyZbqpLJ/6xLMUApygvzNNkjvoUUwyNTDj30VwzXwG8AcHfzLPwURxSkkuJ2ly7s4ZV9msiCfrctKFeWnyTCWQN5DXv19MooFad/IFxPOyJE6LN+2E5eKCYc2R493/AVBLAQItABQAAgAIAOCIOVgxQeUkqgAAAPoAAAASAAAAAAAAAAAAAAAAAAAAAABDb25maWcvUGFja2FnZS54bWxQSwECLQAUAAIACADgiDlYD8rpq6QAAADpAAAAEwAAAAAAAAAAAAAAAAD2AAAAW0NvbnRlbnRfVHlwZXNdLnhtbFBLAQItABQAAgAIAOCIOVikcnCZzwQAAAAVAAATAAAAAAAAAAAAAAAAAOcBAABGb3JtdWxhcy9TZWN0aW9uMS5tUEsFBgAAAAADAAMAwgAAAAMHAAAAAA==&quot;" command="SELECT * FROM [МесяцыИтоги]"/>
  </connection>
  <connection id="7" name="Запрос — ПериодДанные" description="Соединение с запросом &quot;ПериодДанные&quot; в книге." type="5" refreshedVersion="5">
    <dbPr connection="provider=Microsoft.Mashup.OleDb.1;data source=$EmbeddedMashup(935a7206-3876-4f11-8f22-6c659aa74857)$;location=ПериодДанные;extended properties=UEsDBBQAAgAIAINcP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INcP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CDXD5Yd287SdwFAAC9GwAAEwAcAEZvcm11bGFzL1NlY3Rpb24xLm0gohgAKKAUAAAAAAAAAAAAAAAAAAAAAAAAAAAAxVnfaxtHEH6OIP/Dcn2R4Coq2Xlp6kBxk1JoU7BT+iBEOVsXLCLdCd0pcREC22lsqNO6FENNSOKEFPpYWbZq2bHkf2HvP+rM7v3Yk317upPSxsSWd+e+/eab2Znds6Wv2lXTIMv8Z+H2zczNjLWmNfUKjNVg9BvTsNfIAslWNFvjv2gWsfV1O0cW7mRqup25wYYtMLq7vqrX8outZlM37O/N5qMV03yUzbVL97W6vqDQl7TvbDp7zrazq5Q7pUV4DgzLaubGUuMBQAKEQt85m/S985Qe04HCZ56Y/uQ+7dIhHTq7tI+TOA7TMIWf8kt6o6at6gFXlXBglShKDuzvtWo112j8GReKPcEX9B6yQkI80FZqep6Ls2Q+sbLce5Xo2uoayZZEJ8tgLyyZy7U/6ZToX3SALtJROVM1QvCi/PQQcDbogI7oieg2QKLoBP5NrzuiWLbWTO1d3Mr74ECXXsL/U3BkKK7OtHhFu84OzKIaV+Tx+JmN/4veCxwFyO0ocphpEcmJ0/QA2GzREfg4hKXOfUo+l3tVcMhd08rG8T0EuTZglQvgtOVshMPJCB46T2HmOYG1kKrzjOUPcrog8MEjeFHOqcSA1FSJ3WzpOU73I4W+RVx45pwOiLNJ6CXLQVgPdfAeJs5PMPjeee4aXyjXxWbceT9K6EyZKfYb7dFjYIx2onrEbJIIM7E8XDFDtn0kJkcLzCRo+2ByDihHoLMUL2woQTxwfo3j5pnEoAzjUYZylJfw9JkMgxvIEcBhadw8EwnKK8iPvXiNRTMJ2mt6Dik5AV7YUIL4FrN+MsxxUwnqn2DaYzs5Jh/ChhLEvwGhx+SW4olmIlouqAD7MMkGodfAhxNWnft+++F7GoaOWDsZ2/iLZq1VN6xs+kqithWkq0D3/QKKq9IJmP0OT5wifXi6S/AbkmHqDNhwH+C7zh6AAvEhhHgbauBewPHzSoUTzCb2E+jcb9VX9KbiljHheORWNFFDePIIAHscEpxHKNAc2wzqv8XrD0QA5KFnBO2dn7GQOFsRfNN6D8yXscV7xIN+PyO+hSiBpxKB0TYbAWv3FBCQfsc7MUBhxM6EiGHHxm4XWv9DsCwgza+skL7Vh7DhWKqUyZ0FUmKTZWKv6QbrtUSvWTp5qMH31L5ESZ5UEpd9ILNI/jNG3mzEcU+30QvXnhnSSOGfK7grWOjYmYZoRsUdZRFwh1NWuit8py51BVmtSwdZjBI1oauupOyChMdLrQqO8iqn+mfetEpeITm1kkVUMqQg3rrYEv5Sd9cbkA/sc8oeUPTjpLqYHAhlSS5yUcHzOsLhUXy2eEJdmbh/L+l187HuhcLXD4SFOwUG4RRbDlwr4By+g9cP2g33ZsT1dyUdfYqF8tz1gI8N8Dxyfd2aoP2yM9s4nJuovGTll8yWUcmWWB7hCf+EZU0fLkMI9TGQGyF999jDeigpeBUf3MoTXn3yCqT5HITF/rGhwzUJwSfXtBglagKZUPZpfRCiw98l9P2tNHLPEXEpYUAqCuzjPVfb7ahAzcChzoxOLMWINEwkE3r0gv0+YBsCZ9EXthD35p/gZObsOs+8bC0IZR7utSjVJXwNWDEbX9ErhwHlL5tmqzH10QWrGSYZXKy2QeI3eIGFz1v8rq50YLY99kqDs//B3RY2khFDEpcdc5J9kUAHVcZ6Rgkyl7JOzWFWLLbgsFr3eyhD+c5oVB+b9rdwkmp6bpdEdcsytzDVDr394FGHDgnXwwP6GmI19tZUoX+w+8EO3354J/A3mJKgO8xLIjalvupYcgmRe8Nex/XYXhyy11nsGPgLW+iCX7KJK7K8vcf7J4YrfQDU8dfWRBqBzn+5VppaU7im2CSJyiz9cwuRxEV3o31dtez8cqsO+yrauBxu6jPrKPMRBSOJ5ip7c4fpeYxt5DLUF/Glr3hJEzXir3YS9iJ+qSvwG12MZJPWi1sfql7Ms3oxWZonaeKFKQ47t/hhJy5ictqdHP4NKBXz2/8CUEsBAi0AFAACAAgAg1w+WDFB5SSqAAAA+gAAABIAAAAAAAAAAAAAAAAAAAAAAENvbmZpZy9QYWNrYWdlLnhtbFBLAQItABQAAgAIAINcPlgPyumrpAAAAOkAAAATAAAAAAAAAAAAAAAAAPYAAABbQ29udGVudF9UeXBlc10ueG1sUEsBAi0AFAACAAgAg1w+WHdvO0ncBQAAvRsAABMAAAAAAAAAAAAAAAAA5wEAAEZvcm11bGFzL1NlY3Rpb24xLm1QSwUGAAAAAAMAAwDCAAAAEAgAAAAA" command="SELECT * FROM [ПериодДанные]"/>
  </connection>
  <connection id="8" keepAlive="1" name="Запрос — ПериодИтоги" description="Соединение с запросом &quot;ПериодИтоги&quot; в книге." type="5" refreshedVersion="5" background="1" saveData="1">
    <dbPr connection="provider=Microsoft.Mashup.OleDb.1;data source=$EmbeddedMashup(935a7206-3876-4f11-8f22-6c659aa74857)$;location=ПериодИтоги;extended properties=&quot;UEsDBBQAAgAIAAiCO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AiCO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IgjpYQVrKxi4HAAA+JwAAEwAcAEZvcm11bGFzL1NlY3Rpb24xLm0gohgAKKAUAAAAAAAAAAAAAAAAAAAAAAAAAAAA7VpbbxNHFH4mEv9hZF5saevWCTzRIFUp9EahSqj6YFnVEg+Khe21dtdAFVkioU2khjZVFalRBaQplfpYJ2BhIHb+wuw/6jkzu97Z+8VO24fmIbFnz5w55ztzrhuDrpoNrU1WxN/K5fNz5+eMNVWndVhrwurnWttcI4ukWFdNVXxRDWLSB2aJLF6Za1Jz7hxfNoDo6oNV2iwvdXWdts2vNP3ubU27WyytV2+oLbpYYE/YwNqwdq0ta6dQ61WXYB8Q1pS5c8udW8ASWBTYc2uDvbUesRdsWBBP7muTh3usz0ZsZO2wAT7EdXgMj/BTeZl2muoqdWVViGCskEKhBPTXus2mTeTfY7PiO8SBzibDA8Qt9XaTlgU4y9p9oyi0VwhVV9dIsSorWQN66chSaf29XpX9yYaoIhvX5hptD/sg/CtUv9dYpQhuURCuaKsNtRkwAoEftg8Hb7KxtQ0YDdmbiUUmprjWANlt2I1ikrkOWN96CICfgEab1kOv0bgqB9YjePKYwFmolPUdG7OX3DwnBD44tjqplRTSBiAUYupdCqCiuBcK7BD5wp43bEisDcJO4dsQz4ONA2czsb6FxbfWY5v4pBBmBr/yE4OgMjV+eQ7ZKYcez5vcskLJFWcPlOQXjw0IfEAF3k7kgCV+ACwd8Rvsk2JJa3ZbbaOYXy1lvfAh3NxCT5IIHhyBGMdCEGCFAliP2Sv4ewz22YRl5LGBh7HXBOmt72HxjbXpSvhBvS7EK2bWUiFcH7ECF2GrYCMrOH+hay3NpB9TtU51o1hFBWoSpM9To7hMW9o9KqE4ne4hYP4GzF7BzgHgPeI3dwd2WT9w/tw61ibxKTsR7+qDjtqu888ulInahaG37otxQPI7yH8KxpCWe6kJXQX5U2tHei7Dq+lgIgnfPHAAqmEyKL643ZvWxedDfTxcRec+YjTH6KQ2QL+qLE9NIXLwLPkQ8+oCB08hNg+LQa481JPoQ+XID3F3wE/DWLrP4QcSEMuJ89PnW+RimKqeO6slnbwH4vfBYfvcWUeBxPEU3Hebu864FkiLjnxa598S71dcxQsfJRxWGBFFCT7WqdFtmhElzf+pOjlV/wRx6QV6CNDJ8BJNJxFkMsgBMpSWJ4t4bi5ZDLc9zDDA5QhwjuXnJYzhuG/9mCSbQ5LAZZTMZRTP5Qnsfh3HQxDEcwCFY+3mkMRweQr3YzcZY5kshtszrAnS8PMSxnA8FAkyDU8/aQzXP4D0mHtywn3wEsZw/As4HHO4Y/nJZDK3/1R1jOJireEv7H6GHVjJoHZ9gr9QGI7OkC9jPdO3doEpCD4CE29BDNydVX18o9u6TXWnDpH6Zjuilc62ns+rPUi+gjWAI7hbEMxI3koUwNMV9ii21nGltssEqecQqRpYjURJuyHXsJjtPOefhZQVFPMTw4Nv4w44HL8qNXJlkVT5wxox12ib51pCmwYld1T4nVuXKMizQmJL78IsC/8+F17rJMmez9ErUaV/ZigmdYVQBQMdr2kINHL2KreAvZwz0gXknTrUVeJi3Yz7qYyqhvdaPMopk6I4L5IBIadGcj4wBsBxHD8ivrHPKLdjJ8XmKRghLNlBFj2kmKPMml/6uUwlajAzARBHAQfcCq8w50BfAYX4NvYfrM8HAk7rOranIFhav+TmGkAXgke9A746lhphnrxIxQm1wK5MhNuXPS4ANT8CcMrneQ9FOPbo4VwVV4mPdK3bSTOyqYgJzSHUlVtwOg5JjuDzpmhV+Fhm3dfyCZ/4GjqmbzqUmHher5ce6vmYGVgGVZU4qWeU0eej0ksaD1nqQq5ueceHX7Y7jXuaeRMSyWQ0VZXRrcWphffqwLkqjugQIKA63mfPwFa+1rvAfuHl0TYXdIglkTtGyuAcC2c1teTxynO5so4vbZCnG1sueMyV3wD+sSB+j7FA7588K084qYTEkyxWmaV+diCKUdF2tOsNwyyvdFvgV9HEmGp49GrzGi9L+Lo4k/BViY1fSY4ut4Ib8AySDnc8ecjal6dRqdPBxeDA3kZeTm8zATpnHxdV8scjEfEywdPDOi8ffcN0KVCKSfWAW3gMlt7FItzWO+ltj/91RG71U76T8JYkufx/PuQCZYaA36eIFz7rktlCrtVE/JhbZMszKY6D2oSbow3FZS7PxZyV8q2QI6bty+E5EUxcEe9gsvYm07VIC+Gz6iRRYzsi9z1Ahuri0szboIXcb0NxU2XKauJSUnuUzCCxI8rCwoXAfbmWLllkgCwqaxy9C0dBOxNw7gvuM9e7tTYVRVHknpANab1sXnhZpoAxge6ZXbS+hH0jCXY4rM9v5Rh2SgHmBjVMWv9Ua/ArEw+8EoAus5gBDlkZoKSfNdr18nV6x7zZNaleUs5n+0eCfJE41MVSoi3KpCxqEk/G6fm/SzpnzXOVuFx/BgD6TY5YyLlUdj3bbXol5618Lv0u/w1QSwECLQAUAAIACAAIgjpYMUHlJKoAAAD6AAAAEgAAAAAAAAAAAAAAAAAAAAAAQ29uZmlnL1BhY2thZ2UueG1sUEsBAi0AFAACAAgACII6WA/K6aukAAAA6QAAABMAAAAAAAAAAAAAAAAA9gAAAFtDb250ZW50X1R5cGVzXS54bWxQSwECLQAUAAIACAAIgjpYQVrKxi4HAAA+JwAAEwAAAAAAAAAAAAAAAADnAQAARm9ybXVsYXMvU2VjdGlvbjEubVBLBQYAAAAAAwADAMIAAABiCQAAAAA=&quot;" command="SELECT * FROM [ПериодИтоги]"/>
  </connection>
</connections>
</file>

<file path=xl/sharedStrings.xml><?xml version="1.0" encoding="utf-8"?>
<sst xmlns="http://schemas.openxmlformats.org/spreadsheetml/2006/main" count="216" uniqueCount="85">
  <si>
    <t>Путь к исходным данным</t>
  </si>
  <si>
    <t>Полный путь к этому документу</t>
  </si>
  <si>
    <t>Услуги</t>
  </si>
  <si>
    <t>Результаты</t>
  </si>
  <si>
    <t>Январь</t>
  </si>
  <si>
    <t>Расширение файла с данными</t>
  </si>
  <si>
    <t>.xlsm</t>
  </si>
  <si>
    <t>Управление</t>
  </si>
  <si>
    <t>Переходы по страницам (все названия кликабельны).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</si>
  <si>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</si>
  <si>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</si>
  <si>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</si>
  <si>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</si>
  <si>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</si>
  <si>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</si>
  <si>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</si>
  <si>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</si>
  <si>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</si>
  <si>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</si>
  <si>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</si>
  <si>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&lt;&lt; Настройки</t>
  </si>
  <si>
    <t>Список выбора файлов для подсчета итогов</t>
  </si>
  <si>
    <t>Выбор файла с данными</t>
  </si>
  <si>
    <t>Месяцы</t>
  </si>
  <si>
    <t>Всего</t>
  </si>
  <si>
    <t>б/пл.</t>
  </si>
  <si>
    <t>пл.</t>
  </si>
  <si>
    <t>Соц-бытовые</t>
  </si>
  <si>
    <t>Соц-медицинские</t>
  </si>
  <si>
    <t>Соц-психологические</t>
  </si>
  <si>
    <t>Соц-педагогические</t>
  </si>
  <si>
    <t>Соц-правовые</t>
  </si>
  <si>
    <t>Месяц</t>
  </si>
  <si>
    <t>Соц. Работник</t>
  </si>
  <si>
    <t>Общий итог</t>
  </si>
  <si>
    <t>Получатели ФИО</t>
  </si>
  <si>
    <t>беседа</t>
  </si>
  <si>
    <t>вызов врача на дом по телефону</t>
  </si>
  <si>
    <t>вынос мусора</t>
  </si>
  <si>
    <t>вып. процедур, связанных с сохранением здоровья</t>
  </si>
  <si>
    <t>доставка воды</t>
  </si>
  <si>
    <t>Итого</t>
  </si>
  <si>
    <t>Количество обслуживаемых</t>
  </si>
  <si>
    <t>консультирование по соц-мед.вопросам</t>
  </si>
  <si>
    <t>кормление</t>
  </si>
  <si>
    <t>обработка ногтей</t>
  </si>
  <si>
    <t>оказание помощи в оформлении документов</t>
  </si>
  <si>
    <t>оказание помощи при стирке вещей</t>
  </si>
  <si>
    <t>оплата коммунальныхи услуг и связи</t>
  </si>
  <si>
    <t>письма</t>
  </si>
  <si>
    <t>покупка лекарств, выписка рецептов</t>
  </si>
  <si>
    <t>покупка продуктов</t>
  </si>
  <si>
    <t>покупка топлива, топка печей</t>
  </si>
  <si>
    <t>помощь в получении юр.услуг</t>
  </si>
  <si>
    <t>помощь в приготовлении пищи</t>
  </si>
  <si>
    <t>помывка в ванной</t>
  </si>
  <si>
    <t>присмотр за детьми</t>
  </si>
  <si>
    <t>сиделка</t>
  </si>
  <si>
    <t>смена нательного белья</t>
  </si>
  <si>
    <t>смена постельного белья</t>
  </si>
  <si>
    <t>смена штор</t>
  </si>
  <si>
    <t>снег</t>
  </si>
  <si>
    <t>сод-е в госпитализации</t>
  </si>
  <si>
    <t>сод-е в организации ритуальных услуг</t>
  </si>
  <si>
    <t>сод-е в получении услуг в пр.торговли, КБО</t>
  </si>
  <si>
    <t>сод-е в провед. мед. обслед. (запись)</t>
  </si>
  <si>
    <t>сод-е в прохождении МСЭ</t>
  </si>
  <si>
    <t>сод-е сан-кур. лечение</t>
  </si>
  <si>
    <t>содействие в получ. тех. средств</t>
  </si>
  <si>
    <t>соц-пед.услуги</t>
  </si>
  <si>
    <t>Среднее кол-во услуг на 1 получ. Усл.</t>
  </si>
  <si>
    <t>стирка вещей</t>
  </si>
  <si>
    <t>уборка б/у</t>
  </si>
  <si>
    <t>уборка с/у</t>
  </si>
  <si>
    <t xml:space="preserve"> Значения услуг</t>
  </si>
  <si>
    <t>Год</t>
  </si>
  <si>
    <t>Число</t>
  </si>
  <si>
    <t>Начало</t>
  </si>
  <si>
    <t>Конец</t>
  </si>
  <si>
    <t>Сумма</t>
  </si>
  <si>
    <t>Период</t>
  </si>
  <si>
    <t>D:\vbox\Social_Develop\social-services-Develop\</t>
  </si>
  <si>
    <t>ФИО Соц. работника</t>
  </si>
  <si>
    <t>Всего 2</t>
  </si>
  <si>
    <t>Всего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</si>
</sst>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;[Red]0.00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8"/>
      <color rgb="FFFF0000"/>
      <name val="Times New Roman"/>
      <family val="1"/>
      <charset val="204"/>
    </font>
    <font>
      <sz val="14"/>
      <color theme="10"/>
      <name val="Times New Roman"/>
      <family val="1"/>
      <charset val="204"/>
    </font>
    <font>
      <sz val="12"/>
      <color theme="1"/>
      <name val="Times New Roman"/>
    </font>
    <font>
      <b/>
      <sz val="12"/>
      <color theme="1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2" fillId="0" borderId="1" xfId="0" applyFont="1" applyBorder="1"/>
    <xf numFmtId="0" fontId="1" fillId="0" borderId="2" xfId="0" applyFont="1" applyBorder="1"/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wrapText="1" shrinkToFit="1"/>
    </xf>
    <xf numFmtId="0" fontId="1" fillId="0" borderId="0" xfId="0" applyFont="1" applyAlignment="1">
      <alignment wrapText="1" shrinkToFit="1"/>
    </xf>
    <xf numFmtId="0" fontId="2" fillId="0" borderId="3" xfId="0" applyFont="1" applyBorder="1" applyAlignment="1">
      <alignment horizontal="left" vertical="center" wrapText="1" shrinkToFit="1"/>
    </xf>
    <xf numFmtId="0" fontId="1" fillId="0" borderId="0" xfId="0" applyFont="1" applyAlignment="1">
      <alignment horizontal="left" vertical="center" wrapText="1" shrinkToFit="1"/>
    </xf>
    <xf numFmtId="0" fontId="1" fillId="0" borderId="0" xfId="0" applyFont="1" applyAlignment="1">
      <alignment horizontal="center" vertical="center" wrapText="1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wrapText="1" shrinkToFit="1"/>
    </xf>
    <xf numFmtId="0" fontId="0" fillId="0" borderId="0" xfId="0" applyBorder="1" applyAlignment="1">
      <alignment wrapText="1" shrinkToFit="1"/>
    </xf>
    <xf numFmtId="0" fontId="1" fillId="0" borderId="0" xfId="0" applyFont="1" applyBorder="1" applyAlignment="1">
      <alignment wrapText="1" shrinkToFit="1"/>
    </xf>
    <xf numFmtId="0" fontId="9" fillId="0" borderId="0" xfId="1" applyFont="1" applyAlignment="1">
      <alignment horizontal="left" vertical="center"/>
    </xf>
    <xf numFmtId="0" fontId="8" fillId="0" borderId="0" xfId="0" applyFont="1" applyFill="1"/>
    <xf numFmtId="0" fontId="7" fillId="0" borderId="4" xfId="0" applyFont="1" applyFill="1" applyBorder="1"/>
    <xf numFmtId="0" fontId="1" fillId="0" borderId="0" xfId="0" applyFont="1" applyFill="1"/>
    <xf numFmtId="0" fontId="6" fillId="0" borderId="5" xfId="0" applyFont="1" applyFill="1" applyBorder="1"/>
    <xf numFmtId="0" fontId="1" fillId="0" borderId="0" xfId="0" applyNumberFormat="1" applyFont="1" applyFill="1" applyAlignment="1"/>
    <xf numFmtId="0" fontId="1" fillId="0" borderId="0" xfId="0" quotePrefix="1" applyNumberFormat="1" applyFont="1" applyFill="1" applyAlignment="1"/>
    <xf numFmtId="0" fontId="0" fillId="0" borderId="0" xfId="0" applyFill="1"/>
    <xf numFmtId="0" fontId="7" fillId="0" borderId="0" xfId="0" applyFont="1" applyFill="1"/>
    <xf numFmtId="0" fontId="6" fillId="0" borderId="0" xfId="0" applyFont="1" applyFill="1"/>
    <xf numFmtId="0" fontId="10" fillId="0" borderId="0" xfId="0" applyFont="1" applyFill="1" applyAlignment="1">
      <alignment horizontal="left" vertical="center" wrapText="1" shrinkToFit="1"/>
    </xf>
    <xf numFmtId="0" fontId="10" fillId="0" borderId="0" xfId="0" applyFont="1" applyFill="1" applyAlignment="1">
      <alignment horizontal="center" vertical="center" wrapText="1" shrinkToFit="1"/>
    </xf>
    <xf numFmtId="0" fontId="10" fillId="0" borderId="0" xfId="0" applyFont="1" applyFill="1" applyAlignment="1">
      <alignment horizontal="left" wrapText="1" shrinkToFit="1"/>
    </xf>
    <xf numFmtId="0" fontId="10" fillId="0" borderId="0" xfId="0" applyFont="1" applyFill="1" applyAlignment="1">
      <alignment horizontal="center" textRotation="90" wrapText="1" shrinkToFit="1"/>
    </xf>
    <xf numFmtId="164" fontId="10" fillId="0" borderId="0" xfId="0" applyNumberFormat="1" applyFont="1" applyFill="1" applyAlignment="1">
      <alignment horizontal="center" textRotation="90" wrapText="1" shrinkToFit="1"/>
    </xf>
    <xf numFmtId="0" fontId="10" fillId="0" borderId="0" xfId="0" applyNumberFormat="1" applyFont="1" applyFill="1" applyAlignment="1">
      <alignment horizontal="center" vertical="center" wrapText="1" shrinkToFit="1"/>
    </xf>
    <xf numFmtId="164" fontId="10" fillId="0" borderId="0" xfId="0" applyNumberFormat="1" applyFont="1" applyFill="1" applyAlignment="1">
      <alignment horizontal="center" vertical="center" wrapText="1" shrinkToFit="1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" fillId="0" borderId="0" xfId="0" applyFont="1" applyFill="1" applyBorder="1"/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 wrapText="1" shrinkToFit="1"/>
    </xf>
    <xf numFmtId="0" fontId="6" fillId="0" borderId="0" xfId="0" applyFont="1" applyFill="1" applyBorder="1"/>
    <xf numFmtId="0" fontId="10" fillId="0" borderId="0" xfId="0" applyFont="1" applyFill="1" applyAlignment="1">
      <alignment horizontal="left"/>
    </xf>
    <xf numFmtId="0" fontId="10" fillId="0" borderId="0" xfId="0" applyFont="1" applyFill="1"/>
    <xf numFmtId="0" fontId="10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textRotation="90" wrapText="1" shrinkToFit="1"/>
    </xf>
    <xf numFmtId="0" fontId="11" fillId="0" borderId="0" xfId="0" applyFont="1" applyFill="1" applyAlignment="1">
      <alignment horizontal="center" vertical="center" wrapText="1" shrinkToFit="1"/>
    </xf>
    <xf numFmtId="0" fontId="10" fillId="0" borderId="0" xfId="0" applyNumberFormat="1" applyFont="1" applyFill="1"/>
    <xf numFmtId="0" fontId="3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  <xf numFmtId="0" fontId="9" fillId="2" borderId="6" xfId="1" applyFont="1" applyFill="1" applyBorder="1" applyAlignment="1">
      <alignment horizontal="center" vertical="center" wrapText="1" shrinkToFit="1"/>
    </xf>
    <xf numFmtId="0" fontId="9" fillId="2" borderId="7" xfId="1" applyFont="1" applyFill="1" applyBorder="1" applyAlignment="1">
      <alignment horizontal="center" vertical="center" wrapText="1" shrinkToFit="1"/>
    </xf>
    <xf numFmtId="0" fontId="9" fillId="2" borderId="8" xfId="1" applyFont="1" applyFill="1" applyBorder="1" applyAlignment="1">
      <alignment horizontal="center" vertical="center" wrapText="1" shrinkToFit="1"/>
    </xf>
    <xf numFmtId="0" fontId="9" fillId="3" borderId="9" xfId="1" applyFont="1" applyFill="1" applyBorder="1" applyAlignment="1">
      <alignment horizontal="center" vertical="center"/>
    </xf>
    <xf numFmtId="0" fontId="9" fillId="3" borderId="10" xfId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horizontal="center" vertical="center"/>
    </xf>
    <xf numFmtId="0" fontId="9" fillId="2" borderId="12" xfId="1" applyFont="1" applyFill="1" applyBorder="1" applyAlignment="1">
      <alignment horizontal="center" vertical="center" wrapText="1" shrinkToFit="1"/>
    </xf>
    <xf numFmtId="0" fontId="9" fillId="0" borderId="13" xfId="1" applyFont="1" applyBorder="1" applyAlignment="1">
      <alignment horizontal="center" vertical="center" wrapText="1" shrinkToFit="1"/>
    </xf>
    <xf numFmtId="0" fontId="9" fillId="0" borderId="14" xfId="1" applyFont="1" applyBorder="1" applyAlignment="1">
      <alignment horizontal="center" vertical="center" wrapText="1" shrinkToFit="1"/>
    </xf>
  </cellXfs>
  <cellStyles count="2">
    <cellStyle name="Гиперссылка" xfId="1" builtinId="8"/>
    <cellStyle name="Обычный" xfId="0" builtinId="0"/>
  </cellStyles>
  <dxfs count="7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horizontal="center" readingOrder="0"/>
    </dxf>
    <dxf>
      <alignment vertical="center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sz val="12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b/>
      </font>
    </dxf>
    <dxf>
      <alignment vertical="center" readingOrder="0"/>
    </dxf>
    <dxf>
      <alignment textRotation="0" readingOrder="0"/>
    </dxf>
    <dxf>
      <alignment horizontal="center" readingOrder="0"/>
    </dxf>
    <dxf>
      <alignment vertical="center" readingOrder="0"/>
    </dxf>
    <dxf>
      <alignment vertical="bottom" readingOrder="0"/>
    </dxf>
    <dxf>
      <alignment horizontal="center" readingOrder="0"/>
    </dxf>
    <dxf>
      <alignment textRotation="90" readingOrder="0"/>
    </dxf>
    <dxf>
      <alignment vertical="center" readingOrder="0"/>
    </dxf>
    <dxf>
      <alignment horizontal="center" readingOrder="0"/>
    </dxf>
    <dxf>
      <alignment textRotation="90" readingOrder="0"/>
    </dxf>
    <dxf>
      <alignment textRotation="90" readingOrder="0"/>
    </dxf>
    <dxf>
      <alignment wrapText="1" shrinkToFit="1" readingOrder="0"/>
    </dxf>
    <dxf>
      <alignment wrapText="1" shrinkToFit="1" readingOrder="0"/>
    </dxf>
    <dxf>
      <alignment wrapText="1" shrinkToFit="1" readingOrder="0"/>
    </dxf>
    <dxf>
      <alignment horizontal="left" readingOrder="0"/>
    </dxf>
    <dxf>
      <alignment horizontal="center" readingOrder="0"/>
    </dxf>
    <dxf>
      <alignment vertical="center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alignment vertical="center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font>
        <sz val="12"/>
      </font>
    </dxf>
    <dxf>
      <font>
        <name val="Times New Roman"/>
        <scheme val="none"/>
      </font>
    </dxf>
    <dxf>
      <alignment horizont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theme="6" tint="0.3999450666829432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fill>
        <patternFill>
          <bgColor theme="3" tint="0.59996337778862885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3" defaultTableStyle="TableStyleMedium2" defaultPivotStyle="PivotStyleMedium9">
    <tableStyle name="TableStyleLight15 3" pivot="0" count="7">
      <tableStyleElement type="wholeTable" dxfId="701"/>
      <tableStyleElement type="headerRow" dxfId="700"/>
      <tableStyleElement type="totalRow" dxfId="699"/>
      <tableStyleElement type="firstColumn" dxfId="698"/>
      <tableStyleElement type="lastColumn" dxfId="697"/>
      <tableStyleElement type="firstRowStripe" dxfId="696"/>
      <tableStyleElement type="firstColumnStripe" dxfId="695"/>
    </tableStyle>
    <tableStyle name="TableStyleQueryPreview" pivot="0" count="3">
      <tableStyleElement type="wholeTable" dxfId="694"/>
      <tableStyleElement type="headerRow" dxfId="693"/>
      <tableStyleElement type="firstRowStripe" dxfId="692"/>
    </tableStyle>
    <tableStyle name="TableStyleQueryResult" pivot="0" count="3">
      <tableStyleElement type="wholeTable" dxfId="691"/>
      <tableStyleElement type="headerRow" dxfId="690"/>
      <tableStyleElement type="firstRowStripe" dxfId="689"/>
    </tableStyle>
  </tableStyles>
  <colors>
    <mruColors>
      <color rgb="FFFFFFCC"/>
      <color rgb="FFCDC800"/>
      <color rgb="FF004D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27892</xdr:colOff>
      <xdr:row>1</xdr:row>
      <xdr:rowOff>2040</xdr:rowOff>
    </xdr:from>
    <xdr:to>
      <xdr:col>17</xdr:col>
      <xdr:colOff>475419</xdr:colOff>
      <xdr:row>8</xdr:row>
      <xdr:rowOff>175191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Соц. Работник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18106" y="287790"/>
              <a:ext cx="2570242" cy="16835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18368</xdr:colOff>
      <xdr:row>0</xdr:row>
      <xdr:rowOff>279287</xdr:rowOff>
    </xdr:from>
    <xdr:to>
      <xdr:col>23</xdr:col>
      <xdr:colOff>109644</xdr:colOff>
      <xdr:row>7</xdr:row>
      <xdr:rowOff>176894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Признак учет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06904" y="279287"/>
              <a:ext cx="2037097" cy="14896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</xdr:colOff>
      <xdr:row>1</xdr:row>
      <xdr:rowOff>19050</xdr:rowOff>
    </xdr:from>
    <xdr:to>
      <xdr:col>18</xdr:col>
      <xdr:colOff>204107</xdr:colOff>
      <xdr:row>9</xdr:row>
      <xdr:rowOff>136071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Соц. Работник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94296" y="304800"/>
              <a:ext cx="2798990" cy="18315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5443</xdr:rowOff>
    </xdr:from>
    <xdr:to>
      <xdr:col>17</xdr:col>
      <xdr:colOff>209209</xdr:colOff>
      <xdr:row>9</xdr:row>
      <xdr:rowOff>11906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Соц. Работник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76607" y="291193"/>
              <a:ext cx="2331923" cy="17209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tv2" refreshedDate="45378.418299537036" missingItemsLimit="0" createdVersion="5" refreshedVersion="5" minRefreshableVersion="3" recordCount="38">
  <cacheSource type="external" connectionId="5"/>
  <cacheFields count="5">
    <cacheField name="Соц. Работник" numFmtId="0">
      <sharedItems count="1">
        <s v="ФИО Соц. работника"/>
      </sharedItems>
    </cacheField>
    <cacheField name="Получатели ФИО" numFmtId="0">
      <sharedItems count="1">
        <s v="ФИО Получателя"/>
      </sharedItems>
    </cacheField>
    <cacheField name="Признак учета" numFmtId="0">
      <sharedItems count="1">
        <s v="На учете"/>
      </sharedItems>
    </cacheField>
    <cacheField name="Услуги" numFmtId="0">
      <sharedItems count="38">
        <s v="Итого"/>
        <s v="Среднее кол-во услуг на 1 получ. Усл.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tv2" refreshedDate="45378.418938657407" missingItemsLimit="0" createdVersion="5" refreshedVersion="5" minRefreshableVersion="3" recordCount="38">
  <cacheSource type="external" connectionId="7"/>
  <cacheFields count="4">
    <cacheField name="Соц. Работник" numFmtId="0">
      <sharedItems count="1">
        <s v="ФИО Соц. работника"/>
      </sharedItems>
    </cacheField>
    <cacheField name="Получатели ФИО" numFmtId="0">
      <sharedItems count="1">
        <s v="ФИО Получателя"/>
      </sharedItems>
    </cacheField>
    <cacheField name="Услуги" numFmtId="0">
      <sharedItems count="38">
        <s v="Итого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tv2" refreshedDate="45378.419028587959" missingItemsLimit="0" createdVersion="5" refreshedVersion="5" minRefreshableVersion="3" recordCount="38">
  <cacheSource type="external" connectionId="3"/>
  <cacheFields count="4">
    <cacheField name="Соц. Работник" numFmtId="0">
      <sharedItems count="1">
        <s v="ФИО Соц. работника"/>
      </sharedItems>
    </cacheField>
    <cacheField name="Получатели ФИО" numFmtId="0">
      <sharedItems count="1">
        <s v="ФИО Получателя"/>
      </sharedItems>
    </cacheField>
    <cacheField name="Услуги" numFmtId="0">
      <sharedItems count="38">
        <s v="Итого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  <x v="0"/>
  </r>
  <r>
    <x v="0"/>
    <x v="0"/>
    <x v="0"/>
    <x v="1"/>
    <x v="0"/>
  </r>
  <r>
    <x v="0"/>
    <x v="0"/>
    <x v="0"/>
    <x v="2"/>
    <x v="0"/>
  </r>
  <r>
    <x v="0"/>
    <x v="0"/>
    <x v="0"/>
    <x v="3"/>
    <x v="0"/>
  </r>
  <r>
    <x v="0"/>
    <x v="0"/>
    <x v="0"/>
    <x v="4"/>
    <x v="0"/>
  </r>
  <r>
    <x v="0"/>
    <x v="0"/>
    <x v="0"/>
    <x v="5"/>
    <x v="0"/>
  </r>
  <r>
    <x v="0"/>
    <x v="0"/>
    <x v="0"/>
    <x v="6"/>
    <x v="0"/>
  </r>
  <r>
    <x v="0"/>
    <x v="0"/>
    <x v="0"/>
    <x v="7"/>
    <x v="0"/>
  </r>
  <r>
    <x v="0"/>
    <x v="0"/>
    <x v="0"/>
    <x v="8"/>
    <x v="0"/>
  </r>
  <r>
    <x v="0"/>
    <x v="0"/>
    <x v="0"/>
    <x v="9"/>
    <x v="0"/>
  </r>
  <r>
    <x v="0"/>
    <x v="0"/>
    <x v="0"/>
    <x v="10"/>
    <x v="0"/>
  </r>
  <r>
    <x v="0"/>
    <x v="0"/>
    <x v="0"/>
    <x v="11"/>
    <x v="0"/>
  </r>
  <r>
    <x v="0"/>
    <x v="0"/>
    <x v="0"/>
    <x v="12"/>
    <x v="0"/>
  </r>
  <r>
    <x v="0"/>
    <x v="0"/>
    <x v="0"/>
    <x v="13"/>
    <x v="0"/>
  </r>
  <r>
    <x v="0"/>
    <x v="0"/>
    <x v="0"/>
    <x v="14"/>
    <x v="0"/>
  </r>
  <r>
    <x v="0"/>
    <x v="0"/>
    <x v="0"/>
    <x v="15"/>
    <x v="0"/>
  </r>
  <r>
    <x v="0"/>
    <x v="0"/>
    <x v="0"/>
    <x v="16"/>
    <x v="0"/>
  </r>
  <r>
    <x v="0"/>
    <x v="0"/>
    <x v="0"/>
    <x v="17"/>
    <x v="0"/>
  </r>
  <r>
    <x v="0"/>
    <x v="0"/>
    <x v="0"/>
    <x v="18"/>
    <x v="0"/>
  </r>
  <r>
    <x v="0"/>
    <x v="0"/>
    <x v="0"/>
    <x v="19"/>
    <x v="0"/>
  </r>
  <r>
    <x v="0"/>
    <x v="0"/>
    <x v="0"/>
    <x v="20"/>
    <x v="0"/>
  </r>
  <r>
    <x v="0"/>
    <x v="0"/>
    <x v="0"/>
    <x v="21"/>
    <x v="0"/>
  </r>
  <r>
    <x v="0"/>
    <x v="0"/>
    <x v="0"/>
    <x v="22"/>
    <x v="0"/>
  </r>
  <r>
    <x v="0"/>
    <x v="0"/>
    <x v="0"/>
    <x v="23"/>
    <x v="0"/>
  </r>
  <r>
    <x v="0"/>
    <x v="0"/>
    <x v="0"/>
    <x v="24"/>
    <x v="0"/>
  </r>
  <r>
    <x v="0"/>
    <x v="0"/>
    <x v="0"/>
    <x v="25"/>
    <x v="0"/>
  </r>
  <r>
    <x v="0"/>
    <x v="0"/>
    <x v="0"/>
    <x v="26"/>
    <x v="0"/>
  </r>
  <r>
    <x v="0"/>
    <x v="0"/>
    <x v="0"/>
    <x v="27"/>
    <x v="0"/>
  </r>
  <r>
    <x v="0"/>
    <x v="0"/>
    <x v="0"/>
    <x v="28"/>
    <x v="0"/>
  </r>
  <r>
    <x v="0"/>
    <x v="0"/>
    <x v="0"/>
    <x v="29"/>
    <x v="0"/>
  </r>
  <r>
    <x v="0"/>
    <x v="0"/>
    <x v="0"/>
    <x v="30"/>
    <x v="0"/>
  </r>
  <r>
    <x v="0"/>
    <x v="0"/>
    <x v="0"/>
    <x v="31"/>
    <x v="0"/>
  </r>
  <r>
    <x v="0"/>
    <x v="0"/>
    <x v="0"/>
    <x v="32"/>
    <x v="0"/>
  </r>
  <r>
    <x v="0"/>
    <x v="0"/>
    <x v="0"/>
    <x v="33"/>
    <x v="0"/>
  </r>
  <r>
    <x v="0"/>
    <x v="0"/>
    <x v="0"/>
    <x v="34"/>
    <x v="0"/>
  </r>
  <r>
    <x v="0"/>
    <x v="0"/>
    <x v="0"/>
    <x v="35"/>
    <x v="0"/>
  </r>
  <r>
    <x v="0"/>
    <x v="0"/>
    <x v="0"/>
    <x v="36"/>
    <x v="0"/>
  </r>
  <r>
    <x v="0"/>
    <x v="0"/>
    <x v="0"/>
    <x v="37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МесяцыСводная" cacheId="7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11:AN14" firstHeaderRow="1" firstDataRow="2" firstDataCol="2"/>
  <pivotFields count="5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compact="0" outline="0" showAll="0" defaultSubtotal="0">
      <items count="1">
        <item x="0"/>
      </items>
    </pivotField>
    <pivotField axis="axisCol" compact="0" outline="0" showAll="0">
      <items count="39"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3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4" baseField="1" baseItem="1"/>
  </dataFields>
  <formats count="446">
    <format dxfId="681">
      <pivotArea type="all" dataOnly="0" outline="0" fieldPosition="0"/>
    </format>
    <format dxfId="680">
      <pivotArea type="all" dataOnly="0" outline="0" fieldPosition="0"/>
    </format>
    <format dxfId="679">
      <pivotArea type="all" dataOnly="0" outline="0" fieldPosition="0"/>
    </format>
    <format dxfId="678">
      <pivotArea type="all" dataOnly="0" outline="0" fieldPosition="0"/>
    </format>
    <format dxfId="677">
      <pivotArea dataOnly="0" labelOnly="1" outline="0" fieldPosition="0">
        <references count="1">
          <reference field="0" count="0"/>
        </references>
      </pivotArea>
    </format>
    <format dxfId="676">
      <pivotArea dataOnly="0" labelOnly="1" outline="0" fieldPosition="0">
        <references count="1">
          <reference field="0" count="0" defaultSubtotal="1"/>
        </references>
      </pivotArea>
    </format>
    <format dxfId="675">
      <pivotArea dataOnly="0" labelOnly="1" grandRow="1" outline="0" fieldPosition="0"/>
    </format>
    <format dxfId="674">
      <pivotArea dataOnly="0" labelOnly="1" outline="0" fieldPosition="0">
        <references count="1">
          <reference field="0" count="0"/>
        </references>
      </pivotArea>
    </format>
    <format dxfId="673">
      <pivotArea dataOnly="0" labelOnly="1" outline="0" fieldPosition="0">
        <references count="1">
          <reference field="0" count="0" defaultSubtotal="1"/>
        </references>
      </pivotArea>
    </format>
    <format dxfId="672">
      <pivotArea dataOnly="0" labelOnly="1" grandRow="1" outline="0" fieldPosition="0"/>
    </format>
    <format dxfId="671">
      <pivotArea type="all" dataOnly="0" outline="0" fieldPosition="0"/>
    </format>
    <format dxfId="670">
      <pivotArea dataOnly="0" labelOnly="1" outline="0" fieldPosition="0">
        <references count="1">
          <reference field="3" count="0"/>
        </references>
      </pivotArea>
    </format>
    <format dxfId="669">
      <pivotArea dataOnly="0" outline="0" fieldPosition="0">
        <references count="1">
          <reference field="3" count="1">
            <x v="2"/>
          </reference>
        </references>
      </pivotArea>
    </format>
    <format dxfId="668">
      <pivotArea dataOnly="0" labelOnly="1" outline="0" fieldPosition="0">
        <references count="1">
          <reference field="3" count="0"/>
        </references>
      </pivotArea>
    </format>
    <format dxfId="667">
      <pivotArea dataOnly="0" labelOnly="1" outline="0" fieldPosition="0">
        <references count="1">
          <reference field="3" count="1">
            <x v="1"/>
          </reference>
        </references>
      </pivotArea>
    </format>
    <format dxfId="666">
      <pivotArea dataOnly="0" labelOnly="1" outline="0" fieldPosition="0">
        <references count="1">
          <reference field="3" count="1">
            <x v="1"/>
          </reference>
        </references>
      </pivotArea>
    </format>
    <format dxfId="665">
      <pivotArea type="all" dataOnly="0" outline="0" fieldPosition="0"/>
    </format>
    <format dxfId="664">
      <pivotArea outline="0" collapsedLevelsAreSubtotals="1" fieldPosition="0"/>
    </format>
    <format dxfId="663">
      <pivotArea dataOnly="0" labelOnly="1" outline="0" fieldPosition="0">
        <references count="1">
          <reference field="0" count="0"/>
        </references>
      </pivotArea>
    </format>
    <format dxfId="662">
      <pivotArea dataOnly="0" labelOnly="1" grandRow="1" outline="0" fieldPosition="0"/>
    </format>
    <format dxfId="661">
      <pivotArea dataOnly="0" labelOnly="1" outline="0" fieldPosition="0">
        <references count="1">
          <reference field="3" count="0"/>
        </references>
      </pivotArea>
    </format>
    <format dxfId="660">
      <pivotArea type="all" dataOnly="0" outline="0" fieldPosition="0"/>
    </format>
    <format dxfId="659">
      <pivotArea outline="0" collapsedLevelsAreSubtotals="1" fieldPosition="0"/>
    </format>
    <format dxfId="658">
      <pivotArea dataOnly="0" labelOnly="1" outline="0" fieldPosition="0">
        <references count="1">
          <reference field="0" count="0"/>
        </references>
      </pivotArea>
    </format>
    <format dxfId="657">
      <pivotArea dataOnly="0" labelOnly="1" grandRow="1" outline="0" fieldPosition="0"/>
    </format>
    <format dxfId="656">
      <pivotArea dataOnly="0" labelOnly="1" outline="0" fieldPosition="0">
        <references count="1">
          <reference field="3" count="0"/>
        </references>
      </pivotArea>
    </format>
    <format dxfId="655">
      <pivotArea type="all" dataOnly="0" outline="0" fieldPosition="0"/>
    </format>
    <format dxfId="654">
      <pivotArea outline="0" collapsedLevelsAreSubtotals="1" fieldPosition="0"/>
    </format>
    <format dxfId="653">
      <pivotArea dataOnly="0" labelOnly="1" outline="0" fieldPosition="0">
        <references count="1">
          <reference field="0" count="0"/>
        </references>
      </pivotArea>
    </format>
    <format dxfId="652">
      <pivotArea dataOnly="0" labelOnly="1" grandRow="1" outline="0" fieldPosition="0"/>
    </format>
    <format dxfId="651">
      <pivotArea dataOnly="0" labelOnly="1" outline="0" fieldPosition="0">
        <references count="1">
          <reference field="3" count="0"/>
        </references>
      </pivotArea>
    </format>
    <format dxfId="650">
      <pivotArea type="all" dataOnly="0" outline="0" fieldPosition="0"/>
    </format>
    <format dxfId="649">
      <pivotArea outline="0" collapsedLevelsAreSubtotals="1" fieldPosition="0"/>
    </format>
    <format dxfId="648">
      <pivotArea dataOnly="0" labelOnly="1" outline="0" fieldPosition="0">
        <references count="1">
          <reference field="0" count="0"/>
        </references>
      </pivotArea>
    </format>
    <format dxfId="647">
      <pivotArea dataOnly="0" labelOnly="1" grandRow="1" outline="0" fieldPosition="0"/>
    </format>
    <format dxfId="646">
      <pivotArea dataOnly="0" labelOnly="1" outline="0" fieldPosition="0">
        <references count="1">
          <reference field="3" count="0"/>
        </references>
      </pivotArea>
    </format>
    <format dxfId="645">
      <pivotArea type="all" dataOnly="0" outline="0" fieldPosition="0"/>
    </format>
    <format dxfId="644">
      <pivotArea outline="0" collapsedLevelsAreSubtotals="1" fieldPosition="0"/>
    </format>
    <format dxfId="643">
      <pivotArea dataOnly="0" labelOnly="1" outline="0" fieldPosition="0">
        <references count="1">
          <reference field="0" count="0"/>
        </references>
      </pivotArea>
    </format>
    <format dxfId="642">
      <pivotArea dataOnly="0" labelOnly="1" grandRow="1" outline="0" fieldPosition="0"/>
    </format>
    <format dxfId="641">
      <pivotArea dataOnly="0" labelOnly="1" outline="0" fieldPosition="0">
        <references count="1">
          <reference field="3" count="0"/>
        </references>
      </pivotArea>
    </format>
    <format dxfId="640">
      <pivotArea type="all" dataOnly="0" outline="0" fieldPosition="0"/>
    </format>
    <format dxfId="639">
      <pivotArea outline="0" collapsedLevelsAreSubtotals="1" fieldPosition="0"/>
    </format>
    <format dxfId="638">
      <pivotArea dataOnly="0" labelOnly="1" outline="0" fieldPosition="0">
        <references count="1">
          <reference field="0" count="0"/>
        </references>
      </pivotArea>
    </format>
    <format dxfId="637">
      <pivotArea dataOnly="0" labelOnly="1" grandRow="1" outline="0" fieldPosition="0"/>
    </format>
    <format dxfId="636">
      <pivotArea dataOnly="0" labelOnly="1" outline="0" fieldPosition="0">
        <references count="1">
          <reference field="3" count="0"/>
        </references>
      </pivotArea>
    </format>
    <format dxfId="635">
      <pivotArea type="all" dataOnly="0" outline="0" fieldPosition="0"/>
    </format>
    <format dxfId="634">
      <pivotArea outline="0" collapsedLevelsAreSubtotals="1" fieldPosition="0"/>
    </format>
    <format dxfId="633">
      <pivotArea dataOnly="0" labelOnly="1" outline="0" fieldPosition="0">
        <references count="1">
          <reference field="0" count="0"/>
        </references>
      </pivotArea>
    </format>
    <format dxfId="632">
      <pivotArea dataOnly="0" labelOnly="1" grandRow="1" outline="0" fieldPosition="0"/>
    </format>
    <format dxfId="631">
      <pivotArea dataOnly="0" labelOnly="1" outline="0" fieldPosition="0">
        <references count="1">
          <reference field="3" count="0"/>
        </references>
      </pivotArea>
    </format>
    <format dxfId="630">
      <pivotArea grandRow="1" outline="0" collapsedLevelsAreSubtotals="1" fieldPosition="0"/>
    </format>
    <format dxfId="629">
      <pivotArea dataOnly="0" labelOnly="1" grandRow="1" outline="0" fieldPosition="0"/>
    </format>
    <format dxfId="628">
      <pivotArea field="3" grandRow="1" outline="0" collapsedLevelsAreSubtotals="1" axis="axisCol" fieldPosition="0">
        <references count="1">
          <reference field="3" count="1" selected="0">
            <x v="16"/>
          </reference>
        </references>
      </pivotArea>
    </format>
    <format dxfId="627">
      <pivotArea type="all" dataOnly="0" outline="0" fieldPosition="0"/>
    </format>
    <format dxfId="626">
      <pivotArea outline="0" collapsedLevelsAreSubtotals="1" fieldPosition="0"/>
    </format>
    <format dxfId="625">
      <pivotArea dataOnly="0" labelOnly="1" outline="0" fieldPosition="0">
        <references count="1">
          <reference field="0" count="0"/>
        </references>
      </pivotArea>
    </format>
    <format dxfId="624">
      <pivotArea dataOnly="0" labelOnly="1" grandRow="1" outline="0" fieldPosition="0"/>
    </format>
    <format dxfId="623">
      <pivotArea dataOnly="0" labelOnly="1" outline="0" fieldPosition="0">
        <references count="1">
          <reference field="3" count="0"/>
        </references>
      </pivotArea>
    </format>
    <format dxfId="622">
      <pivotArea type="all" dataOnly="0" outline="0" fieldPosition="0"/>
    </format>
    <format dxfId="621">
      <pivotArea outline="0" collapsedLevelsAreSubtotals="1" fieldPosition="0"/>
    </format>
    <format dxfId="620">
      <pivotArea dataOnly="0" labelOnly="1" outline="0" fieldPosition="0">
        <references count="1">
          <reference field="0" count="0"/>
        </references>
      </pivotArea>
    </format>
    <format dxfId="619">
      <pivotArea dataOnly="0" labelOnly="1" grandRow="1" outline="0" fieldPosition="0"/>
    </format>
    <format dxfId="618">
      <pivotArea dataOnly="0" labelOnly="1" outline="0" fieldPosition="0">
        <references count="1">
          <reference field="3" count="0"/>
        </references>
      </pivotArea>
    </format>
    <format dxfId="617">
      <pivotArea dataOnly="0" labelOnly="1" outline="0" fieldPosition="0">
        <references count="1">
          <reference field="3" count="0"/>
        </references>
      </pivotArea>
    </format>
    <format dxfId="616">
      <pivotArea dataOnly="0" labelOnly="1" outline="0" fieldPosition="0">
        <references count="1">
          <reference field="3" count="1">
            <x v="6"/>
          </reference>
        </references>
      </pivotArea>
    </format>
    <format dxfId="615">
      <pivotArea type="all" dataOnly="0" outline="0" fieldPosition="0"/>
    </format>
    <format dxfId="614">
      <pivotArea outline="0" collapsedLevelsAreSubtotals="1" fieldPosition="0"/>
    </format>
    <format dxfId="613">
      <pivotArea dataOnly="0" labelOnly="1" outline="0" fieldPosition="0">
        <references count="1">
          <reference field="0" count="0"/>
        </references>
      </pivotArea>
    </format>
    <format dxfId="612">
      <pivotArea dataOnly="0" labelOnly="1" grandRow="1" outline="0" fieldPosition="0"/>
    </format>
    <format dxfId="611">
      <pivotArea dataOnly="0" labelOnly="1" outline="0" fieldPosition="0">
        <references count="1">
          <reference field="3" count="0"/>
        </references>
      </pivotArea>
    </format>
    <format dxfId="610">
      <pivotArea type="all" dataOnly="0" outline="0" fieldPosition="0"/>
    </format>
    <format dxfId="609">
      <pivotArea outline="0" collapsedLevelsAreSubtotals="1" fieldPosition="0"/>
    </format>
    <format dxfId="608">
      <pivotArea dataOnly="0" labelOnly="1" outline="0" fieldPosition="0">
        <references count="1">
          <reference field="0" count="0"/>
        </references>
      </pivotArea>
    </format>
    <format dxfId="607">
      <pivotArea dataOnly="0" labelOnly="1" grandRow="1" outline="0" fieldPosition="0"/>
    </format>
    <format dxfId="606">
      <pivotArea dataOnly="0" labelOnly="1" outline="0" fieldPosition="0">
        <references count="1">
          <reference field="3" count="0"/>
        </references>
      </pivotArea>
    </format>
    <format dxfId="605">
      <pivotArea type="all" dataOnly="0" outline="0" fieldPosition="0"/>
    </format>
    <format dxfId="604">
      <pivotArea outline="0" collapsedLevelsAreSubtotals="1" fieldPosition="0"/>
    </format>
    <format dxfId="603">
      <pivotArea dataOnly="0" labelOnly="1" outline="0" fieldPosition="0">
        <references count="1">
          <reference field="0" count="0"/>
        </references>
      </pivotArea>
    </format>
    <format dxfId="602">
      <pivotArea dataOnly="0" labelOnly="1" grandRow="1" outline="0" fieldPosition="0"/>
    </format>
    <format dxfId="601">
      <pivotArea dataOnly="0" labelOnly="1" outline="0" fieldPosition="0">
        <references count="1">
          <reference field="3" count="0"/>
        </references>
      </pivotArea>
    </format>
    <format dxfId="600">
      <pivotArea type="all" dataOnly="0" outline="0" fieldPosition="0"/>
    </format>
    <format dxfId="599">
      <pivotArea outline="0" collapsedLevelsAreSubtotals="1" fieldPosition="0"/>
    </format>
    <format dxfId="598">
      <pivotArea dataOnly="0" labelOnly="1" outline="0" fieldPosition="0">
        <references count="1">
          <reference field="0" count="0"/>
        </references>
      </pivotArea>
    </format>
    <format dxfId="597">
      <pivotArea dataOnly="0" labelOnly="1" grandRow="1" outline="0" fieldPosition="0"/>
    </format>
    <format dxfId="596">
      <pivotArea dataOnly="0" labelOnly="1" outline="0" fieldPosition="0">
        <references count="1">
          <reference field="3" count="0"/>
        </references>
      </pivotArea>
    </format>
    <format dxfId="595">
      <pivotArea type="all" dataOnly="0" outline="0" fieldPosition="0"/>
    </format>
    <format dxfId="594">
      <pivotArea outline="0" collapsedLevelsAreSubtotals="1" fieldPosition="0"/>
    </format>
    <format dxfId="593">
      <pivotArea dataOnly="0" labelOnly="1" outline="0" fieldPosition="0">
        <references count="1">
          <reference field="0" count="0"/>
        </references>
      </pivotArea>
    </format>
    <format dxfId="592">
      <pivotArea dataOnly="0" labelOnly="1" grandRow="1" outline="0" fieldPosition="0"/>
    </format>
    <format dxfId="591">
      <pivotArea dataOnly="0" labelOnly="1" outline="0" fieldPosition="0">
        <references count="1">
          <reference field="3" count="0"/>
        </references>
      </pivotArea>
    </format>
    <format dxfId="590">
      <pivotArea type="all" dataOnly="0" outline="0" fieldPosition="0"/>
    </format>
    <format dxfId="589">
      <pivotArea outline="0" collapsedLevelsAreSubtotals="1" fieldPosition="0"/>
    </format>
    <format dxfId="588">
      <pivotArea dataOnly="0" labelOnly="1" outline="0" fieldPosition="0">
        <references count="1">
          <reference field="0" count="0"/>
        </references>
      </pivotArea>
    </format>
    <format dxfId="587">
      <pivotArea dataOnly="0" labelOnly="1" grandRow="1" outline="0" fieldPosition="0"/>
    </format>
    <format dxfId="586">
      <pivotArea dataOnly="0" labelOnly="1" outline="0" fieldPosition="0">
        <references count="1">
          <reference field="3" count="0"/>
        </references>
      </pivotArea>
    </format>
    <format dxfId="585">
      <pivotArea type="all" dataOnly="0" outline="0" fieldPosition="0"/>
    </format>
    <format dxfId="584">
      <pivotArea outline="0" collapsedLevelsAreSubtotals="1" fieldPosition="0"/>
    </format>
    <format dxfId="583">
      <pivotArea dataOnly="0" labelOnly="1" outline="0" fieldPosition="0">
        <references count="1">
          <reference field="0" count="0"/>
        </references>
      </pivotArea>
    </format>
    <format dxfId="582">
      <pivotArea dataOnly="0" labelOnly="1" grandRow="1" outline="0" fieldPosition="0"/>
    </format>
    <format dxfId="581">
      <pivotArea dataOnly="0" labelOnly="1" outline="0" fieldPosition="0">
        <references count="1">
          <reference field="3" count="0"/>
        </references>
      </pivotArea>
    </format>
    <format dxfId="580">
      <pivotArea type="all" dataOnly="0" outline="0" fieldPosition="0"/>
    </format>
    <format dxfId="579">
      <pivotArea outline="0" collapsedLevelsAreSubtotals="1" fieldPosition="0"/>
    </format>
    <format dxfId="578">
      <pivotArea dataOnly="0" labelOnly="1" outline="0" fieldPosition="0">
        <references count="1">
          <reference field="0" count="0"/>
        </references>
      </pivotArea>
    </format>
    <format dxfId="577">
      <pivotArea dataOnly="0" labelOnly="1" grandRow="1" outline="0" fieldPosition="0"/>
    </format>
    <format dxfId="576">
      <pivotArea dataOnly="0" labelOnly="1" outline="0" fieldPosition="0">
        <references count="1">
          <reference field="3" count="0"/>
        </references>
      </pivotArea>
    </format>
    <format dxfId="575">
      <pivotArea type="all" dataOnly="0" outline="0" fieldPosition="0"/>
    </format>
    <format dxfId="574">
      <pivotArea outline="0" collapsedLevelsAreSubtotals="1" fieldPosition="0"/>
    </format>
    <format dxfId="573">
      <pivotArea dataOnly="0" labelOnly="1" outline="0" fieldPosition="0">
        <references count="1">
          <reference field="0" count="0"/>
        </references>
      </pivotArea>
    </format>
    <format dxfId="572">
      <pivotArea dataOnly="0" labelOnly="1" grandRow="1" outline="0" fieldPosition="0"/>
    </format>
    <format dxfId="571">
      <pivotArea dataOnly="0" labelOnly="1" outline="0" fieldPosition="0">
        <references count="1">
          <reference field="3" count="0"/>
        </references>
      </pivotArea>
    </format>
    <format dxfId="570">
      <pivotArea type="all" dataOnly="0" outline="0" fieldPosition="0"/>
    </format>
    <format dxfId="569">
      <pivotArea outline="0" collapsedLevelsAreSubtotals="1" fieldPosition="0"/>
    </format>
    <format dxfId="568">
      <pivotArea dataOnly="0" labelOnly="1" outline="0" fieldPosition="0">
        <references count="1">
          <reference field="0" count="0"/>
        </references>
      </pivotArea>
    </format>
    <format dxfId="567">
      <pivotArea dataOnly="0" labelOnly="1" grandRow="1" outline="0" fieldPosition="0"/>
    </format>
    <format dxfId="566">
      <pivotArea dataOnly="0" labelOnly="1" outline="0" fieldPosition="0">
        <references count="1">
          <reference field="3" count="0"/>
        </references>
      </pivotArea>
    </format>
    <format dxfId="565">
      <pivotArea type="all" dataOnly="0" outline="0" fieldPosition="0"/>
    </format>
    <format dxfId="564">
      <pivotArea outline="0" collapsedLevelsAreSubtotals="1" fieldPosition="0"/>
    </format>
    <format dxfId="563">
      <pivotArea dataOnly="0" labelOnly="1" outline="0" fieldPosition="0">
        <references count="1">
          <reference field="0" count="0"/>
        </references>
      </pivotArea>
    </format>
    <format dxfId="562">
      <pivotArea dataOnly="0" labelOnly="1" grandRow="1" outline="0" fieldPosition="0"/>
    </format>
    <format dxfId="561">
      <pivotArea dataOnly="0" labelOnly="1" outline="0" fieldPosition="0">
        <references count="1">
          <reference field="3" count="0"/>
        </references>
      </pivotArea>
    </format>
    <format dxfId="560">
      <pivotArea type="all" dataOnly="0" outline="0" fieldPosition="0"/>
    </format>
    <format dxfId="559">
      <pivotArea outline="0" collapsedLevelsAreSubtotals="1" fieldPosition="0"/>
    </format>
    <format dxfId="558">
      <pivotArea dataOnly="0" labelOnly="1" outline="0" fieldPosition="0">
        <references count="1">
          <reference field="0" count="0"/>
        </references>
      </pivotArea>
    </format>
    <format dxfId="557">
      <pivotArea dataOnly="0" labelOnly="1" grandRow="1" outline="0" fieldPosition="0"/>
    </format>
    <format dxfId="556">
      <pivotArea dataOnly="0" labelOnly="1" outline="0" fieldPosition="0">
        <references count="1">
          <reference field="3" count="0"/>
        </references>
      </pivotArea>
    </format>
    <format dxfId="555">
      <pivotArea type="all" dataOnly="0" outline="0" fieldPosition="0"/>
    </format>
    <format dxfId="554">
      <pivotArea outline="0" collapsedLevelsAreSubtotals="1" fieldPosition="0"/>
    </format>
    <format dxfId="553">
      <pivotArea dataOnly="0" labelOnly="1" outline="0" fieldPosition="0">
        <references count="1">
          <reference field="0" count="0"/>
        </references>
      </pivotArea>
    </format>
    <format dxfId="552">
      <pivotArea dataOnly="0" labelOnly="1" grandRow="1" outline="0" fieldPosition="0"/>
    </format>
    <format dxfId="551">
      <pivotArea dataOnly="0" labelOnly="1" outline="0" fieldPosition="0">
        <references count="1">
          <reference field="3" count="0"/>
        </references>
      </pivotArea>
    </format>
    <format dxfId="550">
      <pivotArea type="all" dataOnly="0" outline="0" fieldPosition="0"/>
    </format>
    <format dxfId="549">
      <pivotArea outline="0" collapsedLevelsAreSubtotals="1" fieldPosition="0"/>
    </format>
    <format dxfId="548">
      <pivotArea dataOnly="0" labelOnly="1" outline="0" fieldPosition="0">
        <references count="1">
          <reference field="0" count="0"/>
        </references>
      </pivotArea>
    </format>
    <format dxfId="547">
      <pivotArea dataOnly="0" labelOnly="1" grandRow="1" outline="0" fieldPosition="0"/>
    </format>
    <format dxfId="546">
      <pivotArea dataOnly="0" labelOnly="1" outline="0" fieldPosition="0">
        <references count="1">
          <reference field="3" count="0"/>
        </references>
      </pivotArea>
    </format>
    <format dxfId="545">
      <pivotArea type="all" dataOnly="0" outline="0" fieldPosition="0"/>
    </format>
    <format dxfId="544">
      <pivotArea outline="0" collapsedLevelsAreSubtotals="1" fieldPosition="0"/>
    </format>
    <format dxfId="543">
      <pivotArea dataOnly="0" labelOnly="1" outline="0" fieldPosition="0">
        <references count="1">
          <reference field="0" count="0"/>
        </references>
      </pivotArea>
    </format>
    <format dxfId="542">
      <pivotArea dataOnly="0" labelOnly="1" grandRow="1" outline="0" fieldPosition="0"/>
    </format>
    <format dxfId="541">
      <pivotArea dataOnly="0" labelOnly="1" outline="0" fieldPosition="0">
        <references count="1">
          <reference field="3" count="0"/>
        </references>
      </pivotArea>
    </format>
    <format dxfId="540">
      <pivotArea type="all" dataOnly="0" outline="0" fieldPosition="0"/>
    </format>
    <format dxfId="539">
      <pivotArea outline="0" collapsedLevelsAreSubtotals="1" fieldPosition="0"/>
    </format>
    <format dxfId="538">
      <pivotArea dataOnly="0" labelOnly="1" outline="0" fieldPosition="0">
        <references count="1">
          <reference field="0" count="0"/>
        </references>
      </pivotArea>
    </format>
    <format dxfId="537">
      <pivotArea dataOnly="0" labelOnly="1" grandRow="1" outline="0" fieldPosition="0"/>
    </format>
    <format dxfId="536">
      <pivotArea dataOnly="0" labelOnly="1" outline="0" fieldPosition="0">
        <references count="1">
          <reference field="3" count="0"/>
        </references>
      </pivotArea>
    </format>
    <format dxfId="535">
      <pivotArea type="all" dataOnly="0" outline="0" fieldPosition="0"/>
    </format>
    <format dxfId="534">
      <pivotArea outline="0" collapsedLevelsAreSubtotals="1" fieldPosition="0"/>
    </format>
    <format dxfId="533">
      <pivotArea dataOnly="0" labelOnly="1" outline="0" fieldPosition="0">
        <references count="1">
          <reference field="0" count="0"/>
        </references>
      </pivotArea>
    </format>
    <format dxfId="532">
      <pivotArea dataOnly="0" labelOnly="1" grandRow="1" outline="0" fieldPosition="0"/>
    </format>
    <format dxfId="531">
      <pivotArea dataOnly="0" labelOnly="1" outline="0" fieldPosition="0">
        <references count="1">
          <reference field="3" count="0"/>
        </references>
      </pivotArea>
    </format>
    <format dxfId="530">
      <pivotArea type="all" dataOnly="0" outline="0" fieldPosition="0"/>
    </format>
    <format dxfId="529">
      <pivotArea outline="0" collapsedLevelsAreSubtotals="1" fieldPosition="0"/>
    </format>
    <format dxfId="528">
      <pivotArea dataOnly="0" labelOnly="1" outline="0" fieldPosition="0">
        <references count="1">
          <reference field="0" count="0"/>
        </references>
      </pivotArea>
    </format>
    <format dxfId="527">
      <pivotArea dataOnly="0" labelOnly="1" grandRow="1" outline="0" fieldPosition="0"/>
    </format>
    <format dxfId="526">
      <pivotArea dataOnly="0" labelOnly="1" outline="0" fieldPosition="0">
        <references count="1">
          <reference field="3" count="0"/>
        </references>
      </pivotArea>
    </format>
    <format dxfId="525">
      <pivotArea type="all" dataOnly="0" outline="0" fieldPosition="0"/>
    </format>
    <format dxfId="524">
      <pivotArea outline="0" collapsedLevelsAreSubtotals="1" fieldPosition="0"/>
    </format>
    <format dxfId="523">
      <pivotArea dataOnly="0" labelOnly="1" outline="0" fieldPosition="0">
        <references count="1">
          <reference field="0" count="0"/>
        </references>
      </pivotArea>
    </format>
    <format dxfId="522">
      <pivotArea dataOnly="0" labelOnly="1" grandRow="1" outline="0" fieldPosition="0"/>
    </format>
    <format dxfId="521">
      <pivotArea dataOnly="0" labelOnly="1" outline="0" fieldPosition="0">
        <references count="1">
          <reference field="3" count="0"/>
        </references>
      </pivotArea>
    </format>
    <format dxfId="520">
      <pivotArea type="all" dataOnly="0" outline="0" fieldPosition="0"/>
    </format>
    <format dxfId="519">
      <pivotArea outline="0" collapsedLevelsAreSubtotals="1" fieldPosition="0"/>
    </format>
    <format dxfId="518">
      <pivotArea dataOnly="0" labelOnly="1" outline="0" fieldPosition="0">
        <references count="1">
          <reference field="0" count="0"/>
        </references>
      </pivotArea>
    </format>
    <format dxfId="517">
      <pivotArea dataOnly="0" labelOnly="1" grandRow="1" outline="0" fieldPosition="0"/>
    </format>
    <format dxfId="516">
      <pivotArea dataOnly="0" labelOnly="1" outline="0" fieldPosition="0">
        <references count="1">
          <reference field="3" count="0"/>
        </references>
      </pivotArea>
    </format>
    <format dxfId="515">
      <pivotArea type="all" dataOnly="0" outline="0" fieldPosition="0"/>
    </format>
    <format dxfId="514">
      <pivotArea outline="0" collapsedLevelsAreSubtotals="1" fieldPosition="0"/>
    </format>
    <format dxfId="513">
      <pivotArea dataOnly="0" labelOnly="1" outline="0" fieldPosition="0">
        <references count="1">
          <reference field="0" count="0"/>
        </references>
      </pivotArea>
    </format>
    <format dxfId="512">
      <pivotArea dataOnly="0" labelOnly="1" grandRow="1" outline="0" fieldPosition="0"/>
    </format>
    <format dxfId="511">
      <pivotArea dataOnly="0" labelOnly="1" outline="0" fieldPosition="0">
        <references count="1">
          <reference field="3" count="0"/>
        </references>
      </pivotArea>
    </format>
    <format dxfId="510">
      <pivotArea type="all" dataOnly="0" outline="0" fieldPosition="0"/>
    </format>
    <format dxfId="509">
      <pivotArea outline="0" collapsedLevelsAreSubtotals="1" fieldPosition="0"/>
    </format>
    <format dxfId="508">
      <pivotArea dataOnly="0" labelOnly="1" outline="0" fieldPosition="0">
        <references count="1">
          <reference field="0" count="0"/>
        </references>
      </pivotArea>
    </format>
    <format dxfId="507">
      <pivotArea dataOnly="0" labelOnly="1" grandRow="1" outline="0" fieldPosition="0"/>
    </format>
    <format dxfId="506">
      <pivotArea dataOnly="0" labelOnly="1" outline="0" fieldPosition="0">
        <references count="1">
          <reference field="3" count="0"/>
        </references>
      </pivotArea>
    </format>
    <format dxfId="505">
      <pivotArea type="all" dataOnly="0" outline="0" fieldPosition="0"/>
    </format>
    <format dxfId="504">
      <pivotArea outline="0" collapsedLevelsAreSubtotals="1" fieldPosition="0"/>
    </format>
    <format dxfId="503">
      <pivotArea dataOnly="0" labelOnly="1" outline="0" fieldPosition="0">
        <references count="1">
          <reference field="0" count="0"/>
        </references>
      </pivotArea>
    </format>
    <format dxfId="502">
      <pivotArea dataOnly="0" labelOnly="1" grandRow="1" outline="0" fieldPosition="0"/>
    </format>
    <format dxfId="501">
      <pivotArea dataOnly="0" labelOnly="1" outline="0" fieldPosition="0">
        <references count="1">
          <reference field="3" count="0"/>
        </references>
      </pivotArea>
    </format>
    <format dxfId="500">
      <pivotArea grandRow="1" outline="0" collapsedLevelsAreSubtotals="1" fieldPosition="0"/>
    </format>
    <format dxfId="499">
      <pivotArea dataOnly="0" labelOnly="1" grandRow="1" outline="0" fieldPosition="0"/>
    </format>
    <format dxfId="498">
      <pivotArea field="3" grandRow="1" outline="0" collapsedLevelsAreSubtotals="1" axis="axisCol" fieldPosition="0">
        <references count="1">
          <reference field="3" count="1" selected="0">
            <x v="21"/>
          </reference>
        </references>
      </pivotArea>
    </format>
    <format dxfId="497">
      <pivotArea type="all" dataOnly="0" outline="0" fieldPosition="0"/>
    </format>
    <format dxfId="496">
      <pivotArea outline="0" collapsedLevelsAreSubtotals="1" fieldPosition="0"/>
    </format>
    <format dxfId="495">
      <pivotArea dataOnly="0" labelOnly="1" outline="0" fieldPosition="0">
        <references count="1">
          <reference field="0" count="0"/>
        </references>
      </pivotArea>
    </format>
    <format dxfId="494">
      <pivotArea dataOnly="0" labelOnly="1" grandRow="1" outline="0" fieldPosition="0"/>
    </format>
    <format dxfId="493">
      <pivotArea dataOnly="0" labelOnly="1" outline="0" fieldPosition="0">
        <references count="1">
          <reference field="3" count="0"/>
        </references>
      </pivotArea>
    </format>
    <format dxfId="492">
      <pivotArea type="all" dataOnly="0" outline="0" fieldPosition="0"/>
    </format>
    <format dxfId="491">
      <pivotArea outline="0" collapsedLevelsAreSubtotals="1" fieldPosition="0"/>
    </format>
    <format dxfId="490">
      <pivotArea dataOnly="0" labelOnly="1" outline="0" fieldPosition="0">
        <references count="1">
          <reference field="0" count="0"/>
        </references>
      </pivotArea>
    </format>
    <format dxfId="489">
      <pivotArea dataOnly="0" labelOnly="1" grandRow="1" outline="0" fieldPosition="0"/>
    </format>
    <format dxfId="488">
      <pivotArea dataOnly="0" labelOnly="1" outline="0" fieldPosition="0">
        <references count="1">
          <reference field="3" count="0"/>
        </references>
      </pivotArea>
    </format>
    <format dxfId="487">
      <pivotArea type="all" dataOnly="0" outline="0" fieldPosition="0"/>
    </format>
    <format dxfId="486">
      <pivotArea outline="0" collapsedLevelsAreSubtotals="1" fieldPosition="0"/>
    </format>
    <format dxfId="485">
      <pivotArea dataOnly="0" labelOnly="1" outline="0" fieldPosition="0">
        <references count="1">
          <reference field="0" count="0"/>
        </references>
      </pivotArea>
    </format>
    <format dxfId="484">
      <pivotArea dataOnly="0" labelOnly="1" grandRow="1" outline="0" fieldPosition="0"/>
    </format>
    <format dxfId="483">
      <pivotArea dataOnly="0" labelOnly="1" outline="0" fieldPosition="0">
        <references count="1">
          <reference field="3" count="0"/>
        </references>
      </pivotArea>
    </format>
    <format dxfId="482">
      <pivotArea type="all" dataOnly="0" outline="0" fieldPosition="0"/>
    </format>
    <format dxfId="481">
      <pivotArea outline="0" collapsedLevelsAreSubtotals="1" fieldPosition="0"/>
    </format>
    <format dxfId="480">
      <pivotArea dataOnly="0" labelOnly="1" outline="0" fieldPosition="0">
        <references count="1">
          <reference field="0" count="0"/>
        </references>
      </pivotArea>
    </format>
    <format dxfId="479">
      <pivotArea dataOnly="0" labelOnly="1" grandRow="1" outline="0" fieldPosition="0"/>
    </format>
    <format dxfId="478">
      <pivotArea dataOnly="0" labelOnly="1" outline="0" fieldPosition="0">
        <references count="1">
          <reference field="3" count="0"/>
        </references>
      </pivotArea>
    </format>
    <format dxfId="477">
      <pivotArea type="all" dataOnly="0" outline="0" fieldPosition="0"/>
    </format>
    <format dxfId="476">
      <pivotArea outline="0" collapsedLevelsAreSubtotals="1" fieldPosition="0"/>
    </format>
    <format dxfId="475">
      <pivotArea dataOnly="0" labelOnly="1" grandRow="1" outline="0" fieldPosition="0"/>
    </format>
    <format dxfId="474">
      <pivotArea dataOnly="0" labelOnly="1" outline="0" fieldPosition="0">
        <references count="1">
          <reference field="3" count="0"/>
        </references>
      </pivotArea>
    </format>
    <format dxfId="473">
      <pivotArea type="all" dataOnly="0" outline="0" fieldPosition="0"/>
    </format>
    <format dxfId="472">
      <pivotArea outline="0" collapsedLevelsAreSubtotals="1" fieldPosition="0"/>
    </format>
    <format dxfId="471">
      <pivotArea dataOnly="0" labelOnly="1" grandRow="1" outline="0" fieldPosition="0"/>
    </format>
    <format dxfId="470">
      <pivotArea dataOnly="0" labelOnly="1" outline="0" fieldPosition="0">
        <references count="1">
          <reference field="3" count="0"/>
        </references>
      </pivotArea>
    </format>
    <format dxfId="469">
      <pivotArea type="all" dataOnly="0" outline="0" fieldPosition="0"/>
    </format>
    <format dxfId="468">
      <pivotArea outline="0" collapsedLevelsAreSubtotals="1" fieldPosition="0"/>
    </format>
    <format dxfId="467">
      <pivotArea dataOnly="0" labelOnly="1" grandRow="1" outline="0" fieldPosition="0"/>
    </format>
    <format dxfId="466">
      <pivotArea dataOnly="0" labelOnly="1" outline="0" fieldPosition="0">
        <references count="1">
          <reference field="3" count="0"/>
        </references>
      </pivotArea>
    </format>
    <format dxfId="465">
      <pivotArea type="all" dataOnly="0" outline="0" fieldPosition="0"/>
    </format>
    <format dxfId="464">
      <pivotArea outline="0" collapsedLevelsAreSubtotals="1" fieldPosition="0"/>
    </format>
    <format dxfId="463">
      <pivotArea dataOnly="0" labelOnly="1" grandRow="1" outline="0" fieldPosition="0"/>
    </format>
    <format dxfId="462">
      <pivotArea dataOnly="0" labelOnly="1" outline="0" fieldPosition="0">
        <references count="1">
          <reference field="3" count="0"/>
        </references>
      </pivotArea>
    </format>
    <format dxfId="461">
      <pivotArea type="all" dataOnly="0" outline="0" fieldPosition="0"/>
    </format>
    <format dxfId="460">
      <pivotArea outline="0" collapsedLevelsAreSubtotals="1" fieldPosition="0"/>
    </format>
    <format dxfId="459">
      <pivotArea dataOnly="0" labelOnly="1" grandRow="1" outline="0" fieldPosition="0"/>
    </format>
    <format dxfId="458">
      <pivotArea dataOnly="0" labelOnly="1" outline="0" fieldPosition="0">
        <references count="1">
          <reference field="3" count="0"/>
        </references>
      </pivotArea>
    </format>
    <format dxfId="457">
      <pivotArea dataOnly="0" labelOnly="1" outline="0" fieldPosition="0">
        <references count="1">
          <reference field="1" count="0"/>
        </references>
      </pivotArea>
    </format>
    <format dxfId="456">
      <pivotArea dataOnly="0" labelOnly="1" outline="0" fieldPosition="0">
        <references count="1">
          <reference field="1" count="0"/>
        </references>
      </pivotArea>
    </format>
    <format dxfId="455">
      <pivotArea type="all" dataOnly="0" outline="0" fieldPosition="0"/>
    </format>
    <format dxfId="454">
      <pivotArea outline="0" collapsedLevelsAreSubtotals="1" fieldPosition="0"/>
    </format>
    <format dxfId="453">
      <pivotArea dataOnly="0" labelOnly="1" grandRow="1" outline="0" fieldPosition="0"/>
    </format>
    <format dxfId="452">
      <pivotArea dataOnly="0" labelOnly="1" outline="0" fieldPosition="0">
        <references count="1">
          <reference field="3" count="0"/>
        </references>
      </pivotArea>
    </format>
    <format dxfId="451">
      <pivotArea dataOnly="0" labelOnly="1" outline="0" fieldPosition="0">
        <references count="1">
          <reference field="0" count="0"/>
        </references>
      </pivotArea>
    </format>
    <format dxfId="450">
      <pivotArea dataOnly="0" labelOnly="1" outline="0" fieldPosition="0">
        <references count="1">
          <reference field="0" count="0"/>
        </references>
      </pivotArea>
    </format>
    <format dxfId="449">
      <pivotArea type="all" dataOnly="0" outline="0" fieldPosition="0"/>
    </format>
    <format dxfId="448">
      <pivotArea outline="0" collapsedLevelsAreSubtotals="1" fieldPosition="0"/>
    </format>
    <format dxfId="447">
      <pivotArea dataOnly="0" labelOnly="1" grandRow="1" outline="0" fieldPosition="0"/>
    </format>
    <format dxfId="446">
      <pivotArea dataOnly="0" labelOnly="1" outline="0" fieldPosition="0">
        <references count="1">
          <reference field="3" count="0"/>
        </references>
      </pivotArea>
    </format>
    <format dxfId="445">
      <pivotArea type="all" dataOnly="0" outline="0" fieldPosition="0"/>
    </format>
    <format dxfId="444">
      <pivotArea outline="0" collapsedLevelsAreSubtotals="1" fieldPosition="0"/>
    </format>
    <format dxfId="443">
      <pivotArea dataOnly="0" labelOnly="1" outline="0" fieldPosition="0">
        <references count="1">
          <reference field="0" count="0"/>
        </references>
      </pivotArea>
    </format>
    <format dxfId="442">
      <pivotArea dataOnly="0" labelOnly="1" grandRow="1" outline="0" fieldPosition="0"/>
    </format>
    <format dxfId="441">
      <pivotArea dataOnly="0" labelOnly="1" outline="0" fieldPosition="0">
        <references count="1">
          <reference field="3" count="0"/>
        </references>
      </pivotArea>
    </format>
    <format dxfId="440">
      <pivotArea type="all" dataOnly="0" outline="0" fieldPosition="0"/>
    </format>
    <format dxfId="439">
      <pivotArea outline="0" collapsedLevelsAreSubtotals="1" fieldPosition="0"/>
    </format>
    <format dxfId="438">
      <pivotArea dataOnly="0" labelOnly="1" outline="0" fieldPosition="0">
        <references count="1">
          <reference field="0" count="0"/>
        </references>
      </pivotArea>
    </format>
    <format dxfId="437">
      <pivotArea dataOnly="0" labelOnly="1" grandRow="1" outline="0" fieldPosition="0"/>
    </format>
    <format dxfId="436">
      <pivotArea dataOnly="0" labelOnly="1" outline="0" fieldPosition="0">
        <references count="1">
          <reference field="3" count="0"/>
        </references>
      </pivotArea>
    </format>
    <format dxfId="435">
      <pivotArea type="all" dataOnly="0" outline="0" fieldPosition="0"/>
    </format>
    <format dxfId="434">
      <pivotArea outline="0" collapsedLevelsAreSubtotals="1" fieldPosition="0"/>
    </format>
    <format dxfId="433">
      <pivotArea dataOnly="0" labelOnly="1" outline="0" fieldPosition="0">
        <references count="1">
          <reference field="0" count="0"/>
        </references>
      </pivotArea>
    </format>
    <format dxfId="432">
      <pivotArea dataOnly="0" labelOnly="1" grandRow="1" outline="0" fieldPosition="0"/>
    </format>
    <format dxfId="431">
      <pivotArea dataOnly="0" labelOnly="1" outline="0" fieldPosition="0">
        <references count="1">
          <reference field="3" count="0"/>
        </references>
      </pivotArea>
    </format>
    <format dxfId="430">
      <pivotArea type="all" dataOnly="0" outline="0" fieldPosition="0"/>
    </format>
    <format dxfId="429">
      <pivotArea outline="0" collapsedLevelsAreSubtotals="1" fieldPosition="0"/>
    </format>
    <format dxfId="428">
      <pivotArea dataOnly="0" labelOnly="1" outline="0" fieldPosition="0">
        <references count="1">
          <reference field="0" count="0"/>
        </references>
      </pivotArea>
    </format>
    <format dxfId="427">
      <pivotArea dataOnly="0" labelOnly="1" grandRow="1" outline="0" fieldPosition="0"/>
    </format>
    <format dxfId="426">
      <pivotArea dataOnly="0" labelOnly="1" outline="0" fieldPosition="0">
        <references count="1">
          <reference field="3" count="0"/>
        </references>
      </pivotArea>
    </format>
    <format dxfId="425">
      <pivotArea type="all" dataOnly="0" outline="0" fieldPosition="0"/>
    </format>
    <format dxfId="424">
      <pivotArea outline="0" collapsedLevelsAreSubtotals="1" fieldPosition="0"/>
    </format>
    <format dxfId="423">
      <pivotArea dataOnly="0" labelOnly="1" outline="0" fieldPosition="0">
        <references count="1">
          <reference field="0" count="0"/>
        </references>
      </pivotArea>
    </format>
    <format dxfId="422">
      <pivotArea dataOnly="0" labelOnly="1" grandRow="1" outline="0" fieldPosition="0"/>
    </format>
    <format dxfId="421">
      <pivotArea dataOnly="0" labelOnly="1" outline="0" fieldPosition="0">
        <references count="1">
          <reference field="3" count="0"/>
        </references>
      </pivotArea>
    </format>
    <format dxfId="420">
      <pivotArea type="all" dataOnly="0" outline="0" fieldPosition="0"/>
    </format>
    <format dxfId="419">
      <pivotArea outline="0" collapsedLevelsAreSubtotals="1" fieldPosition="0"/>
    </format>
    <format dxfId="418">
      <pivotArea dataOnly="0" labelOnly="1" outline="0" fieldPosition="0">
        <references count="1">
          <reference field="0" count="0"/>
        </references>
      </pivotArea>
    </format>
    <format dxfId="417">
      <pivotArea dataOnly="0" labelOnly="1" grandRow="1" outline="0" fieldPosition="0"/>
    </format>
    <format dxfId="416">
      <pivotArea dataOnly="0" labelOnly="1" outline="0" fieldPosition="0">
        <references count="1">
          <reference field="3" count="0"/>
        </references>
      </pivotArea>
    </format>
    <format dxfId="415">
      <pivotArea type="all" dataOnly="0" outline="0" fieldPosition="0"/>
    </format>
    <format dxfId="414">
      <pivotArea outline="0" collapsedLevelsAreSubtotals="1" fieldPosition="0"/>
    </format>
    <format dxfId="413">
      <pivotArea dataOnly="0" labelOnly="1" outline="0" fieldPosition="0">
        <references count="1">
          <reference field="0" count="0"/>
        </references>
      </pivotArea>
    </format>
    <format dxfId="412">
      <pivotArea dataOnly="0" labelOnly="1" grandRow="1" outline="0" fieldPosition="0"/>
    </format>
    <format dxfId="411">
      <pivotArea dataOnly="0" labelOnly="1" outline="0" fieldPosition="0">
        <references count="1">
          <reference field="3" count="0"/>
        </references>
      </pivotArea>
    </format>
    <format dxfId="410">
      <pivotArea type="all" dataOnly="0" outline="0" fieldPosition="0"/>
    </format>
    <format dxfId="409">
      <pivotArea outline="0" collapsedLevelsAreSubtotals="1" fieldPosition="0"/>
    </format>
    <format dxfId="408">
      <pivotArea dataOnly="0" labelOnly="1" outline="0" fieldPosition="0">
        <references count="1">
          <reference field="0" count="0"/>
        </references>
      </pivotArea>
    </format>
    <format dxfId="407">
      <pivotArea dataOnly="0" labelOnly="1" grandRow="1" outline="0" fieldPosition="0"/>
    </format>
    <format dxfId="406">
      <pivotArea dataOnly="0" labelOnly="1" outline="0" fieldPosition="0">
        <references count="1">
          <reference field="3" count="0"/>
        </references>
      </pivotArea>
    </format>
    <format dxfId="405">
      <pivotArea type="all" dataOnly="0" outline="0" fieldPosition="0"/>
    </format>
    <format dxfId="404">
      <pivotArea outline="0" collapsedLevelsAreSubtotals="1" fieldPosition="0"/>
    </format>
    <format dxfId="403">
      <pivotArea dataOnly="0" labelOnly="1" grandRow="1" outline="0" fieldPosition="0"/>
    </format>
    <format dxfId="402">
      <pivotArea dataOnly="0" labelOnly="1" outline="0" fieldPosition="0">
        <references count="1">
          <reference field="3" count="0"/>
        </references>
      </pivotArea>
    </format>
    <format dxfId="401">
      <pivotArea type="all" dataOnly="0" outline="0" fieldPosition="0"/>
    </format>
    <format dxfId="400">
      <pivotArea outline="0" collapsedLevelsAreSubtotals="1" fieldPosition="0"/>
    </format>
    <format dxfId="399">
      <pivotArea dataOnly="0" labelOnly="1" grandRow="1" outline="0" fieldPosition="0"/>
    </format>
    <format dxfId="398">
      <pivotArea dataOnly="0" labelOnly="1" outline="0" fieldPosition="0">
        <references count="1">
          <reference field="3" count="0"/>
        </references>
      </pivotArea>
    </format>
    <format dxfId="397">
      <pivotArea type="all" dataOnly="0" outline="0" fieldPosition="0"/>
    </format>
    <format dxfId="396">
      <pivotArea outline="0" collapsedLevelsAreSubtotals="1" fieldPosition="0"/>
    </format>
    <format dxfId="395">
      <pivotArea dataOnly="0" labelOnly="1" grandRow="1" outline="0" fieldPosition="0"/>
    </format>
    <format dxfId="394">
      <pivotArea dataOnly="0" labelOnly="1" outline="0" fieldPosition="0">
        <references count="1">
          <reference field="3" count="0"/>
        </references>
      </pivotArea>
    </format>
    <format dxfId="393">
      <pivotArea type="all" dataOnly="0" outline="0" fieldPosition="0"/>
    </format>
    <format dxfId="392">
      <pivotArea outline="0" collapsedLevelsAreSubtotals="1" fieldPosition="0"/>
    </format>
    <format dxfId="391">
      <pivotArea dataOnly="0" labelOnly="1" grandRow="1" outline="0" fieldPosition="0"/>
    </format>
    <format dxfId="390">
      <pivotArea dataOnly="0" labelOnly="1" outline="0" fieldPosition="0">
        <references count="1">
          <reference field="3" count="0"/>
        </references>
      </pivotArea>
    </format>
    <format dxfId="389">
      <pivotArea type="all" dataOnly="0" outline="0" fieldPosition="0"/>
    </format>
    <format dxfId="388">
      <pivotArea outline="0" collapsedLevelsAreSubtotals="1" fieldPosition="0"/>
    </format>
    <format dxfId="387">
      <pivotArea dataOnly="0" labelOnly="1" grandRow="1" outline="0" fieldPosition="0"/>
    </format>
    <format dxfId="386">
      <pivotArea dataOnly="0" labelOnly="1" outline="0" fieldPosition="0">
        <references count="1">
          <reference field="3" count="0"/>
        </references>
      </pivotArea>
    </format>
    <format dxfId="385">
      <pivotArea type="all" dataOnly="0" outline="0" fieldPosition="0"/>
    </format>
    <format dxfId="384">
      <pivotArea outline="0" collapsedLevelsAreSubtotals="1" fieldPosition="0"/>
    </format>
    <format dxfId="383">
      <pivotArea dataOnly="0" labelOnly="1" grandRow="1" outline="0" fieldPosition="0"/>
    </format>
    <format dxfId="382">
      <pivotArea dataOnly="0" labelOnly="1" outline="0" fieldPosition="0">
        <references count="1">
          <reference field="3" count="0"/>
        </references>
      </pivotArea>
    </format>
    <format dxfId="381">
      <pivotArea grandRow="1" outline="0" collapsedLevelsAreSubtotals="1" fieldPosition="0"/>
    </format>
    <format dxfId="380">
      <pivotArea dataOnly="0" labelOnly="1" grandRow="1" outline="0" fieldPosition="0"/>
    </format>
    <format dxfId="379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378">
      <pivotArea type="all" dataOnly="0" outline="0" fieldPosition="0"/>
    </format>
    <format dxfId="377">
      <pivotArea outline="0" collapsedLevelsAreSubtotals="1" fieldPosition="0"/>
    </format>
    <format dxfId="376">
      <pivotArea dataOnly="0" labelOnly="1" grandRow="1" outline="0" fieldPosition="0"/>
    </format>
    <format dxfId="375">
      <pivotArea dataOnly="0" labelOnly="1" outline="0" fieldPosition="0">
        <references count="1">
          <reference field="3" count="0"/>
        </references>
      </pivotArea>
    </format>
    <format dxfId="374">
      <pivotArea grandRow="1" outline="0" collapsedLevelsAreSubtotals="1" fieldPosition="0"/>
    </format>
    <format dxfId="373">
      <pivotArea dataOnly="0" labelOnly="1" grandRow="1" outline="0" fieldPosition="0"/>
    </format>
    <format dxfId="372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371">
      <pivotArea type="all" dataOnly="0" outline="0" fieldPosition="0"/>
    </format>
    <format dxfId="370">
      <pivotArea outline="0" collapsedLevelsAreSubtotals="1" fieldPosition="0"/>
    </format>
    <format dxfId="369">
      <pivotArea dataOnly="0" labelOnly="1" grandRow="1" outline="0" fieldPosition="0"/>
    </format>
    <format dxfId="368">
      <pivotArea dataOnly="0" labelOnly="1" outline="0" fieldPosition="0">
        <references count="1">
          <reference field="3" count="0"/>
        </references>
      </pivotArea>
    </format>
    <format dxfId="367">
      <pivotArea grandRow="1" outline="0" collapsedLevelsAreSubtotals="1" fieldPosition="0"/>
    </format>
    <format dxfId="366">
      <pivotArea dataOnly="0" labelOnly="1" grandRow="1" outline="0" fieldPosition="0"/>
    </format>
    <format dxfId="365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364">
      <pivotArea type="all" dataOnly="0" outline="0" fieldPosition="0"/>
    </format>
    <format dxfId="363">
      <pivotArea outline="0" collapsedLevelsAreSubtotals="1" fieldPosition="0"/>
    </format>
    <format dxfId="362">
      <pivotArea dataOnly="0" labelOnly="1" outline="0" fieldPosition="0">
        <references count="1">
          <reference field="0" count="0"/>
        </references>
      </pivotArea>
    </format>
    <format dxfId="361">
      <pivotArea dataOnly="0" labelOnly="1" grandRow="1" outline="0" fieldPosition="0"/>
    </format>
    <format dxfId="360">
      <pivotArea dataOnly="0" labelOnly="1" outline="0" fieldPosition="0">
        <references count="1">
          <reference field="3" count="0"/>
        </references>
      </pivotArea>
    </format>
    <format dxfId="359">
      <pivotArea grandRow="1" outline="0" collapsedLevelsAreSubtotals="1" fieldPosition="0"/>
    </format>
    <format dxfId="358">
      <pivotArea dataOnly="0" labelOnly="1" grandRow="1" outline="0" fieldPosition="0"/>
    </format>
    <format dxfId="357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356">
      <pivotArea type="all" dataOnly="0" outline="0" fieldPosition="0"/>
    </format>
    <format dxfId="355">
      <pivotArea outline="0" collapsedLevelsAreSubtotals="1" fieldPosition="0"/>
    </format>
    <format dxfId="354">
      <pivotArea dataOnly="0" labelOnly="1" outline="0" fieldPosition="0">
        <references count="1">
          <reference field="0" count="0"/>
        </references>
      </pivotArea>
    </format>
    <format dxfId="353">
      <pivotArea dataOnly="0" labelOnly="1" grandRow="1" outline="0" fieldPosition="0"/>
    </format>
    <format dxfId="352">
      <pivotArea dataOnly="0" labelOnly="1" outline="0" fieldPosition="0">
        <references count="1">
          <reference field="3" count="0"/>
        </references>
      </pivotArea>
    </format>
    <format dxfId="351">
      <pivotArea grandRow="1" outline="0" collapsedLevelsAreSubtotals="1" fieldPosition="0"/>
    </format>
    <format dxfId="350">
      <pivotArea dataOnly="0" labelOnly="1" grandRow="1" outline="0" fieldPosition="0"/>
    </format>
    <format dxfId="349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348">
      <pivotArea type="all" dataOnly="0" outline="0" fieldPosition="0"/>
    </format>
    <format dxfId="347">
      <pivotArea outline="0" collapsedLevelsAreSubtotals="1" fieldPosition="0"/>
    </format>
    <format dxfId="346">
      <pivotArea dataOnly="0" labelOnly="1" outline="0" fieldPosition="0">
        <references count="1">
          <reference field="0" count="0"/>
        </references>
      </pivotArea>
    </format>
    <format dxfId="345">
      <pivotArea dataOnly="0" labelOnly="1" grandRow="1" outline="0" fieldPosition="0"/>
    </format>
    <format dxfId="344">
      <pivotArea dataOnly="0" labelOnly="1" outline="0" fieldPosition="0">
        <references count="1">
          <reference field="3" count="0"/>
        </references>
      </pivotArea>
    </format>
    <format dxfId="343">
      <pivotArea type="all" dataOnly="0" outline="0" fieldPosition="0"/>
    </format>
    <format dxfId="342">
      <pivotArea outline="0" collapsedLevelsAreSubtotals="1" fieldPosition="0"/>
    </format>
    <format dxfId="341">
      <pivotArea dataOnly="0" labelOnly="1" outline="0" fieldPosition="0">
        <references count="1">
          <reference field="0" count="0"/>
        </references>
      </pivotArea>
    </format>
    <format dxfId="340">
      <pivotArea dataOnly="0" labelOnly="1" grandRow="1" outline="0" fieldPosition="0"/>
    </format>
    <format dxfId="339">
      <pivotArea dataOnly="0" labelOnly="1" outline="0" fieldPosition="0">
        <references count="1">
          <reference field="3" count="0"/>
        </references>
      </pivotArea>
    </format>
    <format dxfId="338">
      <pivotArea type="all" dataOnly="0" outline="0" fieldPosition="0"/>
    </format>
    <format dxfId="337">
      <pivotArea outline="0" collapsedLevelsAreSubtotals="1" fieldPosition="0"/>
    </format>
    <format dxfId="336">
      <pivotArea dataOnly="0" labelOnly="1" grandRow="1" outline="0" fieldPosition="0"/>
    </format>
    <format dxfId="335">
      <pivotArea dataOnly="0" labelOnly="1" outline="0" fieldPosition="0">
        <references count="1">
          <reference field="3" count="0"/>
        </references>
      </pivotArea>
    </format>
    <format dxfId="334">
      <pivotArea type="all" dataOnly="0" outline="0" fieldPosition="0"/>
    </format>
    <format dxfId="333">
      <pivotArea outline="0" collapsedLevelsAreSubtotals="1" fieldPosition="0"/>
    </format>
    <format dxfId="332">
      <pivotArea dataOnly="0" labelOnly="1" grandRow="1" outline="0" fieldPosition="0"/>
    </format>
    <format dxfId="331">
      <pivotArea dataOnly="0" labelOnly="1" outline="0" fieldPosition="0">
        <references count="1">
          <reference field="3" count="0"/>
        </references>
      </pivotArea>
    </format>
    <format dxfId="330">
      <pivotArea type="all" dataOnly="0" outline="0" fieldPosition="0"/>
    </format>
    <format dxfId="329">
      <pivotArea outline="0" collapsedLevelsAreSubtotals="1" fieldPosition="0"/>
    </format>
    <format dxfId="328">
      <pivotArea dataOnly="0" labelOnly="1" grandRow="1" outline="0" fieldPosition="0"/>
    </format>
    <format dxfId="327">
      <pivotArea dataOnly="0" labelOnly="1" outline="0" fieldPosition="0">
        <references count="1">
          <reference field="3" count="0"/>
        </references>
      </pivotArea>
    </format>
    <format dxfId="326">
      <pivotArea type="all" dataOnly="0" outline="0" fieldPosition="0"/>
    </format>
    <format dxfId="325">
      <pivotArea outline="0" collapsedLevelsAreSubtotals="1" fieldPosition="0"/>
    </format>
    <format dxfId="324">
      <pivotArea dataOnly="0" labelOnly="1" grandRow="1" outline="0" fieldPosition="0"/>
    </format>
    <format dxfId="323">
      <pivotArea dataOnly="0" labelOnly="1" outline="0" fieldPosition="0">
        <references count="1">
          <reference field="3" count="0"/>
        </references>
      </pivotArea>
    </format>
    <format dxfId="322">
      <pivotArea type="all" dataOnly="0" outline="0" fieldPosition="0"/>
    </format>
    <format dxfId="321">
      <pivotArea outline="0" collapsedLevelsAreSubtotals="1" fieldPosition="0"/>
    </format>
    <format dxfId="320">
      <pivotArea dataOnly="0" labelOnly="1" grandRow="1" outline="0" fieldPosition="0"/>
    </format>
    <format dxfId="319">
      <pivotArea dataOnly="0" labelOnly="1" outline="0" fieldPosition="0">
        <references count="1">
          <reference field="3" count="0"/>
        </references>
      </pivotArea>
    </format>
    <format dxfId="318">
      <pivotArea type="all" dataOnly="0" outline="0" fieldPosition="0"/>
    </format>
    <format dxfId="317">
      <pivotArea outline="0" collapsedLevelsAreSubtotals="1" fieldPosition="0"/>
    </format>
    <format dxfId="316">
      <pivotArea dataOnly="0" labelOnly="1" grandRow="1" outline="0" fieldPosition="0"/>
    </format>
    <format dxfId="315">
      <pivotArea dataOnly="0" labelOnly="1" outline="0" fieldPosition="0">
        <references count="1">
          <reference field="3" count="0"/>
        </references>
      </pivotArea>
    </format>
    <format dxfId="314">
      <pivotArea type="all" dataOnly="0" outline="0" fieldPosition="0"/>
    </format>
    <format dxfId="313">
      <pivotArea outline="0" collapsedLevelsAreSubtotals="1" fieldPosition="0"/>
    </format>
    <format dxfId="312">
      <pivotArea dataOnly="0" labelOnly="1" outline="0" fieldPosition="0">
        <references count="1">
          <reference field="0" count="0"/>
        </references>
      </pivotArea>
    </format>
    <format dxfId="311">
      <pivotArea dataOnly="0" labelOnly="1" grandRow="1" outline="0" fieldPosition="0"/>
    </format>
    <format dxfId="310">
      <pivotArea dataOnly="0" labelOnly="1" outline="0" fieldPosition="0">
        <references count="1">
          <reference field="3" count="0"/>
        </references>
      </pivotArea>
    </format>
    <format dxfId="309">
      <pivotArea type="all" dataOnly="0" outline="0" fieldPosition="0"/>
    </format>
    <format dxfId="308">
      <pivotArea outline="0" collapsedLevelsAreSubtotals="1" fieldPosition="0"/>
    </format>
    <format dxfId="307">
      <pivotArea dataOnly="0" labelOnly="1" outline="0" fieldPosition="0">
        <references count="1">
          <reference field="0" count="0"/>
        </references>
      </pivotArea>
    </format>
    <format dxfId="306">
      <pivotArea dataOnly="0" labelOnly="1" grandRow="1" outline="0" fieldPosition="0"/>
    </format>
    <format dxfId="305">
      <pivotArea dataOnly="0" labelOnly="1" outline="0" fieldPosition="0">
        <references count="1">
          <reference field="3" count="0"/>
        </references>
      </pivotArea>
    </format>
    <format dxfId="304">
      <pivotArea type="origin" dataOnly="0" labelOnly="1" outline="0" fieldPosition="0"/>
    </format>
    <format dxfId="303">
      <pivotArea type="all" dataOnly="0" outline="0" fieldPosition="0"/>
    </format>
    <format dxfId="302">
      <pivotArea outline="0" collapsedLevelsAreSubtotals="1" fieldPosition="0"/>
    </format>
    <format dxfId="301">
      <pivotArea dataOnly="0" labelOnly="1" grandRow="1" outline="0" fieldPosition="0"/>
    </format>
    <format dxfId="300">
      <pivotArea dataOnly="0" labelOnly="1" outline="0" fieldPosition="0">
        <references count="1">
          <reference field="3" count="0"/>
        </references>
      </pivotArea>
    </format>
    <format dxfId="299">
      <pivotArea type="all" dataOnly="0" outline="0" fieldPosition="0"/>
    </format>
    <format dxfId="298">
      <pivotArea outline="0" collapsedLevelsAreSubtotals="1" fieldPosition="0"/>
    </format>
    <format dxfId="297">
      <pivotArea dataOnly="0" labelOnly="1" grandRow="1" outline="0" fieldPosition="0"/>
    </format>
    <format dxfId="296">
      <pivotArea dataOnly="0" labelOnly="1" outline="0" fieldPosition="0">
        <references count="1">
          <reference field="3" count="0"/>
        </references>
      </pivotArea>
    </format>
    <format dxfId="295">
      <pivotArea type="all" dataOnly="0" outline="0" fieldPosition="0"/>
    </format>
    <format dxfId="294">
      <pivotArea outline="0" collapsedLevelsAreSubtotals="1" fieldPosition="0"/>
    </format>
    <format dxfId="293">
      <pivotArea dataOnly="0" labelOnly="1" grandRow="1" outline="0" fieldPosition="0"/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type="all" dataOnly="0" outline="0" fieldPosition="0"/>
    </format>
    <format dxfId="290">
      <pivotArea outline="0" collapsedLevelsAreSubtotals="1" fieldPosition="0"/>
    </format>
    <format dxfId="289">
      <pivotArea dataOnly="0" labelOnly="1" grandRow="1" outline="0" fieldPosition="0"/>
    </format>
    <format dxfId="288">
      <pivotArea dataOnly="0" labelOnly="1" outline="0" fieldPosition="0">
        <references count="1">
          <reference field="3" count="0"/>
        </references>
      </pivotArea>
    </format>
    <format dxfId="287">
      <pivotArea type="all" dataOnly="0" outline="0" fieldPosition="0"/>
    </format>
    <format dxfId="286">
      <pivotArea outline="0" collapsedLevelsAreSubtotals="1" fieldPosition="0"/>
    </format>
    <format dxfId="285">
      <pivotArea dataOnly="0" labelOnly="1" grandRow="1" outline="0" fieldPosition="0"/>
    </format>
    <format dxfId="284">
      <pivotArea dataOnly="0" labelOnly="1" outline="0" fieldPosition="0">
        <references count="1">
          <reference field="3" count="0"/>
        </references>
      </pivotArea>
    </format>
    <format dxfId="283">
      <pivotArea outline="0" collapsedLevelsAreSubtotals="1" fieldPosition="0">
        <references count="1">
          <reference field="0" count="0" selected="0"/>
        </references>
      </pivotArea>
    </format>
    <format dxfId="282">
      <pivotArea dataOnly="0" labelOnly="1" outline="0" fieldPosition="0">
        <references count="1">
          <reference field="0" count="0"/>
        </references>
      </pivotArea>
    </format>
    <format dxfId="281">
      <pivotArea dataOnly="0" labelOnly="1" outline="0" offset="IV256" fieldPosition="0">
        <references count="1">
          <reference field="0" count="0"/>
        </references>
      </pivotArea>
    </format>
    <format dxfId="280">
      <pivotArea type="all" dataOnly="0" outline="0" fieldPosition="0"/>
    </format>
    <format dxfId="279">
      <pivotArea outline="0" collapsedLevelsAreSubtotals="1" fieldPosition="0"/>
    </format>
    <format dxfId="278">
      <pivotArea dataOnly="0" labelOnly="1" outline="0" fieldPosition="0">
        <references count="1">
          <reference field="0" count="0"/>
        </references>
      </pivotArea>
    </format>
    <format dxfId="277">
      <pivotArea dataOnly="0" labelOnly="1" grandRow="1" outline="0" fieldPosition="0"/>
    </format>
    <format dxfId="276">
      <pivotArea dataOnly="0" labelOnly="1" outline="0" fieldPosition="0">
        <references count="1">
          <reference field="3" count="0"/>
        </references>
      </pivotArea>
    </format>
    <format dxfId="275">
      <pivotArea outline="0" collapsedLevelsAreSubtotals="1" fieldPosition="0">
        <references count="1">
          <reference field="0" count="0" selected="0"/>
        </references>
      </pivotArea>
    </format>
    <format dxfId="274">
      <pivotArea dataOnly="0" labelOnly="1" outline="0" fieldPosition="0">
        <references count="1">
          <reference field="0" count="0"/>
        </references>
      </pivotArea>
    </format>
    <format dxfId="273">
      <pivotArea dataOnly="0" labelOnly="1" outline="0" offset="A256" fieldPosition="0">
        <references count="1">
          <reference field="0" count="0"/>
        </references>
      </pivotArea>
    </format>
    <format dxfId="272">
      <pivotArea type="all" dataOnly="0" outline="0" fieldPosition="0"/>
    </format>
    <format dxfId="271">
      <pivotArea outline="0" collapsedLevelsAreSubtotals="1" fieldPosition="0"/>
    </format>
    <format dxfId="270">
      <pivotArea dataOnly="0" labelOnly="1" outline="0" fieldPosition="0">
        <references count="1">
          <reference field="0" count="0"/>
        </references>
      </pivotArea>
    </format>
    <format dxfId="269">
      <pivotArea dataOnly="0" labelOnly="1" grandRow="1" outline="0" fieldPosition="0"/>
    </format>
    <format dxfId="268">
      <pivotArea dataOnly="0" labelOnly="1" outline="0" fieldPosition="0">
        <references count="1">
          <reference field="3" count="0"/>
        </references>
      </pivotArea>
    </format>
    <format dxfId="267">
      <pivotArea dataOnly="0" grandRow="1" outline="0" fieldPosition="0"/>
    </format>
    <format dxfId="266">
      <pivotArea dataOnly="0" labelOnly="1" grandRow="1" outline="0" offset="A256" fieldPosition="0"/>
    </format>
    <format dxfId="265">
      <pivotArea type="all" dataOnly="0" outline="0" fieldPosition="0"/>
    </format>
    <format dxfId="264">
      <pivotArea outline="0" collapsedLevelsAreSubtotals="1" fieldPosition="0"/>
    </format>
    <format dxfId="263">
      <pivotArea dataOnly="0" labelOnly="1" outline="0" fieldPosition="0">
        <references count="1">
          <reference field="0" count="0"/>
        </references>
      </pivotArea>
    </format>
    <format dxfId="262">
      <pivotArea dataOnly="0" labelOnly="1" grandRow="1" outline="0" fieldPosition="0"/>
    </format>
    <format dxfId="261">
      <pivotArea dataOnly="0" labelOnly="1" outline="0" fieldPosition="0">
        <references count="1">
          <reference field="3" count="0"/>
        </references>
      </pivotArea>
    </format>
    <format dxfId="260">
      <pivotArea outline="0" collapsedLevelsAreSubtotals="1" fieldPosition="0">
        <references count="1">
          <reference field="0" count="0" selected="0"/>
        </references>
      </pivotArea>
    </format>
    <format dxfId="259">
      <pivotArea dataOnly="0" labelOnly="1" outline="0" fieldPosition="0">
        <references count="1">
          <reference field="0" count="0"/>
        </references>
      </pivotArea>
    </format>
    <format dxfId="258">
      <pivotArea dataOnly="0" labelOnly="1" outline="0" offset="IV256" fieldPosition="0">
        <references count="1">
          <reference field="0" count="0"/>
        </references>
      </pivotArea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dataOnly="0" labelOnly="1" outline="0" fieldPosition="0">
        <references count="1">
          <reference field="0" count="0"/>
        </references>
      </pivotArea>
    </format>
    <format dxfId="254">
      <pivotArea dataOnly="0" labelOnly="1" grandRow="1" outline="0" fieldPosition="0"/>
    </format>
    <format dxfId="253">
      <pivotArea dataOnly="0" labelOnly="1" outline="0" fieldPosition="0">
        <references count="1">
          <reference field="3" count="0"/>
        </references>
      </pivotArea>
    </format>
    <format dxfId="252">
      <pivotArea outline="0" collapsedLevelsAreSubtotals="1" fieldPosition="0">
        <references count="2">
          <reference field="0" count="0" selected="0"/>
          <reference field="1" count="0" selected="0"/>
        </references>
      </pivotArea>
    </format>
    <format dxfId="251">
      <pivotArea dataOnly="0" labelOnly="1" outline="0" fieldPosition="0">
        <references count="1">
          <reference field="0" count="0"/>
        </references>
      </pivotArea>
    </format>
    <format dxfId="250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249">
      <pivotArea dataOnly="0" labelOnly="1" outline="0" fieldPosition="0">
        <references count="1">
          <reference field="0" count="0"/>
        </references>
      </pivotArea>
    </format>
    <format dxfId="248">
      <pivotArea type="all" dataOnly="0" outline="0" fieldPosition="0"/>
    </format>
    <format dxfId="247">
      <pivotArea outline="0" collapsedLevelsAreSubtotals="1" fieldPosition="0"/>
    </format>
    <format dxfId="246">
      <pivotArea dataOnly="0" labelOnly="1" outline="0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  <format dxfId="244">
      <pivotArea dataOnly="0" labelOnly="1" outline="0" fieldPosition="0">
        <references count="1">
          <reference field="3" count="0"/>
        </references>
      </pivotArea>
    </format>
    <format dxfId="243">
      <pivotArea outline="0" collapsedLevelsAreSubtotals="1" fieldPosition="0">
        <references count="1">
          <reference field="0" count="0" selected="0"/>
        </references>
      </pivotArea>
    </format>
    <format dxfId="242">
      <pivotArea dataOnly="0" labelOnly="1" outline="0" fieldPosition="0">
        <references count="1">
          <reference field="0" count="0"/>
        </references>
      </pivotArea>
    </format>
    <format dxfId="241">
      <pivotArea dataOnly="0" labelOnly="1" outline="0" offset="A256" fieldPosition="0">
        <references count="1">
          <reference field="0" count="0"/>
        </references>
      </pivotArea>
    </format>
    <format dxfId="240">
      <pivotArea type="all" dataOnly="0" outline="0" fieldPosition="0"/>
    </format>
    <format dxfId="239">
      <pivotArea outline="0" collapsedLevelsAreSubtotals="1" fieldPosition="0"/>
    </format>
    <format dxfId="238">
      <pivotArea dataOnly="0" labelOnly="1" outline="0" fieldPosition="0">
        <references count="1">
          <reference field="0" count="0"/>
        </references>
      </pivotArea>
    </format>
    <format dxfId="237">
      <pivotArea dataOnly="0" labelOnly="1" grandRow="1" outline="0" fieldPosition="0"/>
    </format>
    <format dxfId="236">
      <pivotArea dataOnly="0" labelOnly="1" outline="0" fieldPosition="0">
        <references count="1">
          <reference field="3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ПериодСводная" cacheId="8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 rowHeaderCaption="Соц. Работник" colHeaderCaption=" ">
  <location ref="A11:AN14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39">
        <item x="37"/>
        <item x="0"/>
        <item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3" baseField="2" baseItem="0"/>
  </dataFields>
  <formats count="130">
    <format dxfId="232">
      <pivotArea dataOnly="0" labelOnly="1" grandCol="1" outline="0" fieldPosition="0"/>
    </format>
    <format dxfId="231">
      <pivotArea dataOnly="0" labelOnly="1" grandCol="1" outline="0" fieldPosition="0"/>
    </format>
    <format dxfId="230">
      <pivotArea type="origin" dataOnly="0" labelOnly="1" outline="0" fieldPosition="0"/>
    </format>
    <format dxfId="229">
      <pivotArea field="0" type="button" dataOnly="0" labelOnly="1" outline="0" axis="axisRow" fieldPosition="0"/>
    </format>
    <format dxfId="228">
      <pivotArea dataOnly="0" labelOnly="1" fieldPosition="0">
        <references count="1">
          <reference field="2" count="0"/>
        </references>
      </pivotArea>
    </format>
    <format dxfId="227">
      <pivotArea dataOnly="0" labelOnly="1" grandCol="1" outline="0" fieldPosition="0"/>
    </format>
    <format dxfId="226">
      <pivotArea dataOnly="0" labelOnly="1" fieldPosition="0">
        <references count="1">
          <reference field="2" count="3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5"/>
            <x v="36"/>
            <x v="37"/>
          </reference>
        </references>
      </pivotArea>
    </format>
    <format dxfId="225">
      <pivotArea dataOnly="0" labelOnly="1" grandCol="1" outline="0" fieldPosition="0"/>
    </format>
    <format dxfId="224">
      <pivotArea field="0" type="button" dataOnly="0" labelOnly="1" outline="0" axis="axisRow" fieldPosition="0"/>
    </format>
    <format dxfId="223">
      <pivotArea field="0" type="button" dataOnly="0" labelOnly="1" outline="0" axis="axisRow" fieldPosition="0"/>
    </format>
    <format dxfId="222">
      <pivotArea dataOnly="0" labelOnly="1" fieldPosition="0">
        <references count="1">
          <reference field="2" count="1">
            <x v="34"/>
          </reference>
        </references>
      </pivotArea>
    </format>
    <format dxfId="221">
      <pivotArea dataOnly="0" labelOnly="1" fieldPosition="0">
        <references count="1">
          <reference field="2" count="0"/>
        </references>
      </pivotArea>
    </format>
    <format dxfId="220">
      <pivotArea dataOnly="0" labelOnly="1" fieldPosition="0">
        <references count="1">
          <reference field="2" count="0"/>
        </references>
      </pivotArea>
    </format>
    <format dxfId="219">
      <pivotArea field="1" type="button" dataOnly="0" labelOnly="1" outline="0" axis="axisRow" fieldPosition="1"/>
    </format>
    <format dxfId="218">
      <pivotArea field="1" type="button" dataOnly="0" labelOnly="1" outline="0" axis="axisRow" fieldPosition="1"/>
    </format>
    <format dxfId="217">
      <pivotArea dataOnly="0" labelOnly="1" outline="0" fieldPosition="0">
        <references count="1">
          <reference field="2" count="1">
            <x v="1"/>
          </reference>
        </references>
      </pivotArea>
    </format>
    <format dxfId="216">
      <pivotArea dataOnly="0" labelOnly="1" outline="0" fieldPosition="0">
        <references count="1">
          <reference field="2" count="1">
            <x v="1"/>
          </reference>
        </references>
      </pivotArea>
    </format>
    <format dxfId="215">
      <pivotArea dataOnly="0" labelOnly="1" outline="0" fieldPosition="0">
        <references count="1">
          <reference field="2" count="3">
            <x v="0"/>
            <x v="1"/>
            <x v="2"/>
          </reference>
        </references>
      </pivotArea>
    </format>
    <format dxfId="214">
      <pivotArea type="all" dataOnly="0" outline="0" fieldPosition="0"/>
    </format>
    <format dxfId="213">
      <pivotArea outline="0" collapsedLevelsAreSubtotals="1" fieldPosition="0"/>
    </format>
    <format dxfId="212">
      <pivotArea dataOnly="0" labelOnly="1" grandRow="1" outline="0" fieldPosition="0"/>
    </format>
    <format dxfId="211">
      <pivotArea dataOnly="0" labelOnly="1" outline="0" fieldPosition="0">
        <references count="1">
          <reference field="2" count="0"/>
        </references>
      </pivotArea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dataOnly="0" labelOnly="1" grandRow="1" outline="0" fieldPosition="0"/>
    </format>
    <format dxfId="207">
      <pivotArea dataOnly="0" labelOnly="1" outline="0" fieldPosition="0">
        <references count="1">
          <reference field="2" count="0"/>
        </references>
      </pivotArea>
    </format>
    <format dxfId="206">
      <pivotArea dataOnly="0" labelOnly="1" outline="0" fieldPosition="0">
        <references count="1">
          <reference field="2" count="35"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205">
      <pivotArea type="all" dataOnly="0" outline="0" fieldPosition="0"/>
    </format>
    <format dxfId="204">
      <pivotArea outline="0" collapsedLevelsAreSubtotals="1" fieldPosition="0"/>
    </format>
    <format dxfId="203">
      <pivotArea dataOnly="0" labelOnly="1" grandRow="1" outline="0" fieldPosition="0"/>
    </format>
    <format dxfId="202">
      <pivotArea dataOnly="0" labelOnly="1" outline="0" fieldPosition="0">
        <references count="1">
          <reference field="2" count="0"/>
        </references>
      </pivotArea>
    </format>
    <format dxfId="201">
      <pivotArea type="all" dataOnly="0" outline="0" fieldPosition="0"/>
    </format>
    <format dxfId="200">
      <pivotArea outline="0" collapsedLevelsAreSubtotals="1" fieldPosition="0"/>
    </format>
    <format dxfId="199">
      <pivotArea dataOnly="0" labelOnly="1" grandRow="1" outline="0" fieldPosition="0"/>
    </format>
    <format dxfId="198">
      <pivotArea dataOnly="0" labelOnly="1" outline="0" fieldPosition="0">
        <references count="1">
          <reference field="2" count="0"/>
        </references>
      </pivotArea>
    </format>
    <format dxfId="197">
      <pivotArea type="all" dataOnly="0" outline="0" fieldPosition="0"/>
    </format>
    <format dxfId="196">
      <pivotArea outline="0" collapsedLevelsAreSubtotals="1" fieldPosition="0"/>
    </format>
    <format dxfId="195">
      <pivotArea dataOnly="0" labelOnly="1" grandRow="1" outline="0" fieldPosition="0"/>
    </format>
    <format dxfId="194">
      <pivotArea dataOnly="0" labelOnly="1" outline="0" fieldPosition="0">
        <references count="1">
          <reference field="2" count="0"/>
        </references>
      </pivotArea>
    </format>
    <format dxfId="193">
      <pivotArea grandRow="1" outline="0" collapsedLevelsAreSubtotals="1" fieldPosition="0"/>
    </format>
    <format dxfId="192">
      <pivotArea dataOnly="0" labelOnly="1" grandRow="1" outline="0" fieldPosition="0"/>
    </format>
    <format dxfId="191">
      <pivotArea field="2" grandRow="1" outline="0" collapsedLevelsAreSubtotals="1" axis="axisCol" fieldPosition="0">
        <references count="1">
          <reference field="2" count="1" selected="0"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dataOnly="0" labelOnly="1" grandRow="1" outline="0" fieldPosition="0"/>
    </format>
    <format dxfId="187">
      <pivotArea dataOnly="0" labelOnly="1" outline="0" fieldPosition="0">
        <references count="1">
          <reference field="2" count="0"/>
        </references>
      </pivotArea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dataOnly="0" labelOnly="1" grandRow="1" outline="0" fieldPosition="0"/>
    </format>
    <format dxfId="183">
      <pivotArea dataOnly="0" labelOnly="1" outline="0" fieldPosition="0">
        <references count="1">
          <reference field="2" count="0"/>
        </references>
      </pivotArea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dataOnly="0" labelOnly="1" grandRow="1" outline="0" fieldPosition="0"/>
    </format>
    <format dxfId="179">
      <pivotArea dataOnly="0" labelOnly="1" outline="0" fieldPosition="0">
        <references count="1">
          <reference field="2" count="0"/>
        </references>
      </pivotArea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dataOnly="0" labelOnly="1" grandRow="1" outline="0" fieldPosition="0"/>
    </format>
    <format dxfId="175">
      <pivotArea dataOnly="0" labelOnly="1" outline="0" fieldPosition="0">
        <references count="1">
          <reference field="2" count="0"/>
        </references>
      </pivotArea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dataOnly="0" labelOnly="1" grandRow="1" outline="0" fieldPosition="0"/>
    </format>
    <format dxfId="171">
      <pivotArea dataOnly="0" labelOnly="1" outline="0" fieldPosition="0">
        <references count="1">
          <reference field="2" count="0"/>
        </references>
      </pivotArea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dataOnly="0" labelOnly="1" grandRow="1" outline="0" fieldPosition="0"/>
    </format>
    <format dxfId="167">
      <pivotArea dataOnly="0" labelOnly="1" outline="0" fieldPosition="0">
        <references count="1">
          <reference field="2" count="0"/>
        </references>
      </pivotArea>
    </format>
    <format dxfId="166">
      <pivotArea type="all" dataOnly="0" outline="0" fieldPosition="0"/>
    </format>
    <format dxfId="165">
      <pivotArea outline="0" collapsedLevelsAreSubtotals="1" fieldPosition="0"/>
    </format>
    <format dxfId="164">
      <pivotArea dataOnly="0" labelOnly="1" grandRow="1" outline="0" fieldPosition="0"/>
    </format>
    <format dxfId="163">
      <pivotArea dataOnly="0" labelOnly="1" outline="0" fieldPosition="0">
        <references count="1">
          <reference field="2" count="0"/>
        </references>
      </pivotArea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dataOnly="0" labelOnly="1" grandRow="1" outline="0" fieldPosition="0"/>
    </format>
    <format dxfId="159">
      <pivotArea dataOnly="0" labelOnly="1" outline="0" fieldPosition="0">
        <references count="1">
          <reference field="2" count="0"/>
        </references>
      </pivotArea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dataOnly="0" labelOnly="1" grandRow="1" outline="0" fieldPosition="0"/>
    </format>
    <format dxfId="155">
      <pivotArea dataOnly="0" labelOnly="1" outline="0" fieldPosition="0">
        <references count="1">
          <reference field="2" count="0"/>
        </references>
      </pivotArea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dataOnly="0" labelOnly="1" grandRow="1" outline="0" fieldPosition="0"/>
    </format>
    <format dxfId="151">
      <pivotArea dataOnly="0" labelOnly="1" outline="0" fieldPosition="0">
        <references count="1">
          <reference field="2" count="0"/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dataOnly="0" labelOnly="1" grandRow="1" outline="0" fieldPosition="0"/>
    </format>
    <format dxfId="147">
      <pivotArea dataOnly="0" labelOnly="1" outline="0" fieldPosition="0">
        <references count="1">
          <reference field="2" count="0"/>
        </references>
      </pivotArea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dataOnly="0" labelOnly="1" grandRow="1" outline="0" fieldPosition="0"/>
    </format>
    <format dxfId="143">
      <pivotArea dataOnly="0" labelOnly="1" outline="0" fieldPosition="0">
        <references count="1">
          <reference field="2" count="0"/>
        </references>
      </pivotArea>
    </format>
    <format dxfId="142">
      <pivotArea type="all" dataOnly="0" outline="0" fieldPosition="0"/>
    </format>
    <format dxfId="141">
      <pivotArea outline="0" collapsedLevelsAreSubtotals="1" fieldPosition="0"/>
    </format>
    <format dxfId="140">
      <pivotArea dataOnly="0" labelOnly="1" grandRow="1" outline="0" fieldPosition="0"/>
    </format>
    <format dxfId="139">
      <pivotArea dataOnly="0" labelOnly="1" outline="0" fieldPosition="0">
        <references count="1">
          <reference field="2" count="0"/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grandRow="1" outline="0" fieldPosition="0"/>
    </format>
    <format dxfId="135">
      <pivotArea dataOnly="0" labelOnly="1" outline="0" fieldPosition="0">
        <references count="1">
          <reference field="2" count="0"/>
        </references>
      </pivotArea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dataOnly="0" labelOnly="1" grandRow="1" outline="0" fieldPosition="0"/>
    </format>
    <format dxfId="131">
      <pivotArea dataOnly="0" labelOnly="1" outline="0" fieldPosition="0">
        <references count="1">
          <reference field="2" count="0"/>
        </references>
      </pivotArea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dataOnly="0" labelOnly="1" grandRow="1" outline="0" fieldPosition="0"/>
    </format>
    <format dxfId="127">
      <pivotArea dataOnly="0" labelOnly="1" outline="0" fieldPosition="0">
        <references count="1">
          <reference field="2" count="0"/>
        </references>
      </pivotArea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dataOnly="0" labelOnly="1" grandRow="1" outline="0" fieldPosition="0"/>
    </format>
    <format dxfId="123">
      <pivotArea dataOnly="0" labelOnly="1" outline="0" fieldPosition="0">
        <references count="1">
          <reference field="2" count="0"/>
        </references>
      </pivotArea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2" count="0"/>
        </references>
      </pivotArea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dataOnly="0" labelOnly="1" grandRow="1" outline="0" fieldPosition="0"/>
    </format>
    <format dxfId="115">
      <pivotArea dataOnly="0" labelOnly="1" outline="0" fieldPosition="0">
        <references count="1">
          <reference field="2" count="0"/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dataOnly="0" labelOnly="1" grandRow="1" outline="0" fieldPosition="0"/>
    </format>
    <format dxfId="111">
      <pivotArea dataOnly="0" labelOnly="1" outline="0" fieldPosition="0">
        <references count="1">
          <reference field="2" count="0"/>
        </references>
      </pivotArea>
    </format>
    <format dxfId="110">
      <pivotArea grandRow="1" outline="0" collapsedLevelsAreSubtotals="1" fieldPosition="0"/>
    </format>
    <format dxfId="109">
      <pivotArea dataOnly="0" labelOnly="1" grandRow="1" outline="0" fieldPosition="0"/>
    </format>
    <format dxfId="108">
      <pivotArea dataOnly="0" labelOnly="1" grandRow="1" outline="0" offset="IV256" fieldPosition="0"/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dataOnly="0" labelOnly="1" outline="0" fieldPosition="0">
        <references count="1">
          <reference field="0" count="0"/>
        </references>
      </pivotArea>
    </format>
    <format dxfId="104">
      <pivotArea dataOnly="0" labelOnly="1" grandRow="1" outline="0" fieldPosition="0"/>
    </format>
    <format dxfId="103">
      <pivotArea dataOnly="0" labelOnly="1" outline="0" fieldPosition="0">
        <references count="1">
          <reference field="2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ГодСводная" cacheId="6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11:AN14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39">
        <item x="37"/>
        <item x="0"/>
        <item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3" baseField="1" baseItem="0"/>
  </dataFields>
  <formats count="56">
    <format dxfId="101">
      <pivotArea type="all" dataOnly="0" outline="0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dataOnly="0" labelOnly="1" outline="0" fieldPosition="0">
        <references count="1">
          <reference field="0" count="0"/>
        </references>
      </pivotArea>
    </format>
    <format dxfId="97">
      <pivotArea dataOnly="0" labelOnly="1" outline="0" fieldPosition="0">
        <references count="1">
          <reference field="0" count="0" defaultSubtotal="1"/>
        </references>
      </pivotArea>
    </format>
    <format dxfId="96">
      <pivotArea dataOnly="0" labelOnly="1" grandRow="1" outline="0" fieldPosition="0"/>
    </format>
    <format dxfId="95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94">
      <pivotArea dataOnly="0" labelOnly="1" outline="0" fieldPosition="0">
        <references count="1">
          <reference field="2" count="0"/>
        </references>
      </pivotArea>
    </format>
    <format dxfId="93">
      <pivotArea type="all" dataOnly="0" outline="0" fieldPosition="0"/>
    </format>
    <format dxfId="92">
      <pivotArea type="all" dataOnly="0" outline="0" fieldPosition="0"/>
    </format>
    <format dxfId="91">
      <pivotArea type="origin" dataOnly="0" labelOnly="1" outline="0" fieldPosition="0"/>
    </format>
    <format dxfId="90">
      <pivotArea field="0" type="button" dataOnly="0" labelOnly="1" outline="0" axis="axisRow" fieldPosition="0"/>
    </format>
    <format dxfId="89">
      <pivotArea field="0" type="button" dataOnly="0" labelOnly="1" outline="0" axis="axisRow" fieldPosition="0"/>
    </format>
    <format dxfId="88">
      <pivotArea field="1" type="button" dataOnly="0" labelOnly="1" outline="0" axis="axisRow" fieldPosition="1"/>
    </format>
    <format dxfId="87">
      <pivotArea field="1" type="button" dataOnly="0" labelOnly="1" outline="0" axis="axisRow" fieldPosition="1"/>
    </format>
    <format dxfId="86">
      <pivotArea dataOnly="0" labelOnly="1" outline="0" fieldPosition="0">
        <references count="1">
          <reference field="0" count="0"/>
        </references>
      </pivotArea>
    </format>
    <format dxfId="85">
      <pivotArea dataOnly="0" labelOnly="1" outline="0" fieldPosition="0">
        <references count="1">
          <reference field="0" count="0" defaultSubtotal="1"/>
        </references>
      </pivotArea>
    </format>
    <format dxfId="84">
      <pivotArea dataOnly="0" labelOnly="1" grandRow="1" outline="0" fieldPosition="0"/>
    </format>
    <format dxfId="83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82">
      <pivotArea dataOnly="0" labelOnly="1" outline="0" fieldPosition="0">
        <references count="1">
          <reference field="0" count="0"/>
        </references>
      </pivotArea>
    </format>
    <format dxfId="81">
      <pivotArea dataOnly="0" labelOnly="1" outline="0" fieldPosition="0">
        <references count="1">
          <reference field="0" count="0" defaultSubtotal="1"/>
        </references>
      </pivotArea>
    </format>
    <format dxfId="80">
      <pivotArea dataOnly="0" labelOnly="1" grandRow="1" outline="0" fieldPosition="0"/>
    </format>
    <format dxfId="79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78">
      <pivotArea type="all" dataOnly="0" outline="0" fieldPosition="0"/>
    </format>
    <format dxfId="77">
      <pivotArea dataOnly="0" labelOnly="1" outline="0" fieldPosition="0">
        <references count="1">
          <reference field="2" count="0"/>
        </references>
      </pivotArea>
    </format>
    <format dxfId="76">
      <pivotArea dataOnly="0" outline="0" fieldPosition="0">
        <references count="1">
          <reference field="2" count="1">
            <x v="2"/>
          </reference>
        </references>
      </pivotArea>
    </format>
    <format dxfId="75">
      <pivotArea dataOnly="0" labelOnly="1" outline="0" fieldPosition="0">
        <references count="1">
          <reference field="2" count="0"/>
        </references>
      </pivotArea>
    </format>
    <format dxfId="74">
      <pivotArea dataOnly="0" labelOnly="1" outline="0" fieldPosition="0">
        <references count="1">
          <reference field="2" count="1">
            <x v="1"/>
          </reference>
        </references>
      </pivotArea>
    </format>
    <format dxfId="73">
      <pivotArea dataOnly="0" labelOnly="1" outline="0" fieldPosition="0">
        <references count="1">
          <reference field="2" count="1">
            <x v="1"/>
          </reference>
        </references>
      </pivotArea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labelOnly="1" outline="0" fieldPosition="0">
        <references count="1">
          <reference field="0" count="0"/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2" count="0"/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labelOnly="1" outline="0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2" count="0"/>
        </references>
      </pivotArea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dataOnly="0" labelOnly="1" outline="0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2" count="0"/>
        </references>
      </pivotArea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labelOnly="1" grandRow="1" outline="0" fieldPosition="0"/>
    </format>
    <format dxfId="54">
      <pivotArea dataOnly="0" labelOnly="1" outline="0" fieldPosition="0">
        <references count="1">
          <reference field="2" count="0"/>
        </references>
      </pivotArea>
    </format>
    <format dxfId="53">
      <pivotArea grandRow="1" outline="0" collapsedLevelsAreSubtotals="1" fieldPosition="0"/>
    </format>
    <format dxfId="52">
      <pivotArea dataOnly="0" labelOnly="1" grandRow="1" outline="0" fieldPosition="0"/>
    </format>
    <format dxfId="51">
      <pivotArea dataOnly="0" labelOnly="1" grandRow="1" outline="0" offset="IV256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outline="0" fieldPosition="0">
        <references count="1">
          <reference field="0" count="0"/>
        </references>
      </pivotArea>
    </format>
    <format dxfId="47">
      <pivotArea dataOnly="0" labelOnly="1" grandRow="1" outline="0" fieldPosition="0"/>
    </format>
    <format dxfId="46">
      <pivotArea dataOnly="0" labelOnly="1" outline="0" fieldPosition="0">
        <references count="1">
          <reference field="2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2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3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" sourceName="Соц. Работник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5" sourceName="Соц. Работник">
  <pivotTables>
    <pivotTable tabId="8" name="ГодСводная"/>
  </pivotTables>
  <data>
    <tabular pivotCacheId="6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" sourceName="Признак учета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" sourceName="Соц. Работник">
  <pivotTables>
    <pivotTable tabId="9" name="ПериодСводная"/>
  </pivotTables>
  <data>
    <tabular pivotCacheId="7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" cache="Срез_Соц._Работник" caption="Соц. Работник" rowHeight="241300"/>
  <slicer name="Признак учета" cache="Срез_Признак_учета" caption="Признак учета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" cache="Срез_Соц._Работник1" caption="Соц. Работник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5" cache="Срез_Соц._Работник5" caption="Соц. Работник" rowHeight="24130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Параметры" displayName="Параметры" ref="A4:A5" totalsRowShown="0" headerRowDxfId="688" dataDxfId="687">
  <autoFilter ref="A4:A5">
    <filterColumn colId="0" hiddenButton="1"/>
  </autoFilter>
  <tableColumns count="1">
    <tableColumn id="1" name="Путь к исходным данным" dataDxfId="686">
      <calculatedColumnFormula>A2&amp;C5&amp;C2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2" name="Месяцы" displayName="Месяцы" ref="G1:H13" totalsRowShown="0" headerRowDxfId="685" dataDxfId="684">
  <autoFilter ref="G1:H13">
    <filterColumn colId="0" hiddenButton="1"/>
    <filterColumn colId="1" hiddenButton="1"/>
  </autoFilter>
  <tableColumns count="2">
    <tableColumn id="1" name="Месяцы" dataDxfId="683"/>
    <tableColumn id="2" name="Число" dataDxfId="682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ВыборДанных" displayName="ВыборДанных" ref="B1:B2" totalsRowShown="0" headerRowDxfId="14" dataDxfId="13" headerRowBorderDxfId="235" tableBorderDxfId="234" totalsRowBorderDxfId="233">
  <autoFilter ref="B1:B2">
    <filterColumn colId="0" hiddenButton="1"/>
  </autoFilter>
  <tableColumns count="1">
    <tableColumn id="1" name="Месяц" dataDxfId="1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МесяцыИтоги" displayName="МесяцыИтоги" ref="A4:D9" tableType="queryTable" totalsRowShown="0" headerRowDxfId="8" dataDxfId="7">
  <autoFilter ref="A4:D9"/>
  <tableColumns count="4">
    <tableColumn id="1" uniqueName="1" name="Услуги" queryTableFieldId="1" dataDxfId="12"/>
    <tableColumn id="2" uniqueName="2" name="Всего" queryTableFieldId="2" dataDxfId="11"/>
    <tableColumn id="3" uniqueName="3" name="б/пл." queryTableFieldId="3" dataDxfId="10"/>
    <tableColumn id="4" uniqueName="4" name="пл." queryTableFieldId="4" dataDxfId="9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8" name="МесяцыВсего" displayName="МесяцыВсего" ref="F4:J5" totalsRowShown="0" headerRowDxfId="1" dataDxfId="0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6">
      <calculatedColumnFormula>SUM(МесяцыИтоги[Всего])</calculatedColumnFormula>
    </tableColumn>
    <tableColumn id="1" name="Всего 2" dataDxfId="5">
      <calculatedColumnFormula>SUM(МесяцыИтоги[Всего])</calculatedColumnFormula>
    </tableColumn>
    <tableColumn id="4" name="Сумма" dataDxfId="4">
      <calculatedColumnFormula>МесяцыВсего[б/пл.]+МесяцыВсего[пл.]</calculatedColumnFormula>
    </tableColumn>
    <tableColumn id="2" name="б/пл." dataDxfId="3">
      <calculatedColumnFormula>SUM(МесяцыИтоги[б/пл.])</calculatedColumnFormula>
    </tableColumn>
    <tableColumn id="3" name="пл." dataDxfId="2">
      <calculatedColumnFormula>SUM(МесяцыИтоги[пл.])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3" name="Диапазон" displayName="Диапазон" ref="B1:C2" totalsRowShown="0" headerRowDxfId="30" dataDxfId="29" tableBorderDxfId="102">
  <autoFilter ref="B1:C2">
    <filterColumn colId="0" hiddenButton="1"/>
    <filterColumn colId="1" hiddenButton="1"/>
  </autoFilter>
  <tableColumns count="2">
    <tableColumn id="1" name="Начало" dataDxfId="32"/>
    <tableColumn id="2" name="Конец" dataDxfId="3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6" name="ПериодИтоги" displayName="ПериодИтоги" ref="A4:D9" tableType="queryTable" totalsRowShown="0" headerRowDxfId="24" dataDxfId="23">
  <autoFilter ref="A4:D9"/>
  <tableColumns count="4">
    <tableColumn id="1" uniqueName="1" name="Услуги" queryTableFieldId="1" dataDxfId="28"/>
    <tableColumn id="2" uniqueName="2" name="Всего" queryTableFieldId="2" dataDxfId="27"/>
    <tableColumn id="3" uniqueName="3" name="б/пл." queryTableFieldId="3" dataDxfId="26"/>
    <tableColumn id="4" uniqueName="4" name="пл." queryTableFieldId="4" dataDxfId="25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7" name="ПериодВсего" displayName="ПериодВсего" ref="F4:J5" totalsRowShown="0" headerRowDxfId="17" dataDxfId="16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22">
      <calculatedColumnFormula>SUM(ПериодИтоги[Всего])</calculatedColumnFormula>
    </tableColumn>
    <tableColumn id="2" name="Всего 2" dataDxfId="21">
      <calculatedColumnFormula>SUM(ПериодИтоги[Всего])</calculatedColumnFormula>
    </tableColumn>
    <tableColumn id="1" name="Сумма" dataDxfId="20">
      <calculatedColumnFormula>ПериодВсего[б/пл.]+ПериодВсего[пл.]</calculatedColumnFormula>
    </tableColumn>
    <tableColumn id="3" name="б/пл." dataDxfId="19">
      <calculatedColumnFormula>SUM(ПериодИтоги[б/пл.])</calculatedColumnFormula>
    </tableColumn>
    <tableColumn id="4" name="пл." dataDxfId="18">
      <calculatedColumnFormula>SUM(ПериодИтоги[пл.])</calculatedColumnFormula>
    </tableColumn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id="16" name="ГодИтоги" displayName="ГодИтоги" ref="A4:D9" tableType="queryTable" totalsRowShown="0" headerRowDxfId="41" dataDxfId="40">
  <autoFilter ref="A4:D9"/>
  <tableColumns count="4">
    <tableColumn id="1" uniqueName="1" name="Услуги" queryTableFieldId="1" dataDxfId="45"/>
    <tableColumn id="2" uniqueName="2" name="Всего" queryTableFieldId="2" dataDxfId="44"/>
    <tableColumn id="3" uniqueName="3" name="б/пл." queryTableFieldId="3" dataDxfId="43"/>
    <tableColumn id="4" uniqueName="4" name="пл." queryTableFieldId="4" dataDxfId="42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id="9" name="ГодВсего" displayName="ГодВсего" ref="F4:J5" totalsRowShown="0" headerRowDxfId="34" dataDxfId="33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39">
      <calculatedColumnFormula>SUM(ГодИтоги[Всего])</calculatedColumnFormula>
    </tableColumn>
    <tableColumn id="1" name="Всего 2" dataDxfId="38">
      <calculatedColumnFormula>SUM(ГодИтоги[Всего])</calculatedColumnFormula>
    </tableColumn>
    <tableColumn id="4" name="Сумма" dataDxfId="37">
      <calculatedColumnFormula>ГодВсего[б/пл.]+ГодВсего[пл.]</calculatedColumnFormula>
    </tableColumn>
    <tableColumn id="2" name="б/пл." dataDxfId="36">
      <calculatedColumnFormula>SUM(ГодИтоги[б/пл.])</calculatedColumnFormula>
    </tableColumn>
    <tableColumn id="3" name="пл." dataDxfId="35">
      <calculatedColumnFormula>SUM(ГодИтоги[пл.])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07/relationships/slicer" Target="../slicers/slicer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microsoft.com/office/2007/relationships/slicer" Target="../slicers/slicer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Relationship Id="rId6" Type="http://schemas.microsoft.com/office/2007/relationships/slicer" Target="../slicers/slicer3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"/>
  <sheetViews>
    <sheetView tabSelected="1" workbookViewId="0">
      <selection activeCell="E3" sqref="E3"/>
    </sheetView>
  </sheetViews>
  <sheetFormatPr defaultColWidth="9.140625" defaultRowHeight="15.75" x14ac:dyDescent="0.25"/>
  <cols>
    <col min="1" max="1" width="46.5703125" style="6" bestFit="1" customWidth="1"/>
    <col min="2" max="2" width="9.140625" style="1" customWidth="1"/>
    <col min="3" max="3" width="33" style="1" bestFit="1" customWidth="1"/>
    <col min="4" max="4" width="9.140625" style="1"/>
    <col min="5" max="5" width="30.28515625" style="9" bestFit="1" customWidth="1"/>
    <col min="6" max="6" width="9.140625" style="1"/>
    <col min="7" max="7" width="11" style="1" customWidth="1"/>
    <col min="8" max="16384" width="9.140625" style="1"/>
  </cols>
  <sheetData>
    <row r="1" spans="1:8" s="4" customFormat="1" ht="31.5" x14ac:dyDescent="0.25">
      <c r="A1" s="10" t="s">
        <v>1</v>
      </c>
      <c r="C1" s="11" t="s">
        <v>5</v>
      </c>
      <c r="E1" s="7" t="s">
        <v>21</v>
      </c>
      <c r="G1" s="4" t="s">
        <v>23</v>
      </c>
      <c r="H1" s="33" t="s">
        <v>76</v>
      </c>
    </row>
    <row r="2" spans="1:8" ht="16.5" thickBot="1" x14ac:dyDescent="0.3">
      <c r="A2" s="5" t="s">
        <v>81</v>
      </c>
      <c r="C2" s="3" t="s">
        <v>6</v>
      </c>
      <c r="E2" s="8" t="s">
        <v>2</v>
      </c>
      <c r="G2" s="1" t="s">
        <v>4</v>
      </c>
      <c r="H2" s="32">
        <v>1</v>
      </c>
    </row>
    <row r="3" spans="1:8" ht="16.5" thickBot="1" x14ac:dyDescent="0.3">
      <c r="E3" s="8"/>
      <c r="G3" s="1" t="s">
        <v>9</v>
      </c>
      <c r="H3" s="32">
        <v>2</v>
      </c>
    </row>
    <row r="4" spans="1:8" x14ac:dyDescent="0.25">
      <c r="A4" s="6" t="s">
        <v>0</v>
      </c>
      <c r="C4" s="2" t="s">
        <v>22</v>
      </c>
      <c r="G4" s="1" t="s">
        <v>10</v>
      </c>
      <c r="H4" s="32">
        <v>3</v>
      </c>
    </row>
    <row r="5" spans="1:8" ht="32.25" thickBot="1" x14ac:dyDescent="0.3">
      <c r="A5" s="6" t="str">
        <f>A2&amp;C5&amp;C2</f>
        <v>D:\vbox\Social_Develop\social-services-Develop\Услуги.xlsm</v>
      </c>
      <c r="C5" s="3" t="s">
        <v>2</v>
      </c>
      <c r="G5" s="1" t="s">
        <v>11</v>
      </c>
      <c r="H5" s="32">
        <v>4</v>
      </c>
    </row>
    <row r="6" spans="1:8" x14ac:dyDescent="0.25">
      <c r="G6" s="1" t="s">
        <v>12</v>
      </c>
      <c r="H6" s="32">
        <v>5</v>
      </c>
    </row>
    <row r="7" spans="1:8" x14ac:dyDescent="0.25">
      <c r="G7" s="1" t="s">
        <v>13</v>
      </c>
      <c r="H7" s="32">
        <v>6</v>
      </c>
    </row>
    <row r="8" spans="1:8" x14ac:dyDescent="0.25">
      <c r="A8" s="12"/>
      <c r="B8" s="13"/>
      <c r="C8" s="13"/>
      <c r="G8" s="1" t="s">
        <v>14</v>
      </c>
      <c r="H8" s="32">
        <v>7</v>
      </c>
    </row>
    <row r="9" spans="1:8" x14ac:dyDescent="0.25">
      <c r="A9" s="14"/>
      <c r="B9" s="13"/>
      <c r="C9" s="13"/>
      <c r="G9" s="1" t="s">
        <v>15</v>
      </c>
      <c r="H9" s="32">
        <v>8</v>
      </c>
    </row>
    <row r="10" spans="1:8" x14ac:dyDescent="0.25">
      <c r="A10" s="14"/>
      <c r="B10" s="13"/>
      <c r="C10" s="13"/>
      <c r="G10" s="1" t="s">
        <v>16</v>
      </c>
      <c r="H10" s="32">
        <v>9</v>
      </c>
    </row>
    <row r="11" spans="1:8" x14ac:dyDescent="0.25">
      <c r="A11" s="14"/>
      <c r="B11" s="13"/>
      <c r="C11" s="13"/>
      <c r="G11" s="1" t="s">
        <v>17</v>
      </c>
      <c r="H11" s="32">
        <v>10</v>
      </c>
    </row>
    <row r="12" spans="1:8" x14ac:dyDescent="0.25">
      <c r="A12" s="14"/>
      <c r="B12" s="13"/>
      <c r="C12" s="13"/>
      <c r="G12" s="1" t="s">
        <v>18</v>
      </c>
      <c r="H12" s="32">
        <v>11</v>
      </c>
    </row>
    <row r="13" spans="1:8" x14ac:dyDescent="0.25">
      <c r="A13" s="14"/>
      <c r="B13" s="13"/>
      <c r="C13" s="13"/>
      <c r="G13" s="1" t="s">
        <v>19</v>
      </c>
      <c r="H13" s="32">
        <v>12</v>
      </c>
    </row>
  </sheetData>
  <dataValidations count="1">
    <dataValidation type="list" allowBlank="1" showInputMessage="1" showErrorMessage="1" sqref="C5">
      <formula1>СписокФайлов</formula1>
    </dataValidation>
  </dataValidations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E8"/>
  <sheetViews>
    <sheetView zoomScale="90" zoomScaleNormal="90" workbookViewId="0">
      <selection activeCell="C8" sqref="C8"/>
    </sheetView>
  </sheetViews>
  <sheetFormatPr defaultColWidth="9.140625" defaultRowHeight="15.75" x14ac:dyDescent="0.25"/>
  <cols>
    <col min="1" max="1" width="9.140625" style="1"/>
    <col min="2" max="4" width="28.5703125" style="1" customWidth="1"/>
    <col min="5" max="5" width="28.7109375" style="1" customWidth="1"/>
    <col min="6" max="16384" width="9.140625" style="1"/>
  </cols>
  <sheetData>
    <row r="1" spans="2:5" ht="25.5" x14ac:dyDescent="0.25">
      <c r="B1" s="44" t="s">
        <v>7</v>
      </c>
      <c r="C1" s="44"/>
      <c r="D1" s="44"/>
      <c r="E1" s="44"/>
    </row>
    <row r="2" spans="2:5" ht="18.75" x14ac:dyDescent="0.25">
      <c r="B2" s="45" t="s">
        <v>8</v>
      </c>
      <c r="C2" s="45"/>
      <c r="D2" s="45"/>
      <c r="E2" s="45"/>
    </row>
    <row r="3" spans="2:5" ht="16.5" thickBot="1" x14ac:dyDescent="0.3"/>
    <row r="4" spans="2:5" ht="18.75" x14ac:dyDescent="0.25">
      <c r="B4" s="46" t="s">
        <v>23</v>
      </c>
      <c r="C4" s="47"/>
      <c r="D4" s="47"/>
      <c r="E4" s="48"/>
    </row>
    <row r="5" spans="2:5" ht="18.75" x14ac:dyDescent="0.25">
      <c r="B5" s="52" t="s">
        <v>80</v>
      </c>
      <c r="C5" s="53"/>
      <c r="D5" s="53"/>
      <c r="E5" s="54"/>
    </row>
    <row r="6" spans="2:5" ht="19.5" thickBot="1" x14ac:dyDescent="0.3">
      <c r="B6" s="49" t="s">
        <v>75</v>
      </c>
      <c r="C6" s="50"/>
      <c r="D6" s="50"/>
      <c r="E6" s="51"/>
    </row>
    <row r="8" spans="2:5" ht="18.75" x14ac:dyDescent="0.25">
      <c r="B8" s="15" t="s">
        <v>20</v>
      </c>
    </row>
  </sheetData>
  <mergeCells count="5">
    <mergeCell ref="B1:E1"/>
    <mergeCell ref="B2:E2"/>
    <mergeCell ref="B4:E4"/>
    <mergeCell ref="B6:E6"/>
    <mergeCell ref="B5:E5"/>
  </mergeCells>
  <hyperlinks>
    <hyperlink ref="B8" location="Настройки!A1" display="Настройки"/>
    <hyperlink ref="B4:E4" location="Месяцы!A1" display="Месяцы"/>
    <hyperlink ref="B6:E6" location="Год!A1" display="Год"/>
    <hyperlink ref="B5:E5" location="Период!A1" display="Период"/>
  </hyperlink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O299"/>
  <sheetViews>
    <sheetView zoomScale="70" zoomScaleNormal="70" workbookViewId="0">
      <pane ySplit="12" topLeftCell="A13" activePane="bottomLeft" state="frozen"/>
      <selection pane="bottomLeft" activeCell="B2" sqref="B2"/>
    </sheetView>
  </sheetViews>
  <sheetFormatPr defaultColWidth="9.140625" defaultRowHeight="15.75" x14ac:dyDescent="0.25"/>
  <cols>
    <col min="1" max="1" width="26.42578125" style="18" bestFit="1" customWidth="1"/>
    <col min="2" max="2" width="28.140625" style="18" bestFit="1" customWidth="1"/>
    <col min="3" max="3" width="15.42578125" style="18" customWidth="1"/>
    <col min="4" max="4" width="7.85546875" style="18" bestFit="1" customWidth="1"/>
    <col min="5" max="5" width="10.28515625" style="18" bestFit="1" customWidth="1"/>
    <col min="6" max="6" width="9.28515625" style="18" bestFit="1" customWidth="1"/>
    <col min="7" max="7" width="8.85546875" style="18" bestFit="1" customWidth="1"/>
    <col min="8" max="8" width="6.42578125" style="18" bestFit="1" customWidth="1"/>
    <col min="9" max="9" width="10.28515625" style="18" bestFit="1" customWidth="1"/>
    <col min="10" max="14" width="4.28515625" style="18" customWidth="1"/>
    <col min="15" max="16" width="7.28515625" style="18" bestFit="1" customWidth="1"/>
    <col min="17" max="17" width="4.28515625" style="18" customWidth="1"/>
    <col min="18" max="18" width="7.28515625" style="18" bestFit="1" customWidth="1"/>
    <col min="19" max="20" width="4.28515625" style="18" customWidth="1"/>
    <col min="21" max="21" width="7.28515625" style="18" bestFit="1" customWidth="1"/>
    <col min="22" max="22" width="10.28515625" style="18" bestFit="1" customWidth="1"/>
    <col min="23" max="23" width="7.28515625" style="18" bestFit="1" customWidth="1"/>
    <col min="24" max="26" width="4.28515625" style="18" customWidth="1"/>
    <col min="27" max="27" width="13.42578125" style="18" bestFit="1" customWidth="1"/>
    <col min="28" max="28" width="7.28515625" style="18" bestFit="1" customWidth="1"/>
    <col min="29" max="29" width="4.28515625" style="18" customWidth="1"/>
    <col min="30" max="36" width="7.28515625" style="18" bestFit="1" customWidth="1"/>
    <col min="37" max="38" width="4.28515625" style="18" customWidth="1"/>
    <col min="39" max="39" width="10.28515625" style="18" bestFit="1" customWidth="1"/>
    <col min="40" max="40" width="7.28515625" style="18" bestFit="1" customWidth="1"/>
    <col min="41" max="41" width="4" style="18" customWidth="1"/>
    <col min="42" max="63" width="10.28515625" style="18" customWidth="1"/>
    <col min="64" max="64" width="10.85546875" style="18" customWidth="1"/>
    <col min="65" max="68" width="10.28515625" style="18" customWidth="1"/>
    <col min="69" max="69" width="13" style="18" customWidth="1"/>
    <col min="70" max="80" width="10.28515625" style="18" customWidth="1"/>
    <col min="81" max="81" width="10.85546875" style="18" customWidth="1"/>
    <col min="82" max="82" width="10.28515625" style="18" customWidth="1"/>
    <col min="83" max="83" width="3.85546875" style="18" customWidth="1"/>
    <col min="84" max="84" width="18.140625" style="18" customWidth="1"/>
    <col min="85" max="85" width="15.7109375" style="18" customWidth="1"/>
    <col min="86" max="87" width="14.140625" style="18" customWidth="1"/>
    <col min="88" max="88" width="23.140625" style="18" customWidth="1"/>
    <col min="89" max="89" width="30.140625" style="18" customWidth="1"/>
    <col min="90" max="90" width="29.140625" style="18" customWidth="1"/>
    <col min="91" max="91" width="21.5703125" style="18" customWidth="1"/>
    <col min="92" max="92" width="41.28515625" style="18" customWidth="1"/>
    <col min="93" max="93" width="18" style="18" customWidth="1"/>
    <col min="94" max="94" width="19.28515625" style="18" customWidth="1"/>
    <col min="95" max="95" width="35.5703125" style="18" customWidth="1"/>
    <col min="96" max="96" width="50.42578125" style="18" customWidth="1"/>
    <col min="97" max="97" width="44.140625" style="18" customWidth="1"/>
    <col min="98" max="98" width="24.42578125" style="18" customWidth="1"/>
    <col min="99" max="99" width="11.5703125" style="18" customWidth="1"/>
    <col min="100" max="100" width="8.5703125" style="18" customWidth="1"/>
    <col min="101" max="101" width="57.28515625" style="18" customWidth="1"/>
    <col min="102" max="102" width="43.28515625" style="18" customWidth="1"/>
    <col min="103" max="103" width="12.28515625" style="18" customWidth="1"/>
    <col min="104" max="104" width="28.140625" style="18" customWidth="1"/>
    <col min="105" max="105" width="27.140625" style="18" customWidth="1"/>
    <col min="106" max="106" width="37.85546875" style="18" customWidth="1"/>
    <col min="107" max="107" width="41.7109375" style="18" customWidth="1"/>
    <col min="108" max="108" width="45.42578125" style="18" customWidth="1"/>
    <col min="109" max="109" width="31.42578125" style="18" customWidth="1"/>
    <col min="110" max="110" width="38.140625" style="18" customWidth="1"/>
    <col min="111" max="111" width="10.7109375" style="18" customWidth="1"/>
    <col min="112" max="112" width="19.28515625" style="18" customWidth="1"/>
    <col min="113" max="113" width="50.85546875" style="18" customWidth="1"/>
    <col min="114" max="114" width="35.5703125" style="18" customWidth="1"/>
    <col min="115" max="115" width="16.28515625" style="18" customWidth="1"/>
    <col min="116" max="116" width="10" style="18" bestFit="1" customWidth="1"/>
    <col min="117" max="117" width="43.5703125" style="18" bestFit="1" customWidth="1"/>
    <col min="118" max="118" width="23.5703125" style="18" bestFit="1" customWidth="1"/>
    <col min="119" max="119" width="36.5703125" style="18" bestFit="1" customWidth="1"/>
    <col min="120" max="120" width="15" style="18" bestFit="1" customWidth="1"/>
    <col min="121" max="121" width="43.42578125" style="18" bestFit="1" customWidth="1"/>
    <col min="122" max="122" width="18.140625" style="18" bestFit="1" customWidth="1"/>
    <col min="123" max="123" width="15.7109375" style="18" bestFit="1" customWidth="1"/>
    <col min="124" max="125" width="14.140625" style="18" bestFit="1" customWidth="1"/>
    <col min="126" max="126" width="23.140625" style="18" bestFit="1" customWidth="1"/>
    <col min="127" max="127" width="30.140625" style="18" bestFit="1" customWidth="1"/>
    <col min="128" max="128" width="29.140625" style="18" bestFit="1" customWidth="1"/>
    <col min="129" max="129" width="21.5703125" style="18" bestFit="1" customWidth="1"/>
    <col min="130" max="130" width="41.28515625" style="18" bestFit="1" customWidth="1"/>
    <col min="131" max="131" width="18" style="18" bestFit="1" customWidth="1"/>
    <col min="132" max="132" width="19.28515625" style="18" bestFit="1" customWidth="1"/>
    <col min="133" max="133" width="35.5703125" style="18" bestFit="1" customWidth="1"/>
    <col min="134" max="134" width="50.42578125" style="18" customWidth="1"/>
    <col min="135" max="135" width="44.140625" style="18" bestFit="1" customWidth="1"/>
    <col min="136" max="136" width="24.42578125" style="18" bestFit="1" customWidth="1"/>
    <col min="137" max="137" width="11.5703125" style="18" bestFit="1" customWidth="1"/>
    <col min="138" max="138" width="8.5703125" style="18" customWidth="1"/>
    <col min="139" max="139" width="57.28515625" style="18" bestFit="1" customWidth="1"/>
    <col min="140" max="140" width="43.28515625" style="18" bestFit="1" customWidth="1"/>
    <col min="141" max="141" width="12.28515625" style="18" customWidth="1"/>
    <col min="142" max="142" width="28.140625" style="18" bestFit="1" customWidth="1"/>
    <col min="143" max="143" width="27.140625" style="18" bestFit="1" customWidth="1"/>
    <col min="144" max="144" width="37.85546875" style="18" bestFit="1" customWidth="1"/>
    <col min="145" max="145" width="41.7109375" style="18" customWidth="1"/>
    <col min="146" max="146" width="45.42578125" style="18" bestFit="1" customWidth="1"/>
    <col min="147" max="147" width="31.42578125" style="18" bestFit="1" customWidth="1"/>
    <col min="148" max="148" width="38.140625" style="18" bestFit="1" customWidth="1"/>
    <col min="149" max="149" width="10.7109375" style="18" bestFit="1" customWidth="1"/>
    <col min="150" max="150" width="19.28515625" style="18" bestFit="1" customWidth="1"/>
    <col min="151" max="151" width="50.85546875" style="18" bestFit="1" customWidth="1"/>
    <col min="152" max="152" width="35.5703125" style="18" bestFit="1" customWidth="1"/>
    <col min="153" max="153" width="16.28515625" style="18" bestFit="1" customWidth="1"/>
    <col min="154" max="16384" width="9.140625" style="18"/>
  </cols>
  <sheetData>
    <row r="1" spans="1:41" ht="22.5" x14ac:dyDescent="0.3">
      <c r="A1" s="16" t="s">
        <v>2</v>
      </c>
      <c r="B1" s="17" t="s">
        <v>32</v>
      </c>
    </row>
    <row r="2" spans="1:41" ht="22.5" x14ac:dyDescent="0.3">
      <c r="A2" s="16" t="s">
        <v>3</v>
      </c>
      <c r="B2" s="19" t="s">
        <v>4</v>
      </c>
    </row>
    <row r="4" spans="1:41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84</v>
      </c>
      <c r="G4" s="18" t="s">
        <v>83</v>
      </c>
      <c r="H4" s="18" t="s">
        <v>79</v>
      </c>
      <c r="I4" s="18" t="s">
        <v>25</v>
      </c>
      <c r="J4" s="18" t="s">
        <v>26</v>
      </c>
    </row>
    <row r="5" spans="1:41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SUM(МесяцыИтоги[Всего])</f>
        <v>0</v>
      </c>
      <c r="G5" s="18">
        <f>SUM(МесяцыИтоги[Всего])</f>
        <v>0</v>
      </c>
      <c r="H5" s="18">
        <f>МесяцыВсего[б/пл.]+МесяцыВсего[пл.]</f>
        <v>0</v>
      </c>
      <c r="I5" s="18">
        <f>SUM(МесяцыИтоги[б/пл.])</f>
        <v>0</v>
      </c>
      <c r="J5" s="18">
        <f>SUM(МесяцыИтоги[пл.])</f>
        <v>0</v>
      </c>
    </row>
    <row r="6" spans="1:41" x14ac:dyDescent="0.25">
      <c r="A6" s="20" t="s">
        <v>28</v>
      </c>
      <c r="B6" s="20">
        <v>0</v>
      </c>
      <c r="C6" s="20">
        <v>0</v>
      </c>
      <c r="D6" s="21">
        <v>0</v>
      </c>
    </row>
    <row r="7" spans="1:41" x14ac:dyDescent="0.25">
      <c r="A7" s="20" t="s">
        <v>29</v>
      </c>
      <c r="B7" s="20">
        <v>0</v>
      </c>
      <c r="C7" s="20">
        <v>0</v>
      </c>
      <c r="D7" s="21">
        <v>0</v>
      </c>
    </row>
    <row r="8" spans="1:41" x14ac:dyDescent="0.25">
      <c r="A8" s="20" t="s">
        <v>30</v>
      </c>
      <c r="B8" s="20">
        <v>0</v>
      </c>
      <c r="C8" s="20">
        <v>0</v>
      </c>
      <c r="D8" s="21">
        <v>0</v>
      </c>
    </row>
    <row r="9" spans="1:41" x14ac:dyDescent="0.25">
      <c r="A9" s="20" t="s">
        <v>31</v>
      </c>
      <c r="B9" s="20">
        <v>0</v>
      </c>
      <c r="C9" s="20">
        <v>0</v>
      </c>
      <c r="D9" s="21">
        <v>0</v>
      </c>
    </row>
    <row r="11" spans="1:41" x14ac:dyDescent="0.25">
      <c r="A11" s="25" t="s">
        <v>74</v>
      </c>
      <c r="B11" s="25"/>
      <c r="C11" s="26" t="s">
        <v>2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2"/>
    </row>
    <row r="12" spans="1:41" ht="127.5" customHeight="1" x14ac:dyDescent="0.25">
      <c r="A12" s="26" t="s">
        <v>33</v>
      </c>
      <c r="B12" s="26" t="s">
        <v>35</v>
      </c>
      <c r="C12" s="28" t="s">
        <v>42</v>
      </c>
      <c r="D12" s="26" t="s">
        <v>41</v>
      </c>
      <c r="E12" s="29" t="s">
        <v>70</v>
      </c>
      <c r="F12" s="28" t="s">
        <v>51</v>
      </c>
      <c r="G12" s="28" t="s">
        <v>54</v>
      </c>
      <c r="H12" s="28" t="s">
        <v>44</v>
      </c>
      <c r="I12" s="28" t="s">
        <v>48</v>
      </c>
      <c r="J12" s="28" t="s">
        <v>38</v>
      </c>
      <c r="K12" s="28" t="s">
        <v>60</v>
      </c>
      <c r="L12" s="28" t="s">
        <v>72</v>
      </c>
      <c r="M12" s="28" t="s">
        <v>73</v>
      </c>
      <c r="N12" s="28" t="s">
        <v>55</v>
      </c>
      <c r="O12" s="28" t="s">
        <v>59</v>
      </c>
      <c r="P12" s="28" t="s">
        <v>58</v>
      </c>
      <c r="Q12" s="28" t="s">
        <v>45</v>
      </c>
      <c r="R12" s="28" t="s">
        <v>47</v>
      </c>
      <c r="S12" s="28" t="s">
        <v>71</v>
      </c>
      <c r="T12" s="28" t="s">
        <v>40</v>
      </c>
      <c r="U12" s="28" t="s">
        <v>52</v>
      </c>
      <c r="V12" s="28" t="s">
        <v>64</v>
      </c>
      <c r="W12" s="28" t="s">
        <v>63</v>
      </c>
      <c r="X12" s="28" t="s">
        <v>56</v>
      </c>
      <c r="Y12" s="28" t="s">
        <v>49</v>
      </c>
      <c r="Z12" s="28" t="s">
        <v>61</v>
      </c>
      <c r="AA12" s="28" t="s">
        <v>39</v>
      </c>
      <c r="AB12" s="28" t="s">
        <v>50</v>
      </c>
      <c r="AC12" s="28" t="s">
        <v>57</v>
      </c>
      <c r="AD12" s="28" t="s">
        <v>62</v>
      </c>
      <c r="AE12" s="28" t="s">
        <v>67</v>
      </c>
      <c r="AF12" s="28" t="s">
        <v>68</v>
      </c>
      <c r="AG12" s="28" t="s">
        <v>65</v>
      </c>
      <c r="AH12" s="28" t="s">
        <v>43</v>
      </c>
      <c r="AI12" s="28" t="s">
        <v>66</v>
      </c>
      <c r="AJ12" s="28" t="s">
        <v>37</v>
      </c>
      <c r="AK12" s="28" t="s">
        <v>36</v>
      </c>
      <c r="AL12" s="28" t="s">
        <v>69</v>
      </c>
      <c r="AM12" s="28" t="s">
        <v>46</v>
      </c>
      <c r="AN12" s="28" t="s">
        <v>53</v>
      </c>
      <c r="AO12" s="22"/>
    </row>
    <row r="13" spans="1:41" x14ac:dyDescent="0.25">
      <c r="A13" s="25" t="s">
        <v>82</v>
      </c>
      <c r="B13" s="26"/>
      <c r="C13" s="30">
        <v>1</v>
      </c>
      <c r="D13" s="30">
        <v>0</v>
      </c>
      <c r="E13" s="31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0">
        <v>0</v>
      </c>
      <c r="W13" s="30">
        <v>0</v>
      </c>
      <c r="X13" s="30">
        <v>0</v>
      </c>
      <c r="Y13" s="30">
        <v>0</v>
      </c>
      <c r="Z13" s="30">
        <v>0</v>
      </c>
      <c r="AA13" s="30">
        <v>0</v>
      </c>
      <c r="AB13" s="30">
        <v>0</v>
      </c>
      <c r="AC13" s="30">
        <v>0</v>
      </c>
      <c r="AD13" s="30">
        <v>0</v>
      </c>
      <c r="AE13" s="30">
        <v>0</v>
      </c>
      <c r="AF13" s="30">
        <v>0</v>
      </c>
      <c r="AG13" s="30">
        <v>0</v>
      </c>
      <c r="AH13" s="30">
        <v>0</v>
      </c>
      <c r="AI13" s="30">
        <v>0</v>
      </c>
      <c r="AJ13" s="30">
        <v>0</v>
      </c>
      <c r="AK13" s="30">
        <v>0</v>
      </c>
      <c r="AL13" s="30">
        <v>0</v>
      </c>
      <c r="AM13" s="30">
        <v>0</v>
      </c>
      <c r="AN13" s="30">
        <v>0</v>
      </c>
      <c r="AO13" s="22"/>
    </row>
    <row r="14" spans="1:41" x14ac:dyDescent="0.25">
      <c r="A14" s="27" t="s">
        <v>34</v>
      </c>
      <c r="B14" s="27"/>
      <c r="C14" s="30">
        <v>1</v>
      </c>
      <c r="D14" s="30">
        <v>0</v>
      </c>
      <c r="E14" s="31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0">
        <v>0</v>
      </c>
      <c r="AM14" s="30">
        <v>0</v>
      </c>
      <c r="AN14" s="30">
        <v>0</v>
      </c>
      <c r="AO14" s="22"/>
    </row>
    <row r="15" spans="1:41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</row>
    <row r="16" spans="1:41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</row>
    <row r="17" spans="1:4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</row>
    <row r="18" spans="1:4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</row>
    <row r="19" spans="1:4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</row>
    <row r="20" spans="1:4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</row>
    <row r="21" spans="1:4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</row>
    <row r="22" spans="1:4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</row>
    <row r="23" spans="1:4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</row>
    <row r="24" spans="1:4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</row>
    <row r="25" spans="1:4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</row>
    <row r="26" spans="1:4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</row>
    <row r="27" spans="1:4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</row>
    <row r="28" spans="1:4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</row>
    <row r="29" spans="1:4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</row>
    <row r="30" spans="1:4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</row>
    <row r="31" spans="1:4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</row>
    <row r="32" spans="1:4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</row>
    <row r="33" spans="1:4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</row>
    <row r="34" spans="1:4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</row>
    <row r="35" spans="1:41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</row>
    <row r="36" spans="1:41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</row>
    <row r="37" spans="1:41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</row>
    <row r="38" spans="1:4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</row>
    <row r="39" spans="1:41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</row>
    <row r="40" spans="1:41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</row>
    <row r="41" spans="1:41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</row>
    <row r="42" spans="1:4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</row>
    <row r="43" spans="1:41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</row>
    <row r="44" spans="1:41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</row>
    <row r="45" spans="1:41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</row>
    <row r="46" spans="1:41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</row>
    <row r="47" spans="1:4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</row>
    <row r="48" spans="1:41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</row>
    <row r="49" spans="1:41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</row>
    <row r="50" spans="1:4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</row>
    <row r="51" spans="1:4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</row>
    <row r="52" spans="1:4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</row>
    <row r="53" spans="1:4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</row>
    <row r="54" spans="1:4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</row>
    <row r="55" spans="1:41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</row>
    <row r="56" spans="1:41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</row>
    <row r="57" spans="1:4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</row>
    <row r="58" spans="1:41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</row>
    <row r="59" spans="1:41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</row>
    <row r="60" spans="1:41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</row>
    <row r="61" spans="1:41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</row>
    <row r="62" spans="1:41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</row>
    <row r="63" spans="1:41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</row>
    <row r="64" spans="1:41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</row>
    <row r="65" spans="1:41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</row>
    <row r="66" spans="1:41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</row>
    <row r="67" spans="1:41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</row>
    <row r="68" spans="1:41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</row>
    <row r="69" spans="1:4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</row>
    <row r="70" spans="1:41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</row>
    <row r="71" spans="1:41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80" spans="1:41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</row>
    <row r="81" spans="1:41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</row>
    <row r="82" spans="1:41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</row>
    <row r="83" spans="1:41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</row>
    <row r="84" spans="1:41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</row>
    <row r="85" spans="1:41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</row>
    <row r="86" spans="1:41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</row>
    <row r="87" spans="1:41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</row>
    <row r="88" spans="1:41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</row>
    <row r="89" spans="1:41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</row>
    <row r="90" spans="1:41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</row>
    <row r="91" spans="1:41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</row>
    <row r="92" spans="1:41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</row>
    <row r="93" spans="1:41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</row>
    <row r="94" spans="1:41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</row>
    <row r="95" spans="1:41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</row>
    <row r="96" spans="1:41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</row>
    <row r="97" spans="1:41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</row>
    <row r="98" spans="1:41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</row>
    <row r="99" spans="1:41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1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1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1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1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1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1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1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1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1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1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1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1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1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</sheetData>
  <dataValidations count="1">
    <dataValidation type="list" allowBlank="1" showInputMessage="1" showErrorMessage="1" sqref="B2">
      <formula1>INDIRECT("Месяцы[Месяцы]")</formula1>
    </dataValidation>
  </dataValidations>
  <pageMargins left="0.7" right="0.7" top="0.75" bottom="0.75" header="0.3" footer="0.3"/>
  <pageSetup paperSize="9" orientation="portrait" horizontalDpi="300" verticalDpi="300" r:id="rId2"/>
  <drawing r:id="rId3"/>
  <tableParts count="3">
    <tablePart r:id="rId4"/>
    <tablePart r:id="rId5"/>
    <tablePart r:id="rId6"/>
  </tablePart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N376"/>
  <sheetViews>
    <sheetView zoomScale="70" zoomScaleNormal="70" workbookViewId="0">
      <pane ySplit="12" topLeftCell="A13" activePane="bottomLeft" state="frozen"/>
      <selection pane="bottomLeft" activeCell="B2" sqref="B2"/>
    </sheetView>
  </sheetViews>
  <sheetFormatPr defaultColWidth="9.140625" defaultRowHeight="15.75" x14ac:dyDescent="0.25"/>
  <cols>
    <col min="1" max="1" width="26.42578125" style="18" bestFit="1" customWidth="1"/>
    <col min="2" max="2" width="28.140625" style="18" customWidth="1"/>
    <col min="3" max="3" width="12.140625" style="18" customWidth="1"/>
    <col min="4" max="4" width="7.85546875" style="18" bestFit="1" customWidth="1"/>
    <col min="5" max="5" width="10.28515625" style="18" customWidth="1"/>
    <col min="6" max="7" width="9.28515625" style="18" bestFit="1" customWidth="1"/>
    <col min="8" max="8" width="8.85546875" style="18" bestFit="1" customWidth="1"/>
    <col min="9" max="9" width="10.28515625" style="18" customWidth="1"/>
    <col min="10" max="10" width="4.5703125" style="18" bestFit="1" customWidth="1"/>
    <col min="11" max="14" width="4.28515625" style="18" customWidth="1"/>
    <col min="15" max="16" width="7.28515625" style="18" customWidth="1"/>
    <col min="17" max="17" width="4.28515625" style="18" customWidth="1"/>
    <col min="18" max="18" width="7.28515625" style="18" customWidth="1"/>
    <col min="19" max="20" width="4.28515625" style="18" customWidth="1"/>
    <col min="21" max="21" width="7.28515625" style="18" customWidth="1"/>
    <col min="22" max="22" width="10.28515625" style="18" customWidth="1"/>
    <col min="23" max="23" width="7.28515625" style="18" customWidth="1"/>
    <col min="24" max="26" width="4.28515625" style="18" customWidth="1"/>
    <col min="27" max="27" width="13.42578125" style="18" customWidth="1"/>
    <col min="28" max="28" width="7.28515625" style="18" customWidth="1"/>
    <col min="29" max="29" width="4.28515625" style="18" customWidth="1"/>
    <col min="30" max="36" width="7.28515625" style="18" customWidth="1"/>
    <col min="37" max="38" width="4.28515625" style="18" customWidth="1"/>
    <col min="39" max="39" width="10.28515625" style="18" customWidth="1"/>
    <col min="40" max="40" width="7.28515625" style="18" customWidth="1"/>
    <col min="41" max="16384" width="9.140625" style="18"/>
  </cols>
  <sheetData>
    <row r="1" spans="1:40" ht="22.5" x14ac:dyDescent="0.3">
      <c r="A1" s="16" t="s">
        <v>2</v>
      </c>
      <c r="B1" s="34" t="s">
        <v>77</v>
      </c>
      <c r="C1" s="34" t="s">
        <v>78</v>
      </c>
    </row>
    <row r="2" spans="1:40" ht="22.5" x14ac:dyDescent="0.3">
      <c r="A2" s="16" t="s">
        <v>3</v>
      </c>
      <c r="B2" s="37" t="s">
        <v>4</v>
      </c>
      <c r="C2" s="37" t="s">
        <v>4</v>
      </c>
    </row>
    <row r="4" spans="1:40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84</v>
      </c>
      <c r="G4" s="18" t="s">
        <v>83</v>
      </c>
      <c r="H4" s="18" t="s">
        <v>79</v>
      </c>
      <c r="I4" s="18" t="s">
        <v>25</v>
      </c>
      <c r="J4" s="18" t="s">
        <v>26</v>
      </c>
    </row>
    <row r="5" spans="1:40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SUM(ПериодИтоги[Всего])</f>
        <v>0</v>
      </c>
      <c r="G5" s="18">
        <f>SUM(ПериодИтоги[Всего])</f>
        <v>0</v>
      </c>
      <c r="H5" s="18">
        <f>ПериодВсего[б/пл.]+ПериодВсего[пл.]</f>
        <v>0</v>
      </c>
      <c r="I5" s="18">
        <f>SUM(ПериодИтоги[б/пл.])</f>
        <v>0</v>
      </c>
      <c r="J5" s="18">
        <f>SUM(ПериодИтоги[пл.])</f>
        <v>0</v>
      </c>
    </row>
    <row r="6" spans="1:40" x14ac:dyDescent="0.25">
      <c r="A6" s="20" t="s">
        <v>28</v>
      </c>
      <c r="B6" s="20">
        <v>0</v>
      </c>
      <c r="C6" s="20">
        <v>0</v>
      </c>
      <c r="D6" s="21">
        <v>0</v>
      </c>
    </row>
    <row r="7" spans="1:40" x14ac:dyDescent="0.25">
      <c r="A7" s="20" t="s">
        <v>29</v>
      </c>
      <c r="B7" s="20">
        <v>0</v>
      </c>
      <c r="C7" s="20">
        <v>0</v>
      </c>
      <c r="D7" s="21">
        <v>0</v>
      </c>
    </row>
    <row r="8" spans="1:40" x14ac:dyDescent="0.25">
      <c r="A8" s="20" t="s">
        <v>30</v>
      </c>
      <c r="B8" s="20">
        <v>0</v>
      </c>
      <c r="C8" s="20">
        <v>0</v>
      </c>
      <c r="D8" s="21">
        <v>0</v>
      </c>
    </row>
    <row r="9" spans="1:40" x14ac:dyDescent="0.25">
      <c r="A9" s="20" t="s">
        <v>31</v>
      </c>
      <c r="B9" s="20">
        <v>0</v>
      </c>
      <c r="C9" s="20">
        <v>0</v>
      </c>
      <c r="D9" s="21">
        <v>0</v>
      </c>
    </row>
    <row r="11" spans="1:40" s="35" customFormat="1" x14ac:dyDescent="0.25">
      <c r="A11" s="38" t="s">
        <v>74</v>
      </c>
      <c r="B11" s="38"/>
      <c r="C11" s="39" t="s">
        <v>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</row>
    <row r="12" spans="1:40" s="36" customFormat="1" ht="127.5" customHeight="1" x14ac:dyDescent="0.25">
      <c r="A12" s="26" t="s">
        <v>33</v>
      </c>
      <c r="B12" s="40" t="s">
        <v>35</v>
      </c>
      <c r="C12" s="41" t="s">
        <v>42</v>
      </c>
      <c r="D12" s="42" t="s">
        <v>41</v>
      </c>
      <c r="E12" s="41" t="s">
        <v>70</v>
      </c>
      <c r="F12" s="28" t="s">
        <v>51</v>
      </c>
      <c r="G12" s="28" t="s">
        <v>54</v>
      </c>
      <c r="H12" s="28" t="s">
        <v>44</v>
      </c>
      <c r="I12" s="28" t="s">
        <v>48</v>
      </c>
      <c r="J12" s="28" t="s">
        <v>38</v>
      </c>
      <c r="K12" s="28" t="s">
        <v>60</v>
      </c>
      <c r="L12" s="28" t="s">
        <v>72</v>
      </c>
      <c r="M12" s="28" t="s">
        <v>73</v>
      </c>
      <c r="N12" s="28" t="s">
        <v>55</v>
      </c>
      <c r="O12" s="28" t="s">
        <v>59</v>
      </c>
      <c r="P12" s="28" t="s">
        <v>58</v>
      </c>
      <c r="Q12" s="28" t="s">
        <v>45</v>
      </c>
      <c r="R12" s="28" t="s">
        <v>47</v>
      </c>
      <c r="S12" s="28" t="s">
        <v>71</v>
      </c>
      <c r="T12" s="28" t="s">
        <v>40</v>
      </c>
      <c r="U12" s="28" t="s">
        <v>52</v>
      </c>
      <c r="V12" s="28" t="s">
        <v>64</v>
      </c>
      <c r="W12" s="28" t="s">
        <v>63</v>
      </c>
      <c r="X12" s="28" t="s">
        <v>56</v>
      </c>
      <c r="Y12" s="28" t="s">
        <v>49</v>
      </c>
      <c r="Z12" s="28" t="s">
        <v>61</v>
      </c>
      <c r="AA12" s="28" t="s">
        <v>39</v>
      </c>
      <c r="AB12" s="28" t="s">
        <v>50</v>
      </c>
      <c r="AC12" s="28" t="s">
        <v>57</v>
      </c>
      <c r="AD12" s="28" t="s">
        <v>62</v>
      </c>
      <c r="AE12" s="28" t="s">
        <v>67</v>
      </c>
      <c r="AF12" s="28" t="s">
        <v>68</v>
      </c>
      <c r="AG12" s="28" t="s">
        <v>65</v>
      </c>
      <c r="AH12" s="28" t="s">
        <v>43</v>
      </c>
      <c r="AI12" s="28" t="s">
        <v>66</v>
      </c>
      <c r="AJ12" s="28" t="s">
        <v>37</v>
      </c>
      <c r="AK12" s="28" t="s">
        <v>36</v>
      </c>
      <c r="AL12" s="28" t="s">
        <v>69</v>
      </c>
      <c r="AM12" s="28" t="s">
        <v>46</v>
      </c>
      <c r="AN12" s="28" t="s">
        <v>53</v>
      </c>
    </row>
    <row r="13" spans="1:40" x14ac:dyDescent="0.25">
      <c r="A13" s="39" t="s">
        <v>82</v>
      </c>
      <c r="B13" s="39"/>
      <c r="C13" s="43">
        <v>1</v>
      </c>
      <c r="D13" s="43">
        <v>0</v>
      </c>
      <c r="E13" s="43">
        <v>0</v>
      </c>
      <c r="F13" s="43">
        <v>0</v>
      </c>
      <c r="G13" s="43">
        <v>0</v>
      </c>
      <c r="H13" s="43">
        <v>0</v>
      </c>
      <c r="I13" s="43">
        <v>0</v>
      </c>
      <c r="J13" s="43">
        <v>0</v>
      </c>
      <c r="K13" s="43">
        <v>0</v>
      </c>
      <c r="L13" s="43">
        <v>0</v>
      </c>
      <c r="M13" s="43">
        <v>0</v>
      </c>
      <c r="N13" s="43">
        <v>0</v>
      </c>
      <c r="O13" s="43">
        <v>0</v>
      </c>
      <c r="P13" s="43">
        <v>0</v>
      </c>
      <c r="Q13" s="43">
        <v>0</v>
      </c>
      <c r="R13" s="43">
        <v>0</v>
      </c>
      <c r="S13" s="43">
        <v>0</v>
      </c>
      <c r="T13" s="43">
        <v>0</v>
      </c>
      <c r="U13" s="43">
        <v>0</v>
      </c>
      <c r="V13" s="43">
        <v>0</v>
      </c>
      <c r="W13" s="43">
        <v>0</v>
      </c>
      <c r="X13" s="43">
        <v>0</v>
      </c>
      <c r="Y13" s="43">
        <v>0</v>
      </c>
      <c r="Z13" s="43">
        <v>0</v>
      </c>
      <c r="AA13" s="43">
        <v>0</v>
      </c>
      <c r="AB13" s="43">
        <v>0</v>
      </c>
      <c r="AC13" s="43">
        <v>0</v>
      </c>
      <c r="AD13" s="43">
        <v>0</v>
      </c>
      <c r="AE13" s="43">
        <v>0</v>
      </c>
      <c r="AF13" s="43">
        <v>0</v>
      </c>
      <c r="AG13" s="43">
        <v>0</v>
      </c>
      <c r="AH13" s="43">
        <v>0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5">
      <c r="A14" s="39" t="s">
        <v>34</v>
      </c>
      <c r="B14" s="39"/>
      <c r="C14" s="43">
        <v>1</v>
      </c>
      <c r="D14" s="43">
        <v>0</v>
      </c>
      <c r="E14" s="43">
        <v>0</v>
      </c>
      <c r="F14" s="43">
        <v>0</v>
      </c>
      <c r="G14" s="43">
        <v>0</v>
      </c>
      <c r="H14" s="43">
        <v>0</v>
      </c>
      <c r="I14" s="43">
        <v>0</v>
      </c>
      <c r="J14" s="43">
        <v>0</v>
      </c>
      <c r="K14" s="43">
        <v>0</v>
      </c>
      <c r="L14" s="43">
        <v>0</v>
      </c>
      <c r="M14" s="43">
        <v>0</v>
      </c>
      <c r="N14" s="43">
        <v>0</v>
      </c>
      <c r="O14" s="43">
        <v>0</v>
      </c>
      <c r="P14" s="43">
        <v>0</v>
      </c>
      <c r="Q14" s="43">
        <v>0</v>
      </c>
      <c r="R14" s="43">
        <v>0</v>
      </c>
      <c r="S14" s="43">
        <v>0</v>
      </c>
      <c r="T14" s="43">
        <v>0</v>
      </c>
      <c r="U14" s="43">
        <v>0</v>
      </c>
      <c r="V14" s="43">
        <v>0</v>
      </c>
      <c r="W14" s="43">
        <v>0</v>
      </c>
      <c r="X14" s="43">
        <v>0</v>
      </c>
      <c r="Y14" s="43">
        <v>0</v>
      </c>
      <c r="Z14" s="43">
        <v>0</v>
      </c>
      <c r="AA14" s="43">
        <v>0</v>
      </c>
      <c r="AB14" s="43">
        <v>0</v>
      </c>
      <c r="AC14" s="43">
        <v>0</v>
      </c>
      <c r="AD14" s="43">
        <v>0</v>
      </c>
      <c r="AE14" s="43">
        <v>0</v>
      </c>
      <c r="AF14" s="43">
        <v>0</v>
      </c>
      <c r="AG14" s="43">
        <v>0</v>
      </c>
      <c r="AH14" s="43">
        <v>0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</row>
    <row r="16" spans="1:40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</row>
    <row r="17" spans="1:40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</row>
    <row r="18" spans="1:40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</row>
    <row r="19" spans="1:40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</row>
    <row r="20" spans="1:40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</row>
    <row r="21" spans="1:40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</row>
    <row r="22" spans="1:40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</row>
    <row r="23" spans="1:4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</row>
    <row r="24" spans="1:4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</row>
    <row r="25" spans="1:4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</row>
    <row r="26" spans="1:4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</row>
    <row r="27" spans="1:4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</row>
    <row r="28" spans="1:4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</row>
    <row r="29" spans="1:4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</row>
    <row r="30" spans="1:4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</row>
    <row r="31" spans="1:40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</row>
    <row r="32" spans="1:40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</row>
    <row r="33" spans="1:40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</row>
    <row r="34" spans="1:4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</row>
    <row r="35" spans="1:40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</row>
    <row r="36" spans="1:40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</row>
    <row r="37" spans="1:40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</row>
    <row r="38" spans="1:40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</row>
    <row r="39" spans="1:40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</row>
    <row r="40" spans="1:40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</row>
    <row r="41" spans="1:40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</row>
    <row r="42" spans="1:40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</row>
    <row r="43" spans="1:40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</row>
    <row r="44" spans="1:40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</row>
    <row r="45" spans="1:40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</row>
    <row r="46" spans="1:40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</row>
    <row r="47" spans="1:40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</row>
    <row r="48" spans="1:40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</row>
    <row r="49" spans="1:40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</row>
    <row r="50" spans="1:40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</row>
    <row r="51" spans="1:40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</row>
    <row r="52" spans="1:40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</row>
    <row r="53" spans="1:40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</row>
    <row r="54" spans="1:40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</row>
    <row r="55" spans="1:40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</row>
    <row r="56" spans="1:40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</row>
    <row r="57" spans="1:40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</row>
    <row r="58" spans="1:40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</row>
    <row r="59" spans="1:40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</row>
    <row r="60" spans="1:40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</row>
    <row r="61" spans="1:40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</row>
    <row r="62" spans="1:40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</row>
    <row r="63" spans="1:40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</row>
    <row r="64" spans="1:40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</row>
    <row r="65" spans="1:40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</row>
    <row r="66" spans="1:40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</row>
    <row r="67" spans="1:40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</row>
    <row r="68" spans="1:40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</row>
    <row r="69" spans="1:4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</row>
    <row r="70" spans="1:40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</row>
    <row r="71" spans="1:40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</row>
    <row r="72" spans="1:40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</row>
    <row r="73" spans="1:40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</row>
    <row r="74" spans="1:40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</row>
    <row r="75" spans="1:40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</row>
    <row r="76" spans="1:40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</row>
    <row r="77" spans="1:40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</row>
    <row r="78" spans="1:40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</row>
    <row r="79" spans="1:40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</row>
    <row r="80" spans="1:40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</row>
    <row r="81" spans="1:40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</row>
    <row r="82" spans="1:40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</row>
    <row r="83" spans="1:40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</row>
    <row r="84" spans="1:40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</row>
    <row r="85" spans="1:40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</row>
    <row r="86" spans="1:40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</row>
    <row r="87" spans="1:40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</row>
    <row r="88" spans="1:40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</row>
    <row r="89" spans="1:40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</row>
    <row r="90" spans="1:40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</row>
    <row r="91" spans="1:40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</row>
    <row r="92" spans="1:40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</row>
    <row r="93" spans="1:40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</row>
    <row r="94" spans="1:40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0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0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  <row r="370" spans="1:40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</row>
    <row r="371" spans="1:40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</row>
    <row r="372" spans="1:40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</row>
    <row r="373" spans="1:40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</row>
    <row r="374" spans="1:40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</row>
    <row r="375" spans="1:40" x14ac:dyDescent="0.25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</row>
    <row r="376" spans="1:40" x14ac:dyDescent="0.25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</row>
  </sheetData>
  <dataValidations count="1">
    <dataValidation type="list" allowBlank="1" showInputMessage="1" showErrorMessage="1" sqref="B2:C2">
      <formula1>INDIRECT("Месяцы[Месяцы]")</formula1>
    </dataValidation>
  </dataValidations>
  <pageMargins left="0.7" right="0.7" top="0.75" bottom="0.75" header="0.3" footer="0.3"/>
  <pageSetup paperSize="9" orientation="portrait" horizontalDpi="0" verticalDpi="0" r:id="rId2"/>
  <drawing r:id="rId3"/>
  <tableParts count="3">
    <tablePart r:id="rId4"/>
    <tablePart r:id="rId5"/>
    <tablePart r:id="rId6"/>
  </tablePart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N249"/>
  <sheetViews>
    <sheetView zoomScale="70" zoomScaleNormal="70" workbookViewId="0">
      <pane ySplit="12" topLeftCell="A13" activePane="bottomLeft" state="frozen"/>
      <selection pane="bottomLeft" activeCell="C1" sqref="C1"/>
    </sheetView>
  </sheetViews>
  <sheetFormatPr defaultColWidth="9.140625" defaultRowHeight="15.75" x14ac:dyDescent="0.25"/>
  <cols>
    <col min="1" max="1" width="26.42578125" style="18" bestFit="1" customWidth="1"/>
    <col min="2" max="2" width="24.85546875" style="18" bestFit="1" customWidth="1"/>
    <col min="3" max="3" width="15.42578125" style="18" customWidth="1"/>
    <col min="4" max="4" width="7.85546875" style="18" bestFit="1" customWidth="1"/>
    <col min="5" max="5" width="10.28515625" style="18" bestFit="1" customWidth="1"/>
    <col min="6" max="7" width="9.28515625" style="18" bestFit="1" customWidth="1"/>
    <col min="8" max="8" width="8.85546875" style="18" bestFit="1" customWidth="1"/>
    <col min="9" max="9" width="10.28515625" style="18" bestFit="1" customWidth="1"/>
    <col min="10" max="10" width="4.5703125" style="18" bestFit="1" customWidth="1"/>
    <col min="11" max="14" width="4.28515625" style="18" customWidth="1"/>
    <col min="15" max="16" width="7.28515625" style="18" bestFit="1" customWidth="1"/>
    <col min="17" max="17" width="4.28515625" style="18" customWidth="1"/>
    <col min="18" max="18" width="7.28515625" style="18" bestFit="1" customWidth="1"/>
    <col min="19" max="20" width="4.28515625" style="18" customWidth="1"/>
    <col min="21" max="21" width="7.28515625" style="18" bestFit="1" customWidth="1"/>
    <col min="22" max="22" width="10.28515625" style="18" bestFit="1" customWidth="1"/>
    <col min="23" max="23" width="7.28515625" style="18" bestFit="1" customWidth="1"/>
    <col min="24" max="26" width="4.28515625" style="18" customWidth="1"/>
    <col min="27" max="27" width="13.42578125" style="18" bestFit="1" customWidth="1"/>
    <col min="28" max="28" width="7.28515625" style="18" bestFit="1" customWidth="1"/>
    <col min="29" max="29" width="4.28515625" style="18" customWidth="1"/>
    <col min="30" max="36" width="7.28515625" style="18" bestFit="1" customWidth="1"/>
    <col min="37" max="38" width="4.28515625" style="18" customWidth="1"/>
    <col min="39" max="39" width="10.28515625" style="18" bestFit="1" customWidth="1"/>
    <col min="40" max="40" width="7.28515625" style="18" bestFit="1" customWidth="1"/>
    <col min="41" max="16384" width="9.140625" style="18"/>
  </cols>
  <sheetData>
    <row r="1" spans="1:40" ht="22.5" x14ac:dyDescent="0.3">
      <c r="A1" s="16" t="s">
        <v>2</v>
      </c>
      <c r="B1" s="16" t="s">
        <v>75</v>
      </c>
      <c r="C1" s="23"/>
    </row>
    <row r="2" spans="1:40" ht="22.5" x14ac:dyDescent="0.3">
      <c r="A2" s="16" t="s">
        <v>3</v>
      </c>
      <c r="C2" s="24"/>
    </row>
    <row r="4" spans="1:40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84</v>
      </c>
      <c r="G4" s="18" t="s">
        <v>83</v>
      </c>
      <c r="H4" s="18" t="s">
        <v>79</v>
      </c>
      <c r="I4" s="18" t="s">
        <v>25</v>
      </c>
      <c r="J4" s="18" t="s">
        <v>26</v>
      </c>
    </row>
    <row r="5" spans="1:40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SUM(ГодИтоги[Всего])</f>
        <v>0</v>
      </c>
      <c r="G5" s="18">
        <f>SUM(ГодИтоги[Всего])</f>
        <v>0</v>
      </c>
      <c r="H5" s="18">
        <f>ГодВсего[б/пл.]+ГодВсего[пл.]</f>
        <v>0</v>
      </c>
      <c r="I5" s="18">
        <f>SUM(ГодИтоги[б/пл.])</f>
        <v>0</v>
      </c>
      <c r="J5" s="18">
        <f>SUM(ГодИтоги[пл.])</f>
        <v>0</v>
      </c>
    </row>
    <row r="6" spans="1:40" x14ac:dyDescent="0.25">
      <c r="A6" s="20" t="s">
        <v>28</v>
      </c>
      <c r="B6" s="20">
        <v>0</v>
      </c>
      <c r="C6" s="20">
        <v>0</v>
      </c>
      <c r="D6" s="21">
        <v>0</v>
      </c>
    </row>
    <row r="7" spans="1:40" x14ac:dyDescent="0.25">
      <c r="A7" s="20" t="s">
        <v>29</v>
      </c>
      <c r="B7" s="20">
        <v>0</v>
      </c>
      <c r="C7" s="20">
        <v>0</v>
      </c>
      <c r="D7" s="21">
        <v>0</v>
      </c>
    </row>
    <row r="8" spans="1:40" x14ac:dyDescent="0.25">
      <c r="A8" s="20" t="s">
        <v>30</v>
      </c>
      <c r="B8" s="20">
        <v>0</v>
      </c>
      <c r="C8" s="20">
        <v>0</v>
      </c>
      <c r="D8" s="21">
        <v>0</v>
      </c>
    </row>
    <row r="9" spans="1:40" x14ac:dyDescent="0.25">
      <c r="A9" s="20" t="s">
        <v>31</v>
      </c>
      <c r="B9" s="20">
        <v>0</v>
      </c>
      <c r="C9" s="20">
        <v>0</v>
      </c>
      <c r="D9" s="21">
        <v>0</v>
      </c>
    </row>
    <row r="11" spans="1:40" x14ac:dyDescent="0.25">
      <c r="A11" s="25" t="s">
        <v>74</v>
      </c>
      <c r="B11" s="25"/>
      <c r="C11" s="26" t="s">
        <v>2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</row>
    <row r="12" spans="1:40" ht="127.5" customHeight="1" x14ac:dyDescent="0.25">
      <c r="A12" s="27" t="s">
        <v>33</v>
      </c>
      <c r="B12" s="27" t="s">
        <v>35</v>
      </c>
      <c r="C12" s="28" t="s">
        <v>42</v>
      </c>
      <c r="D12" s="26" t="s">
        <v>41</v>
      </c>
      <c r="E12" s="29" t="s">
        <v>70</v>
      </c>
      <c r="F12" s="28" t="s">
        <v>51</v>
      </c>
      <c r="G12" s="28" t="s">
        <v>54</v>
      </c>
      <c r="H12" s="28" t="s">
        <v>44</v>
      </c>
      <c r="I12" s="28" t="s">
        <v>48</v>
      </c>
      <c r="J12" s="28" t="s">
        <v>38</v>
      </c>
      <c r="K12" s="28" t="s">
        <v>60</v>
      </c>
      <c r="L12" s="28" t="s">
        <v>72</v>
      </c>
      <c r="M12" s="28" t="s">
        <v>73</v>
      </c>
      <c r="N12" s="28" t="s">
        <v>55</v>
      </c>
      <c r="O12" s="28" t="s">
        <v>59</v>
      </c>
      <c r="P12" s="28" t="s">
        <v>58</v>
      </c>
      <c r="Q12" s="28" t="s">
        <v>45</v>
      </c>
      <c r="R12" s="28" t="s">
        <v>47</v>
      </c>
      <c r="S12" s="28" t="s">
        <v>71</v>
      </c>
      <c r="T12" s="28" t="s">
        <v>40</v>
      </c>
      <c r="U12" s="28" t="s">
        <v>52</v>
      </c>
      <c r="V12" s="28" t="s">
        <v>64</v>
      </c>
      <c r="W12" s="28" t="s">
        <v>63</v>
      </c>
      <c r="X12" s="28" t="s">
        <v>56</v>
      </c>
      <c r="Y12" s="28" t="s">
        <v>49</v>
      </c>
      <c r="Z12" s="28" t="s">
        <v>61</v>
      </c>
      <c r="AA12" s="28" t="s">
        <v>39</v>
      </c>
      <c r="AB12" s="28" t="s">
        <v>50</v>
      </c>
      <c r="AC12" s="28" t="s">
        <v>57</v>
      </c>
      <c r="AD12" s="28" t="s">
        <v>62</v>
      </c>
      <c r="AE12" s="28" t="s">
        <v>67</v>
      </c>
      <c r="AF12" s="28" t="s">
        <v>68</v>
      </c>
      <c r="AG12" s="28" t="s">
        <v>65</v>
      </c>
      <c r="AH12" s="28" t="s">
        <v>43</v>
      </c>
      <c r="AI12" s="28" t="s">
        <v>66</v>
      </c>
      <c r="AJ12" s="28" t="s">
        <v>37</v>
      </c>
      <c r="AK12" s="28" t="s">
        <v>36</v>
      </c>
      <c r="AL12" s="28" t="s">
        <v>69</v>
      </c>
      <c r="AM12" s="28" t="s">
        <v>46</v>
      </c>
      <c r="AN12" s="28" t="s">
        <v>53</v>
      </c>
    </row>
    <row r="13" spans="1:40" x14ac:dyDescent="0.25">
      <c r="A13" s="27" t="s">
        <v>82</v>
      </c>
      <c r="B13" s="26"/>
      <c r="C13" s="30">
        <v>1</v>
      </c>
      <c r="D13" s="30">
        <v>0</v>
      </c>
      <c r="E13" s="31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0">
        <v>0</v>
      </c>
      <c r="W13" s="30">
        <v>0</v>
      </c>
      <c r="X13" s="30">
        <v>0</v>
      </c>
      <c r="Y13" s="30">
        <v>0</v>
      </c>
      <c r="Z13" s="30">
        <v>0</v>
      </c>
      <c r="AA13" s="30">
        <v>0</v>
      </c>
      <c r="AB13" s="30">
        <v>0</v>
      </c>
      <c r="AC13" s="30">
        <v>0</v>
      </c>
      <c r="AD13" s="30">
        <v>0</v>
      </c>
      <c r="AE13" s="30">
        <v>0</v>
      </c>
      <c r="AF13" s="30">
        <v>0</v>
      </c>
      <c r="AG13" s="30">
        <v>0</v>
      </c>
      <c r="AH13" s="30">
        <v>0</v>
      </c>
      <c r="AI13" s="30">
        <v>0</v>
      </c>
      <c r="AJ13" s="30">
        <v>0</v>
      </c>
      <c r="AK13" s="30">
        <v>0</v>
      </c>
      <c r="AL13" s="30">
        <v>0</v>
      </c>
      <c r="AM13" s="30">
        <v>0</v>
      </c>
      <c r="AN13" s="30">
        <v>0</v>
      </c>
    </row>
    <row r="14" spans="1:40" x14ac:dyDescent="0.25">
      <c r="A14" s="27" t="s">
        <v>34</v>
      </c>
      <c r="B14" s="27"/>
      <c r="C14" s="30">
        <v>1</v>
      </c>
      <c r="D14" s="30">
        <v>0</v>
      </c>
      <c r="E14" s="31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0">
        <v>0</v>
      </c>
      <c r="AM14" s="30">
        <v>0</v>
      </c>
      <c r="AN14" s="30">
        <v>0</v>
      </c>
    </row>
    <row r="15" spans="1:40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</row>
    <row r="16" spans="1:40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</row>
    <row r="17" spans="1:40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</row>
    <row r="18" spans="1:40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</row>
    <row r="19" spans="1:40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</row>
    <row r="20" spans="1:40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</row>
    <row r="21" spans="1:40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</row>
    <row r="22" spans="1:40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</row>
    <row r="23" spans="1:4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</row>
    <row r="24" spans="1:4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</row>
    <row r="25" spans="1:4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</row>
    <row r="26" spans="1:4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</row>
    <row r="27" spans="1:4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</row>
    <row r="28" spans="1:4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</row>
    <row r="29" spans="1:4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</row>
    <row r="30" spans="1:4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</row>
    <row r="31" spans="1:40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</row>
    <row r="32" spans="1:40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</row>
    <row r="33" spans="1:40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</row>
    <row r="34" spans="1:4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</row>
    <row r="35" spans="1:40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</row>
    <row r="36" spans="1:40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</row>
    <row r="37" spans="1:40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</row>
    <row r="38" spans="1:40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</row>
    <row r="39" spans="1:40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</row>
    <row r="40" spans="1:40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</row>
    <row r="41" spans="1:40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</row>
    <row r="42" spans="1:40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</row>
    <row r="43" spans="1:40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</row>
    <row r="44" spans="1:40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</row>
    <row r="45" spans="1:40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</row>
    <row r="46" spans="1:40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</row>
    <row r="47" spans="1:40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</row>
    <row r="48" spans="1:40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</row>
    <row r="49" spans="1:40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</row>
    <row r="50" spans="1:40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</row>
    <row r="51" spans="1:40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</row>
    <row r="52" spans="1:40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</row>
    <row r="53" spans="1:40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</row>
    <row r="54" spans="1:40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</row>
    <row r="55" spans="1:40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</row>
    <row r="56" spans="1:40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</row>
    <row r="57" spans="1:40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</row>
    <row r="58" spans="1:40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</row>
    <row r="59" spans="1:40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</row>
    <row r="60" spans="1:40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</row>
    <row r="61" spans="1:40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</row>
    <row r="62" spans="1:40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</row>
    <row r="63" spans="1:40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</row>
    <row r="64" spans="1:40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</row>
    <row r="65" spans="1:40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</row>
    <row r="66" spans="1:40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</row>
    <row r="67" spans="1:40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</row>
    <row r="68" spans="1:40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</row>
    <row r="69" spans="1:4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</row>
    <row r="70" spans="1:40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</row>
    <row r="71" spans="1:40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</row>
    <row r="72" spans="1:40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</row>
    <row r="73" spans="1:40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</row>
    <row r="74" spans="1:40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</row>
    <row r="75" spans="1:40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</row>
    <row r="76" spans="1:40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</row>
    <row r="77" spans="1:40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</row>
    <row r="78" spans="1:40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</row>
    <row r="79" spans="1:40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</row>
    <row r="80" spans="1:40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</row>
    <row r="81" spans="1:40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</row>
    <row r="82" spans="1:40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</row>
    <row r="83" spans="1:40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</row>
    <row r="84" spans="1:40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</row>
    <row r="85" spans="1:40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</row>
    <row r="86" spans="1:40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</row>
    <row r="87" spans="1:40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</row>
    <row r="88" spans="1:40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</row>
    <row r="89" spans="1:40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</row>
    <row r="90" spans="1:40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</row>
    <row r="91" spans="1:40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</row>
    <row r="92" spans="1:40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</row>
    <row r="93" spans="1:40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</row>
    <row r="94" spans="1:40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0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0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</sheetData>
  <pageMargins left="0.7" right="0.7" top="0.75" bottom="0.75" header="0.3" footer="0.3"/>
  <pageSetup paperSize="9" orientation="portrait" horizontalDpi="0" verticalDpi="0" r:id="rId2"/>
  <drawing r:id="rId3"/>
  <tableParts count="2"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update" Type="http://schemas.openxmlformats.org/officeDocument/2006/relationships/image" Target="images/btn-update.png"/><Relationship Id="select-list" Type="http://schemas.openxmlformats.org/officeDocument/2006/relationships/image" Target="images/select-list.png"/><Relationship Id="Periods" Type="http://schemas.openxmlformats.org/officeDocument/2006/relationships/image" Target="images/Periods.png"/><Relationship Id="btn-list" Type="http://schemas.openxmlformats.org/officeDocument/2006/relationships/image" Target="images/btn-list.png"/><Relationship Id="Main" Type="http://schemas.openxmlformats.org/officeDocument/2006/relationships/image" Target="images/Main.png"/><Relationship Id="btn-prev" Type="http://schemas.openxmlformats.org/officeDocument/2006/relationships/image" Target="images/btn-prev.png"/><Relationship Id="btn-resize" Type="http://schemas.openxmlformats.org/officeDocument/2006/relationships/image" Target="images/btn-resize.png"/><Relationship Id="btn-up" Type="http://schemas.openxmlformats.org/officeDocument/2006/relationships/image" Target="images/btn-up.png"/><Relationship Id="btn-config" Type="http://schemas.openxmlformats.org/officeDocument/2006/relationships/image" Target="images/btn-config.png"/><Relationship Id="btn-next" Type="http://schemas.openxmlformats.org/officeDocument/2006/relationships/image" Target="images/btn-next.png"/></Relationships>
</file>

<file path=customUI/customUI14.xml><?xml version="1.0" encoding="utf-8"?>
<customUI xmlns="http://schemas.microsoft.com/office/2009/07/customui" onLoad="RibbonOnLoad">
  <ribbon startFromScratch="false">
    <tabs>
      <tab id="SocialControl" label="Управление услугами" getVisible="GetVisible" tag="XSocialControl">
        <group id="Transitions" label="Перемещения по страницам" getVisible="GetterVisible" tag="GTran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button id="onMonthID" label="Месяцы" image="btn-list" onAction="MonthClick"/>
            <button id="onDurationID" label="Периоды" image="Periods" onAction="DurationClick"/>
            <button id="GYearsID" label="Год" imageMso="DatasheetView" onAction="YearsBtnClick"/>
          </menu>
          <button id="PrevID" label="Предыдущая" image="btn-prev" size="large" onAction="PrevClick"/>
          <button id="NextID" label="Следующая" image="btn-next" size="large" onAction="NextClick"/>
        </group>
        <group id="XTransitions" label="Перемещения по страницам" getVisible="GetterVisible" tag="XTran">
          <button id="XMain" label="Домой" image="Main" size="large" onAction="MainClick"/>
          <menu id="XSelectListID" label="Выбрать страницу" image="select-list" size="large">
            <button id="XMainID" label="Домой" image="Main" onAction="MainClick"/>
            <button id="XMonthID" label="Месяцы" image="btn-list" onAction="MonthClick"/>
            <button id="XDurationID" label="Периоды" image="Periods" onAction="DurationClick"/>
            <button id="XYearsID" label="Год" imageMso="DatasheetView" onAction="YearsBtnClick"/>
          </menu>
          <button id="XPrevID" label="Предыдущая" image="btn-prev" size="large" onAction="PrevClick"/>
          <button id="XNextID" label="Следующая" image="btn-next" size="large" onAction="NextClick"/>
        </group>
        <group id="TransitionsID" label="Перемещения по страницам" getVisible="GetterVisible" tag="MyTran">
          <button id="MyMain" label="Домой" image="Main" size="large" onAction="MainClick"/>
          <menu id="MySelectListID" label="Выбрать страницу" image="select-list" size="large">
            <button id="MyMainID" label="Домой" image="Main" onAction="MainClick"/>
            <button id="MyMonthID" label="Месяцы" image="btn-list" onAction="MonthClick"/>
            <button id="MyDurationID" label="Периоды" image="Periods" onAction="DurationClick"/>
            <button id="MyYearsID" label="Год" imageMso="DatasheetView" onAction="YearsBtnClick"/>
          </menu>
          <button id="MyBtnUpID" label="Вверх" image="btn-up" size="large" onAction="UpClick"/>
          <button id="MyBtnDownID" label="Вниз" image="btn-down" size="large" onAction="DownClick"/>
          <button id="MyPrevID" label="Предыдущая" image="btn-prev" size="large" onAction="PrevClick"/>
          <button id="MyNextID" label="Следующая" image="btn-next" size="large" onAction="NextClick"/>
        </group>
        <group id="SocialEditorID" label="Редактирование" getVisible="GetterVisible" tag="MyEdit">
          <button id="BtnExpandID" label="Развернуть" imageMso="PivotExpandField" size="large" onAction="BtnExpandClick"/>
          <button id="BtnCollapseID" label="Свернуть" imageMso="PivotCollapseField" size="large" onAction="BtnCollapseClick"/>
          <button id="BtnFitSizesID" label="Подогнать размеры" image="btn-resize" size="large" onAction="BtnFitSizesClick"/>
          <button id="MyUpdateMonth" label="Обновить" image="btn-update" size="large" onAction="UpdateClick"/>
        </group>
        <group id="MyConfigurationID" label="Настройки" getVisible="GetterVisible" tag="GConf">
          <button id="MyBtnConfID" label="Настройки" image="btn-config" size="large" onAction="ConfigClick"/>
        </group>
        <group id="ConfigurationID" label="Настройки" getVisible="GetterVisible" tag="MyConf">
          <button id="BtnConfID" label="Настройки" image="btn-config" size="large" onAction="ConfigClick"/>
        </group>
        <group id="XConfigurationID" label="Настройки" getVisible="GetterVisible" tag="XConf">
          <button id="XBtnConfID" label="Настройки" image="btn-config" size="large" onAction="Config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041F75-BB80-4625-8648-B6E9376F0D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Настройки</vt:lpstr>
      <vt:lpstr>Главная</vt:lpstr>
      <vt:lpstr>Месяцы</vt:lpstr>
      <vt:lpstr>Период</vt:lpstr>
      <vt:lpstr>Год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utv2</cp:lastModifiedBy>
  <cp:lastPrinted>2023-03-23T16:10:36Z</cp:lastPrinted>
  <dcterms:created xsi:type="dcterms:W3CDTF">2006-09-16T00:00:00Z</dcterms:created>
  <dcterms:modified xsi:type="dcterms:W3CDTF">2024-03-29T07:27:00Z</dcterms:modified>
</cp:coreProperties>
</file>