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Git-Github\GIT-User\git-ssh\social-services\source\"/>
    </mc:Choice>
  </mc:AlternateContent>
  <bookViews>
    <workbookView xWindow="240" yWindow="105" windowWidth="14805" windowHeight="8025"/>
  </bookViews>
  <sheets>
    <sheet name="Настройки" sheetId="2" r:id="rId1"/>
    <sheet name="Главная" sheetId="3" r:id="rId2"/>
    <sheet name="Месяцы" sheetId="1" r:id="rId3"/>
    <sheet name="Период" sheetId="9" r:id="rId4"/>
    <sheet name="Год" sheetId="8" r:id="rId5"/>
  </sheets>
  <functionGroups builtInGroupCount="18"/>
  <definedNames>
    <definedName name="ExternalData_1" localSheetId="4" hidden="1">Год!$A$4:$D$9</definedName>
    <definedName name="ExternalData_1" localSheetId="2" hidden="1">Месяцы!$A$4:$D$9</definedName>
    <definedName name="ExternalData_1" localSheetId="3" hidden="1">Период!$A$4:$D$9</definedName>
    <definedName name="ExternalData_2" localSheetId="4" hidden="1">Год!$F$7:$F$8</definedName>
    <definedName name="ExternalData_2" localSheetId="2" hidden="1">Месяцы!$F$7:$F$8</definedName>
    <definedName name="ExternalData_2" localSheetId="3" hidden="1">Период!$F$7:$F$8</definedName>
    <definedName name="СписокФайлов">OFFSET(Настройки!$E$2,0,0,COUNTIF(Настройки!$E:$E,"*")-1,1)</definedName>
    <definedName name="Срез_Признак_учета">#N/A</definedName>
    <definedName name="Срез_Соц._Работник">#N/A</definedName>
    <definedName name="Срез_Соц._Работник1">#N/A</definedName>
    <definedName name="Срез_Соц._Работник5">#N/A</definedName>
  </definedNames>
  <calcPr calcId="152511"/>
  <pivotCaches>
    <pivotCache cacheId="4" r:id="rId6"/>
    <pivotCache cacheId="5" r:id="rId7"/>
    <pivotCache cacheId="3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8" i="8" l="1"/>
  <c r="I8" i="8"/>
  <c r="I8" i="9"/>
  <c r="H8" i="9"/>
  <c r="J8" i="8" l="1"/>
  <c r="J8" i="9"/>
  <c r="F5" i="8"/>
  <c r="F5" i="9"/>
  <c r="F5" i="1"/>
  <c r="G5" i="8"/>
  <c r="G5" i="9"/>
  <c r="G5" i="1"/>
  <c r="I8" i="1"/>
  <c r="H8" i="1"/>
  <c r="J8" i="1" l="1"/>
  <c r="J5" i="8"/>
  <c r="I5" i="8"/>
  <c r="J5" i="1"/>
  <c r="I5" i="1"/>
  <c r="J5" i="9"/>
  <c r="I5" i="9"/>
  <c r="H5" i="9" l="1"/>
  <c r="H5" i="8"/>
  <c r="H5" i="1"/>
  <c r="A5" i="2"/>
</calcChain>
</file>

<file path=xl/connections.xml><?xml version="1.0" encoding="utf-8"?>
<connections xmlns="http://schemas.openxmlformats.org/spreadsheetml/2006/main">
  <connection id="1" name="Запрос — SelectMonth" description="Соединение с запросом &quot;SelectMonth&quot; в книге." type="5" refreshedVersion="0" background="1">
    <dbPr connection="provider=Microsoft.Mashup.OleDb.1;data source=$EmbeddedMashup(1274610a-a634-4af8-8b8d-1956081946c9)$;location=SelectMonth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0FtOBwkBAACQAQAAEwAcAEZvcm11bGFzL1NlY3Rpb24xLm0gohgAKKAUAAAAAAAAAAAAAAAAAAAAAAAAAAAAXVA/awIxFJ8N+B1Cpjs4jnaW6yJ1a4er0OG4IZ4PTkwvcokoiIMUujh06ditQ9dCEYRiP8PLN+o7Y6t2SvL79/J7Bgo70hW/8+dlp83azJSyhiFhitAbXdmSJzwYSiv9QxpuYW5DnlwxBZa19rAh0fW8ABV3p3UNlb3X9Xig9TgIF9mtfIBE4Ctu3Mo9uye3Fvky65KPhHnEWumkT5EUIfDNrfDLPeInboVnZvqPfMEP3OHOrXHTkA1ONFHNLU5homQBx79G3AdHXIiQ9L2pUgfRf88hau/wA39N5mwRfTlQEPvlpHpmAt8+4iCLkgfZacmc9Ccjw3BxsczwHbdNRfzO2ag6i+/8AFBLAQItABQAAgAIAISE0lgxQeUkqgAAAPoAAAASAAAAAAAAAAAAAAAAAAAAAABDb25maWcvUGFja2FnZS54bWxQSwECLQAUAAIACACEhNJYD8rpq6QAAADpAAAAEwAAAAAAAAAAAAAAAAD2AAAAW0NvbnRlbnRfVHlwZXNdLnhtbFBLAQItABQAAgAIAISE0ljQW04HCQEAAJABAAATAAAAAAAAAAAAAAAAAOcBAABGb3JtdWxhcy9TZWN0aW9uMS5tUEsFBgAAAAADAAMAwgAAAD0DAAAAAA==&quot;" command="SELECT * FROM [SelectMonth]"/>
  </connection>
  <connection id="2" name="Запрос — SelectServices" description="Соединение с запросом &quot;SelectServices&quot; в книге." type="5" refreshedVersion="0" background="1">
    <dbPr connection="provider=Microsoft.Mashup.OleDb.1;data source=$EmbeddedMashup(1274610a-a634-4af8-8b8d-1956081946c9)$;location=SelectServices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QToyWT8CAAALBgAAEwAcAEZvcm11bGFzL1NlY3Rpb24xLm0gohgAKKAUAAAAAAAAAAAAAAAAAAAAAAAAAAAApVTLbtNAFN1H6j+MzMaWrArYVkFCoYgVQi0Si8iLaTJSrToeZDslUhSpSaFIJOxYsCuQH0gLUU0ezS/c+SOOx2lsghEl9WZmzp177zlnxhOKWuRKn+2n44OdrdJWKTzkgagD84Dui+DYrYmQlZkZpoisudxjPGSRaEUWKz8qeSIqMXz0WXVVj67Ve5pTTBMk7bZqwtt+JYOjAymPzKeuJ7Yr0o+EH4VmGqw0gwDL1R6rXX3OG6Js0DmN1AmNaEZj1VMnqm84neoy22nf71TpXJ0iMmDoRTGav6Nr+kFz1acZw2QEHnrhWDbzm55nsyhoCsvWdO8Z9DWpi5wJxUx1GS2wipN+SBzfJDP1FuBUDZabZwaEveQHkJKatCffhOa6eJsJXjtkphbjIAPdaJGw1P2GGKfqlL4bVkbnE0QCQvqYYZIImK54ANINAF2oM5ixxqIivWbDD83NZdlt4wmPuNHJMULgAjQuUyIolRBQA7rCeInz6QFOanSTZvSTJfvVB4AT1csYPq7XU3rmf6u0mdaTIrgIZ8bS2bTyi0A2ZCSeCV4XQWhWEwFOztLhrV3cEw15LHIu3k17gZlfUOwKmWP4Pdc3t48s9VHX16ejemxN7Irebus19+t6nln5T3VF7rWN7PZRrLd8A/8FDiMHd269MROoo6qfi+ftlQGOKOfvJnbA1SIOCbVhMafN/oWHhf94scSb+4jnUL9t3IW+ap6PY7P842mtOfa7FjS+A239LP5Z1Sm5vu75l6Y7vwBQSwECLQAUAAIACACEhNJYMUHlJKoAAAD6AAAAEgAAAAAAAAAAAAAAAAAAAAAAQ29uZmlnL1BhY2thZ2UueG1sUEsBAi0AFAACAAgAhITSWA/K6aukAAAA6QAAABMAAAAAAAAAAAAAAAAA9gAAAFtDb250ZW50X1R5cGVzXS54bWxQSwECLQAUAAIACACEhNJYQToyWT8CAAALBgAAEwAAAAAAAAAAAAAAAADnAQAARm9ybXVsYXMvU2VjdGlvbjEubVBLBQYAAAAAAwADAMIAAABzBAAAAAA=&quot;" command="SELECT * FROM [SelectServices]"/>
  </connection>
  <connection id="3" name="Запрос — ГодДанные" description="Соединение с запросом &quot;ГодДанные&quot; в книге." type="5" refreshedVersion="5">
    <dbPr connection="provider=Microsoft.Mashup.OleDb.1;data source=$EmbeddedMashup(1274610a-a634-4af8-8b8d-1956081946c9)$;location=ГодДанные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qZks8hMEAAD0EAAAEwAcAEZvcm11bGFzL1NlY3Rpb24xLm0gohgAKKAUAAAAAAAAAAAAAAAAAAAAAAAAAAAAvVddTxNBFH0n4T9M1pc2WRurPkl4MPjxoNEEND40jSl0DI3tLtkPP9I0ERBNBMUoicQoSPDdAlYLlPIXZv6R587u0m0ju90WhQd2d+7cOefec+8dbD7jlEyDTXl/s2OjI6Mj9mzB4kUmPoq2+CnWRF0ciSO5LBpsnJW5M8LwI9blvFwQbfkai01xgKXrz2Z4OfPAtB5Pm+bj1I1SmWcmTMPhhmOnvMUJ17LwemKTrubuFCp8XBOboi5f4KSWaMgF+UIua/lazt+dr16o5cSmXMTKCsNZoonDlxQ6wtVieAhAtvJpnRluuawzx3J5Wldwz2lii/xiz4FoMjnPxDHemnQeNjaCzUy+xMdDueIbtzQQu1eYBpUpXkaQJs2ndqqXvM54YWaWpXK3SkYxjx2a2qKlWcEo4jNxVJ/Fe7Er9kCEtocCqzHTYl1mhK5BQKLM1mBygOUdBCzScF2+i/NFJkfRJl+wtB9jACSRzL4iaqvxgDfEATLQh+EW5a4/0+8w3VUiiwnFDyzsKirdZumOmNawuCj2kPwGwwPJ7/BERfik5IFPO/IVpNyjoQmz7FYMOzW4KPWqdq3gFLRaB9E3QPgN2A2YHKlSWRb7TL5VuFpelJjadILm+rM56FM9e5BSiZnpzAOi+y49PxRKO7kzKnPyRhV8pu46UdruO1WTvGI+4aFU9R9gZAfdihL5G8fU0bBg/poam6hTykYDNB/U4XU49RC1rzDSgs/S+9YkfQagrhaLnUzFctH9Qup157erO25lmluZSdM1iqmcEiP1nJ9Keg30WXJ1HuDahH8eAoQbRoxYFkqlVeKVYWKbVjNaXmeXkDrn+RxHBybnIa5xaC9FhL7fOFHghyURzs+mSnbjpCLb1Bb6UI4BwYbgx1PXq9XTUnUGjEJdYg3LO51IBvYrUKoiB1hq6mAnWhL0TfbyDc0ZuZA9RYiJwkSMPqv3pqoJWiUu6iCPzS94Ig8oK7kslwK9ZkOzHEOUQnWM36bqib0nBl21A/mmZbpzqeFjoDNSGcbYK4SYmsIOnhe8i4BWw2pV65oaPvqHfmE4BCackjh1ZCMKI0Ec9CjUZySQiwN2KgqqNuHajlkJwuV5uW/MlZ6Yzl1nllsB7Vw4uvkoWiS1zaAeAugYtLgJrIsN5ErzSsSbKRpeP1EZkSzJg1wNFZiWYIhcjMjYkPHVe8SV9ALgBzn6ChDPL5yuwRNAy10JYJEZqP3PswbpNdm/NJskWTlLfn4jiqDoF9rtku1kptwK6up043z3WK+Fh+RQij6lYSSJua7+eSF57tEYOe6ai/QfZcC09IjlwjHyLvsJZxFDKzIwaHnZ5iwmZH3ffS7/q4ah+kW0zAe67GSHuO1c9m47cSmLxl1Lj5SMwZCP/QFQSwECLQAUAAIACACEhNJYMUHlJKoAAAD6AAAAEgAAAAAAAAAAAAAAAAAAAAAAQ29uZmlnL1BhY2thZ2UueG1sUEsBAi0AFAACAAgAhITSWA/K6aukAAAA6QAAABMAAAAAAAAAAAAAAAAA9gAAAFtDb250ZW50X1R5cGVzXS54bWxQSwECLQAUAAIACACEhNJYqZks8hMEAAD0EAAAEwAAAAAAAAAAAAAAAADnAQAARm9ybXVsYXMvU2VjdGlvbjEubVBLBQYAAAAAAwADAMIAAABHBgAAAAA=&quot;" command="SELECT * FROM [ГодДанные]"/>
  </connection>
  <connection id="4" keepAlive="1" name="Запрос — ГодИтоги" description="Соединение с запросом &quot;ГодИтоги&quot; в книге." type="5" refreshedVersion="5" background="1" saveData="1">
    <dbPr connection="provider=Microsoft.Mashup.OleDb.1;data source=$EmbeddedMashup(1274610a-a634-4af8-8b8d-1956081946c9)$;location=ГодИтоги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suVR5nIFAABEHAAAEwAcAEZvcm11bGFzL1NlY3Rpb24xLm0gohgAKKAUAAAAAAAAAAAAAAAAAAAAAAAAAAAAvVlNbxtFGL5H6n8YbS62tBjWaXqpekChUKBqUQLiEFnIiQfFqr0brdellWUpH5BKJBAEkcgBEkK54zix6qax8xdm/xHvO7v2ztrr2VmvQ3Kwd+edmef9euaZpEbXnbJlkhXv07h/Z+7OXG2jaNMSYb+xPrtkx+4OfF6wLnlAKtSZI/ADL7fxtfuK9ViXXcHQwxfrtJL72rKfrVnWs8zH5QrNLVmmQ02nlvEGl+q2DY9Dm2xj9UmxSh9o7JS13C3WYtes4+64W+6+Vmiu+rMLjQ+aq+zU3YWRAwJ7sS5s/gPH1nP32TWBLy3AwR8KWZ2Y9UpFJ45dp1mdw53X2BmuC3OuwA93m7AbeOrifjCxM5hM3O/h5Tv3wDe+1sCxL4tr4MoKrUCIlq3vaplR53VCi+sbJLP6edksFWCGxqdoWVI0S/AafeSv2S+szS7AEZx+NMTc0Yhlk5AZousgEJnZEZhcwfA5BExqeOz+HLcWmvTkJn/A0NsYA0Ai9exPiNphPOATdgUZUDA8w9ypmf4Dpm1eZDGh+BcG2tyVsFk2KKbXvOLeDQunQ7yKgFfn7h5U77BslmnVek6XrEq9atYy09eh3tAQoaYT7VOHVvETqw0/H5VLJWpqzQDeXwDuDfjQgck93jf77C1xf+KIr72QkY+KTjHA+fDFJhQr/+6Bzai4CbvzZXR/FW8qAq0pzcfOxgWwadOuoJ4dQ5Ie9dBBRoCUMHlvYJ8W8BKYv0L+Yi0MzJA3+/zpjHf0Jc9yB1gM4bwHG/Vx2jbkepddEFyIGFAUOIrL5Qh7jaM5Mb1nwCFbYH8Dv11eH+2gTLmvgwoLHP3EtuqbKhE1AG0D9+i7e7A7xuMcvu94VKc1YbShhfrCp79vgHFfblLi4H7Npno68rJuUXdVl6EO0ByB+TkMtz1Eg1gfQBb54jCHEy9EHVaF3KO9+yNSrbsjVM6HpZJ6o+SxBJbqNceqDsLlrfKVuVl+bjlPnQ1qD9xeFaNbkLmFdXU6KJUBdOAV4LpjdgK50rzqwdrCCGnsd6wwrFJcwT0Uai8JvS1IMpYyvvpIcSVlNT/I6XhtIZSu6ROAw6EEEGkGmv/nXtPQiRHBJ0myMkv/fCKSuOg32uNyzcmt1KvQV5ON8QDi7GXWq2vUTkJfd2dCX4aUv+IaPUD7K3jUwUOHN57gIYrrKY6Du17SIiIvHm/pA+27F00TLffQAOjz2qjy1lLKeyNa38dhmU7wizGUCH6JWVjwSwwHgj/GpCc38QS/3IALfomJKPglZmHBLzEcFfwS07DglxiKgl80S3AiLs5c8Ru3JPmNlGfjYlrRv5he9S9Gyv7g7xRq1JcgZJM48Px92ArE+RgDzgdjAeNZJvWO+IlzIiaoEmT+VghyYSqCzA8JUmxcPAK3OYJhJMUWO+InJQQX072rfMH2YKVutwVsN17Ws7or5CfcFZL56V0d/TdQqnvh+8MXtlW1HPqIFkvUhqtD0qvwvdtS8vmoeCp13Ii76djqXmQAG+NS+W/w4EbkjK4vx1UMAw/5qLsvylAhwJZdCq55U8YDZWIEhjF5rEgbCx5tyGXj0L0TP8GXAKAnBB1Wb/FG60P4heZ8QmsOLX1mlXmyIoKjj/FqLODxKVrsHE1HDHh65h7Tb52ndYfaScsydg95pSqGLlD6Mm9ISH83R5/Fv3rvggfXrDXLM1ER4ISWagjVFnF1GLohuZKdcnwdpHXsd+4i1JXUxWVqwlkUOidkodEbin0mwFJLsTGpPeT6ZbzskwUium3Up8+igZJnLUUrGX4vqbtIQqXZHH0eqz9+se/DcX4IUPr+dTfu3wHTnQEpEo1REBtOVK2+4mxm58rm1M7d/w9QSwECLQAUAAIACACEhNJYMUHlJKoAAAD6AAAAEgAAAAAAAAAAAAAAAAAAAAAAQ29uZmlnL1BhY2thZ2UueG1sUEsBAi0AFAACAAgAhITSWA/K6aukAAAA6QAAABMAAAAAAAAAAAAAAAAA9gAAAFtDb250ZW50X1R5cGVzXS54bWxQSwECLQAUAAIACACEhNJYsuVR5nIFAABEHAAAEwAAAAAAAAAAAAAAAADnAQAARm9ybXVsYXMvU2VjdGlvbjEubVBLBQYAAAAAAwADAMIAAACmBwAAAAA=&quot;" command="SELECT * FROM [ГодИтоги]"/>
  </connection>
  <connection id="5" keepAlive="1" name="Запрос — ГодКолвоСоцРаб" description="Соединение с запросом &quot;ГодКолвоСоцРаб&quot; в книге." type="5" refreshedVersion="5" background="1" saveData="1">
    <dbPr connection="provider=Microsoft.Mashup.OleDb.1;data source=$EmbeddedMashup(1274610a-a634-4af8-8b8d-1956081946c9)$;location=ГодКолвоСоцРаб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YgPJj/YCAABpCgAAEwAcAEZvcm11bGFzL1NlY3Rpb24xLm0gohgAKKAUAAAAAAAAAAAAAAAAAAAAAAAAAAAArVVNTxNRFN036X94GTadZNJQXRIWBtGFxoWYuGi6KPQZGqYzZGYaMaQJH4oL8CPKghgVGt1bio2ltOUv3PePPPdNmVKQKdPYJu2bd++775xzP8aXS0HZdcRC+J+bSafSKX+56MmSoM/Up9/0Bb9n1MRvnfpqh46oQcdiVtgySAl86EBtqi2Y3lKP2tSBaX5tSdrZ5663sui6K5kHZVtm51wnkE7gZ0LjXNXz8Bj5mOv5J8WKnDXokBpqA3d0qaW21IbaNQq1/OB0YX26lqdDtQ3LnsBd1MblbzTOntqlrsCiARz6oWBawqnatiUCrypNS8OdMqjOcXGmQ22hNgWd46nN9+Fg6+KwUK+xeab2Bs5dA8SeFRdBZUHakOup+9LPXCVvCVlcWhaZ/KOyUyrghKGPGKYoOiVsM0e9TR8h6QmI8PH9CHPLEK4nRtwYXYuBxLntw6XDiYFgsY4H6v24WOzSi3f5CtPpGAcgiWX2Dap9GA/4O3WQgVs41jl3t3P9CdemLrIxUvyCoampjLqZw2Lah3GbTpD8lsCCy+8sqiJs6fLA1rHaQSlfqaE5165WHD8zeVFa68b9YlA0akNE3KB/ALsFl55ulV06FeqdxtUNVRL6UIRmfm0V9anXIaRMYmaWCIFYg5BhHJbSTx6M25yjcQf/13CmlZ4ocbmYzN1ebyQrHKJZEY5RrLfCwcH6ofP4yhPqczojoHXMCYZ6jm9bp705LEWN86JwhiAfem51NbFQOaCIgViDlc2I08W3wdN3AJiaxmD0PS77QXahWsnkh3Q4jcGrVYlpXFmUXu0yux9qE9czp16oW4QIgu7wPO9j2YBd4x5SvFcqDWs1gUYs9Cdc2mJkYpRs9oJF+YXI30CUJ8O0CJalgz9p+1LkJq2qOzFVlVQXrq2baY3U00ST5loH6PdfcsbRG3IqDi+LnDMnaoLcP7pgUsq6HWJUDRviskOWjrLXWyGea0x3JBL3btzrJYF+V0tJc6qZ6VTZmRTYzF9QSwECLQAUAAIACACEhNJYMUHlJKoAAAD6AAAAEgAAAAAAAAAAAAAAAAAAAAAAQ29uZmlnL1BhY2thZ2UueG1sUEsBAi0AFAACAAgAhITSWA/K6aukAAAA6QAAABMAAAAAAAAAAAAAAAAA9gAAAFtDb250ZW50X1R5cGVzXS54bWxQSwECLQAUAAIACACEhNJYYgPJj/YCAABpCgAAEwAAAAAAAAAAAAAAAADnAQAARm9ybXVsYXMvU2VjdGlvbjEubVBLBQYAAAAAAwADAMIAAAAqBQAAAAA=&quot;" command="SELECT * FROM [ГодКолвоСоцРаб]"/>
  </connection>
  <connection id="6" name="Запрос — МесяцыДанные" description="Соединение с запросом &quot;МесяцыДанные&quot; в книге." type="5" refreshedVersion="5">
    <dbPr connection="provider=Microsoft.Mashup.OleDb.1;data source=$EmbeddedMashup(1274610a-a634-4af8-8b8d-1956081946c9)$;location=МесяцыДанные;extended properties=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tBu+G7gCAAAZCAAAEwAcAEZvcm11bGFzL1NlY3Rpb24xLm0gohgAKKAUAAAAAAAAAAAAAAAAAAAAAAAAAAAAzVTfa9NQGH0v7H+4xJcGQnF7HX2QOkUUBZ34UMrI1gsNS5OSpmNSAlvKNrCTgQgOEavou52zrm5t9y989z/yfEn6Y2PW6SbYl6T3++45557z3VTlim+5jngSP2fnZ1IzqWrJ9GRR0DvqqE21p7ZVk15Tm/rUx1tHZIUt/ZTAr2j65qJc97GkTbZoxqj8wHJWUV5YX5F2JlfzPOn4z1xvddl1V9N6Pf/QLMusRq+w7YAGamMMo7a0QpDPuY6PLYX6zSA/VlQYEzAACFhGJueWly1HputDZmMkMdDjLWumZ5mOn+y6Hlkt1Lt0hHqbjoVqqB3oDKmdqKR9iA6BsoOOLjqGvCPCO5YtMwlkNf07US1qg7BNPWZRG6p5gaAGKrsCXNQF+RYN6FsUTU/gZZhTr6AbwqnZtiF8ryYTh+gLyl+ZQ+1Ohrq0aC7bbNr589Tz93xZzg7DMO5bTjGrRd2s7DbWEydu8JQM4GgbBCfUob6gUyycgOkIT2YNsYz/apOOAf5DcL96gcVjFc5qnDQDZ24ViznXrpWd9HS9BibzLVPAiJ1ofEI0D2LYTTA16Dt4sB8UvSheQ0hzpSRm9ZHoj3QI9Aa0ngJmI1Y6ug+MGS1C8FjgXc+tVdJXP7Eh6ixgoLYzgj4Ah+cxjJ3XAlTr565erH4JmT6vSOGzmCAYn+VTNACRlAn9kUMHfNUnPH4sy+6ajG2upv/MB2Oaav16xmHuonG41BExFbla1XfLQ7tilKdOxVpz/Ud+SXrDY+cn3S1MOxaPWiuSz1+ARDp1BX2mfXofl3/xpUCQkJ3M4yHbp9Eb7uIGhld73J3UNf3ycc5NifOK5hvnJm8iVrbmCBAdnLcffYya2K5eRkQ9JlOhSBIY6VtYr5hOMXq/fJZzZ7L8R+lw8Uw6Ymo8wX8jRE9Zzt9kMv8TUEsBAi0AFAACAAgAhITSWDFB5SSqAAAA+gAAABIAAAAAAAAAAAAAAAAAAAAAAENvbmZpZy9QYWNrYWdlLnhtbFBLAQItABQAAgAIAISE0lgPyumrpAAAAOkAAAATAAAAAAAAAAAAAAAAAPYAAABbQ29udGVudF9UeXBlc10ueG1sUEsBAi0AFAACAAgAhITSWLQbvhu4AgAAGQgAABMAAAAAAAAAAAAAAAAA5wEAAEZvcm11bGFzL1NlY3Rpb24xLm1QSwUGAAAAAAMAAwDCAAAA7AQAAAAA" command="SELECT * FROM [МесяцыДанные]"/>
  </connection>
  <connection id="7" keepAlive="1" name="Запрос — МесяцыИтоги" description="Соединение с запросом &quot;МесяцыИтоги&quot; в книге." type="5" refreshedVersion="5" background="1" saveData="1">
    <dbPr connection="provider=Microsoft.Mashup.OleDb.1;data source=$EmbeddedMashup(1274610a-a634-4af8-8b8d-1956081946c9)$;location=МесяцыИтоги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ISE0lgxQeUkqgAAAPoAAAASAAAAAAAAAAAAAAAAAAAAAABDb25maWcvUGFja2FnZS54bWxQSwECLQAUAAIACACEhNJYD8rpq6QAAADpAAAAEwAAAAAAAAAAAAAAAAD2AAAAW0NvbnRlbnRfVHlwZXNdLnhtbFBLAQItABQAAgAIAISE0likcnCZzwQAAAAVAAATAAAAAAAAAAAAAAAAAOcBAABGb3JtdWxhcy9TZWN0aW9uMS5tUEsFBgAAAAADAAMAwgAAAAMHAAAAAA==&quot;" command="SELECT * FROM [МесяцыИтоги]"/>
  </connection>
  <connection id="8" keepAlive="1" name="Запрос — МесяцыКолвоСоцРаб" description="Соединение с запросом &quot;МесяцыКолвоСоцРаб&quot; в книге." type="5" refreshedVersion="5" background="1" saveData="1">
    <dbPr connection="provider=Microsoft.Mashup.OleDb.1;data source=$EmbeddedMashup(1274610a-a634-4af8-8b8d-1956081946c9)$;location=МесяцыКолвоСоцРаб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Oa+ZBJ8CAAC8BwAAEwAcAEZvcm11bGFzL1NlY3Rpb24xLm0gohgAKKAUAAAAAAAAAAAAAAAAAAAAAAAAAAAArZTfa9pQFMffBf+HS/qSQAjNXosPw/1grOxhFvYQwoh6h8GYlCRuHRJodbUPLRRKH8rYaMv+gTgnczW1/8K5/9HOTYzR1jqUKZhwz73nfM73fK8erfimY5NS8lS38rl8zqsZLq0S+AYDdsBOWZcdw1cYwwh+4u81jFkXriCEHikQi/o5gp+q4Rs7dM/HJQHOMXgLt3hsIMjT8LZp1zH8fK9CLaXYdF1q++8ct152nLootbQ3RoMWBDjDYz2ssZ+lYYeCHmhFx/bxiN7aDLSMTc8K8ARYgGMoRadRNm0qttLK8hQxkJIjHw3XNGx/cur/YF1ifAi/MR7CDWEddoScbQgnlHCB0G3McoQ7hrgjrTst+MK0qDJJ6Yn/grqEEAuGEPEqbJ8dLwDqYOSEYC0YYvFDnOCveDQRwZd0TpEuycRuWpZMfLdJJwrNDvL9jlG2uFD3e2hpr3zaKKQDkF+bdrUgxLs5zTNc1+V8nG8DrYGUHejjwQHKExOMYJAWIUlqXOpx1wl8mjyRUqIWOrToWM2G7YkPueSWkBhTIYk18b2d8AkyOvIiTtuHsYDTn8JcQz/GucPvEIUco8HDOZZ48QaGGclL12nuiit3IpMlhAFGMfw9AWCnZIZXJtSo1Mi26flKqdkQtSzGZ+Z/3qU4uEaZusFsaz/YAdbm+TjOnxkctEqXj36MryHGY+isv6fVaiKzuJpAcyqT+VaVtAvzA9EWtqlj/U3i16iND2p5lKjSmqZRH3PNGqpwWz3e1JyVMikwK4G7+I8giilT0oiwL7g4YieTzdF91LfOJ29lb6mpuqK2sQyXa6xKa9lfXeD/NTuOL8ISTZOrcIaDGkw2KHClPLwGy1tdcjNW0vbJEjOtIp+8qKdAyudMe12wrb9QSwECLQAUAAIACACEhNJYMUHlJKoAAAD6AAAAEgAAAAAAAAAAAAAAAAAAAAAAQ29uZmlnL1BhY2thZ2UueG1sUEsBAi0AFAACAAgAhITSWA/K6aukAAAA6QAAABMAAAAAAAAAAAAAAAAA9gAAAFtDb250ZW50X1R5cGVzXS54bWxQSwECLQAUAAIACACEhNJYOa+ZBJ8CAAC8BwAAEwAAAAAAAAAAAAAAAADnAQAARm9ybXVsYXMvU2VjdGlvbjEubVBLBQYAAAAAAwADAMIAAADTBAAAAAA=&quot;" command="SELECT * FROM [МесяцыКолвоСоцРаб]"/>
  </connection>
  <connection id="9" name="Запрос — ПериодДанные" description="Соединение с запросом &quot;ПериодДанные&quot; в книге." type="5" refreshedVersion="5">
    <dbPr connection="provider=Microsoft.Mashup.OleDb.1;data source=$EmbeddedMashup(1274610a-a634-4af8-8b8d-1956081946c9)$;location=ПериодДанные;extended properties=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d287SdwFAAC9GwAAEwAcAEZvcm11bGFzL1NlY3Rpb24xLm0gohgAKKAUAAAAAAAAAAAAAAAAAAAAAAAAAAAAxVnfaxtHEH6OIP/Dcn2R4Coq2Xlp6kBxk1JoU7BT+iBEOVsXLCLdCd0pcREC22lsqNO6FENNSOKEFPpYWbZq2bHkf2HvP+rM7v3Yk317upPSxsSWd+e+/eab2Znds6Wv2lXTIMv8Z+H2zczNjLWmNfUKjNVg9BvTsNfIAslWNFvjv2gWsfV1O0cW7mRqup25wYYtMLq7vqrX8outZlM37O/N5qMV03yUzbVL97W6vqDQl7TvbDp7zrazq5Q7pUV4DgzLaubGUuMBQAKEQt85m/S985Qe04HCZ56Y/uQ+7dIhHTq7tI+TOA7TMIWf8kt6o6at6gFXlXBglShKDuzvtWo112j8GReKPcEX9B6yQkI80FZqep6Ls2Q+sbLce5Xo2uoayZZEJ8tgLyyZy7U/6ZToX3SALtJROVM1QvCi/PQQcDbogI7oieg2QKLoBP5NrzuiWLbWTO1d3Mr74ECXXsL/U3BkKK7OtHhFu84OzKIaV+Tx+JmN/4veCxwFyO0ocphpEcmJ0/QA2GzREfg4hKXOfUo+l3tVcMhd08rG8T0EuTZglQvgtOVshMPJCB46T2HmOYG1kKrzjOUPcrog8MEjeFHOqcSA1FSJ3WzpOU73I4W+RVx45pwOiLNJ6CXLQVgPdfAeJs5PMPjeee4aXyjXxWbceT9K6EyZKfYb7dFjYIx2onrEbJIIM7E8XDFDtn0kJkcLzCRo+2ByDihHoLMUL2woQTxwfo3j5pnEoAzjUYZylJfw9JkMgxvIEcBhadw8EwnKK8iPvXiNRTMJ2mt6Dik5AV7YUIL4FrN+MsxxUwnqn2DaYzs5Jh/ChhLEvwGhx+SW4olmIlouqAD7MMkGodfAhxNWnft+++F7GoaOWDsZ2/iLZq1VN6xs+kqithWkq0D3/QKKq9IJmP0OT5wifXi6S/AbkmHqDNhwH+C7zh6AAvEhhHgbauBewPHzSoUTzCb2E+jcb9VX9KbiljHheORWNFFDePIIAHscEpxHKNAc2wzqv8XrD0QA5KFnBO2dn7GQOFsRfNN6D8yXscV7xIN+PyO+hSiBpxKB0TYbAWv3FBCQfsc7MUBhxM6EiGHHxm4XWv9DsCwgza+skL7Vh7DhWKqUyZ0FUmKTZWKv6QbrtUSvWTp5qMH31L5ESZ5UEpd9ILNI/jNG3mzEcU+30QvXnhnSSOGfK7grWOjYmYZoRsUdZRFwh1NWuit8py51BVmtSwdZjBI1oauupOyChMdLrQqO8iqn+mfetEpeITm1kkVUMqQg3rrYEv5Sd9cbkA/sc8oeUPTjpLqYHAhlSS5yUcHzOsLhUXy2eEJdmbh/L+l187HuhcLXD4SFOwUG4RRbDlwr4By+g9cP2g33ZsT1dyUdfYqF8tz1gI8N8Dxyfd2aoP2yM9s4nJuovGTll8yWUcmWWB7hCf+EZU0fLkMI9TGQGyF999jDeigpeBUf3MoTXn3yCqT5HITF/rGhwzUJwSfXtBglagKZUPZpfRCiw98l9P2tNHLPEXEpYUAqCuzjPVfb7ahAzcChzoxOLMWINEwkE3r0gv0+YBsCZ9EXthD35p/gZObsOs+8bC0IZR7utSjVJXwNWDEbX9ErhwHlL5tmqzH10QWrGSYZXKy2QeI3eIGFz1v8rq50YLY99kqDs//B3RY2khFDEpcdc5J9kUAHVcZ6Rgkyl7JOzWFWLLbgsFr3eyhD+c5oVB+b9rdwkmp6bpdEdcsytzDVDr394FGHDgnXwwP6GmI19tZUoX+w+8EO3354J/A3mJKgO8xLIjalvupYcgmRe8Nex/XYXhyy11nsGPgLW+iCX7KJK7K8vcf7J4YrfQDU8dfWRBqBzn+5VppaU7im2CSJyiz9cwuRxEV3o31dtez8cqsO+yrauBxu6jPrKPMRBSOJ5ip7c4fpeYxt5DLUF/Glr3hJEzXir3YS9iJ+qSvwG12MZJPWi1sfql7Ms3oxWZonaeKFKQ47t/hhJy5ictqdHP4NKBXz2/8CUEsBAi0AFAACAAgAhITSWDFB5SSqAAAA+gAAABIAAAAAAAAAAAAAAAAAAAAAAENvbmZpZy9QYWNrYWdlLnhtbFBLAQItABQAAgAIAISE0lgPyumrpAAAAOkAAAATAAAAAAAAAAAAAAAAAPYAAABbQ29udGVudF9UeXBlc10ueG1sUEsBAi0AFAACAAgAhITSWHdvO0ncBQAAvRsAABMAAAAAAAAAAAAAAAAA5wEAAEZvcm11bGFzL1NlY3Rpb24xLm1QSwUGAAAAAAMAAwDCAAAAEAgAAAAA" command="SELECT * FROM [ПериодДанные]"/>
  </connection>
  <connection id="10" keepAlive="1" name="Запрос — ПериодИтоги" description="Соединение с запросом &quot;ПериодИтоги&quot; в книге." type="5" refreshedVersion="5" background="1" saveData="1">
    <dbPr connection="provider=Microsoft.Mashup.OleDb.1;data source=$EmbeddedMashup(1274610a-a634-4af8-8b8d-1956081946c9)$;location=ПериодИтоги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QVrKxi4HAAA+JwAAEwAcAEZvcm11bGFzL1NlY3Rpb24xLm0gohgAKKAUAAAAAAAAAAAAAAAAAAAAAAAAAAAA7VpbbxNHFH4mEv9hZF5saevWCTzRIFUp9EahSqj6YFnVEg+Khe21dtdAFVkioU2khjZVFalRBaQplfpYJ2BhIHb+wuw/6jkzu97Z+8VO24fmIbFnz5w55ztzrhuDrpoNrU1WxN/K5fNz5+eMNVWndVhrwurnWttcI4ukWFdNVXxRDWLSB2aJLF6Za1Jz7hxfNoDo6oNV2iwvdXWdts2vNP3ubU27WyytV2+oLbpYYE/YwNqwdq0ta6dQ61WXYB8Q1pS5c8udW8ASWBTYc2uDvbUesRdsWBBP7muTh3usz0ZsZO2wAT7EdXgMj/BTeZl2muoqdWVViGCskEKhBPTXus2mTeTfY7PiO8SBzibDA8Qt9XaTlgU4y9p9oyi0VwhVV9dIsSorWQN66chSaf29XpX9yYaoIhvX5hptD/sg/CtUv9dYpQhuURCuaKsNtRkwAoEftg8Hb7KxtQ0YDdmbiUUmprjWANlt2I1ikrkOWN96CICfgEab1kOv0bgqB9YjePKYwFmolPUdG7OX3DwnBD44tjqplRTSBiAUYupdCqCiuBcK7BD5wp43bEisDcJO4dsQz4ONA2czsb6FxbfWY5v4pBBmBr/yE4OgMjV+eQ7ZKYcez5vcskLJFWcPlOQXjw0IfEAF3k7kgCV+ACwd8Rvsk2JJa3ZbbaOYXy1lvfAh3NxCT5IIHhyBGMdCEGCFAliP2Sv4ewz22YRl5LGBh7HXBOmt72HxjbXpSvhBvS7EK2bWUiFcH7ECF2GrYCMrOH+hay3NpB9TtU51o1hFBWoSpM9To7hMW9o9KqE4ne4hYP4GzF7BzgHgPeI3dwd2WT9w/tw61ibxKTsR7+qDjtqu888ulInahaG37otxQPI7yH8KxpCWe6kJXQX5U2tHei7Dq+lgIgnfPHAAqmEyKL643ZvWxedDfTxcRec+YjTH6KQ2QL+qLE9NIXLwLPkQ8+oCB08hNg+LQa481JPoQ+XID3F3wE/DWLrP4QcSEMuJ89PnW+RimKqeO6slnbwH4vfBYfvcWUeBxPEU3Hebu864FkiLjnxa598S71dcxQsfJRxWGBFFCT7WqdFtmhElzf+pOjlV/wRx6QV6CNDJ8BJNJxFkMsgBMpSWJ4t4bi5ZDLc9zDDA5QhwjuXnJYzhuG/9mCSbQ5LAZZTMZRTP5Qnsfh3HQxDEcwCFY+3mkMRweQr3YzcZY5kshtszrAnS8PMSxnA8FAkyDU8/aQzXP4D0mHtywn3wEsZw/As4HHO4Y/nJZDK3/1R1jOJireEv7H6GHVjJoHZ9gr9QGI7OkC9jPdO3doEpCD4CE29BDNydVX18o9u6TXWnDpH6Zjuilc62ns+rPUi+gjWAI7hbEMxI3koUwNMV9ii21nGltssEqecQqRpYjURJuyHXsJjtPOefhZQVFPMTw4Nv4w44HL8qNXJlkVT5wxox12ib51pCmwYld1T4nVuXKMizQmJL78IsC/8+F17rJMmez9ErUaV/ZigmdYVQBQMdr2kINHL2KreAvZwz0gXknTrUVeJi3Yz7qYyqhvdaPMopk6I4L5IBIadGcj4wBsBxHD8ivrHPKLdjJ8XmKRghLNlBFj2kmKPMml/6uUwlajAzARBHAQfcCq8w50BfAYX4NvYfrM8HAk7rOranIFhav+TmGkAXgke9A746lhphnrxIxQm1wK5MhNuXPS4ANT8CcMrneQ9FOPbo4VwVV4mPdK3bSTOyqYgJzSHUlVtwOg5JjuDzpmhV+Fhm3dfyCZ/4GjqmbzqUmHher5ce6vmYGVgGVZU4qWeU0eej0ksaD1nqQq5ueceHX7Y7jXuaeRMSyWQ0VZXRrcWphffqwLkqjugQIKA63mfPwFa+1rvAfuHl0TYXdIglkTtGyuAcC2c1teTxynO5so4vbZCnG1sueMyV3wD+sSB+j7FA7588K084qYTEkyxWmaV+diCKUdF2tOsNwyyvdFvgV9HEmGp49GrzGi9L+Lo4k/BViY1fSY4ut4Ib8AySDnc8ecjal6dRqdPBxeDA3kZeTm8zATpnHxdV8scjEfEywdPDOi8ffcN0KVCKSfWAW3gMlt7FItzWO+ltj/91RG71U76T8JYkufx/PuQCZYaA36eIFz7rktlCrtVE/JhbZMszKY6D2oSbow3FZS7PxZyV8q2QI6bty+E5EUxcEe9gsvYm07VIC+Gz6iRRYzsi9z1Ahuri0szboIXcb0NxU2XKauJSUnuUzCCxI8rCwoXAfbmWLllkgCwqaxy9C0dBOxNw7gvuM9e7tTYVRVHknpANab1sXnhZpoAxge6ZXbS+hH0jCXY4rM9v5Rh2SgHmBjVMWv9Ua/ArEw+8EoAus5gBDlkZoKSfNdr18nV6x7zZNaleUs5n+0eCfJE41MVSoi3KpCxqEk/G6fm/SzpnzXOVuFx/BgD6TY5YyLlUdj3bbXol5618Lv0u/w1QSwECLQAUAAIACACEhNJYMUHlJKoAAAD6AAAAEgAAAAAAAAAAAAAAAAAAAAAAQ29uZmlnL1BhY2thZ2UueG1sUEsBAi0AFAACAAgAhITSWA/K6aukAAAA6QAAABMAAAAAAAAAAAAAAAAA9gAAAFtDb250ZW50X1R5cGVzXS54bWxQSwECLQAUAAIACACEhNJYQVrKxi4HAAA+JwAAEwAAAAAAAAAAAAAAAADnAQAARm9ybXVsYXMvU2VjdGlvbjEubVBLBQYAAAAAAwADAMIAAABiCQAAAAA=&quot;" command="SELECT * FROM [ПериодИтоги]"/>
  </connection>
  <connection id="11" keepAlive="1" name="Запрос — ПериодКолвоСоцРаб" description="Соединение с запросом &quot;ПериодКолвоСоцРаб&quot; в книге." type="5" refreshedVersion="5" background="1" saveData="1">
    <dbPr connection="provider=Microsoft.Mashup.OleDb.1;data source=$EmbeddedMashup(1274610a-a634-4af8-8b8d-1956081946c9)$;location=ПериодКолвоСоцРаб;extended properties=&quot;UEsDBBQAAgAIAISE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SE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EhNJYkiPxwMYEAAA4FQAAEwAcAEZvcm11bGFzL1NlY3Rpb24xLm0gohgAKKAUAAAAAAAAAAAAAAAAAAAAAAAAAAAAxVdda9tIFH2uIf9hUF8sECZ2u0/dFEraLgu7fUgK+2D8oMQqMXUsY8k0SzAkbjeFbWlKyUNZ2qahhX1cx6mpk9jJXxj9oz13RtZHHI0rpcs2VFFm7pw599w7944ca9Wt2Q22LH8Xb83l5nLOmtmyqhirY/RXu+GusQWWr5quKf8wHeZaG67OFm7n6pabuyaGHRjd21i16oXFdqtlNdzf7NbjFdt+nNc3yw/MdWtB4+/4wNv2dr0d74VW6ZQXsQ6GFSN3ban5EJCA0Pgnb5ufek/5ER9qcuaJHUzu8R4f87H3gg9oksYxjSl6KyxZzbq5aoVcDSaBDaZpOuzvt+t13+jiGh9KrJAbThY5MSEemit1qyDFWbKfOHnpvcEsc3WN5ctRJyuwj2yp65vznTL/mw/JRX5WydUaMfio/HwfOFt8yM/4F/4Xnqe8j+cBP/N2+EfIcAhwkp/h39UjQCiOa7Yy+zlr5z240uPn+P8VboyjuwtV3vOe9xyzpMuUUBN+dvP/okcRGANyJ4kc5VxCmtI0fws2XQTvOSaG/CSgFHC5X4ND/p5Ofhbffci1hV1G4NT1tuLhFAT3vaeYecmwF1H1/hCZRJxGDC8TgqOKbrAGktRgbqtt6ZLudY0fEC7WnPAh87YZPxfZiP1Ih8li5j3D4Kn30jceaZfF5qLzQZTImYpQ7DWy+wiMyS6qHrNbLMEsWiimzIjtgIip0UIzBdoeTE7oxEFnJV7cUIH41ns1i9vEZAbKeDbKWI3yDquPVRjSQI0Ah5Vxm5goUN4jP3Znaxw1U6B94CdIyW/AixsqEA8o678N86KpAvUzTPviJM/Ih7ihAvEfIPSF3Eq8qFkUTQ8rwB4mxSAfMLx8EdV5cvQxJM40hg5FO7lw8Bftenu94eSzVxJjUyO6GvrwXRRXrRMye4MVX4k+VvcYPYiMUGcohgeA73m7AAXxMUK8gxq4G3K8U61KgvnUfoLOg/b6itXS/DIWuSj5FS2qIVYeArAvIeE8QUFzajOkf1fWH0QA8vBjRvben1RIvG4C36zeg/kytfgJ8bDffye+xSSBrySCoG03Q9b+LSAk/Ul2YkBRxI4jEaOOTd0utv9/wbJINH92YvrWHuHAiVSpsNsLrCwmK8xdsxqi1zKr7ljskYlnZl+SJE8ric8+lDlK/kdB3m7O4p7toBcvvTNkkSK4V0hXqNCJOw0zG1V/VETAH85Y6ab4XrnUFVW1LhtkKUnUlK76kopPJbpemjU4KqucEdx5syo5RfLKSpZIyZiC9P0ltgi2urfRRD6I94w9oBTEyfAxJRDJkl7kkkb3dYKjq/j3xdONuUyRuZEUmUBO6Cw/RgtMfo7ivSuv96QObp4Ed8TPKBIBiQPc3onGOX6GImT98IrC/DYmgh4S+Kllt5upVbgBFgqKHczSNHBG1C3pG8knzPuTrP+l5riF5fY6PicDdyhG7u9NC99MVBw7Ue9SFqxSQu1OIVJMaRb3thAt5QmeUi2cl1V9Xpb0YtaUuak4zKmFoexK9iuWUZnqxFR+ZyqPN8OOc13Fl1Qu6pmOQfGSc5DVZXEgFKrKI/EGsRr4BgX+sTB9GNS+Ks5HKnF/UDWHFPoZl/nU0edytUZWYrf+BVBLAQItABQAAgAIAISE0lgxQeUkqgAAAPoAAAASAAAAAAAAAAAAAAAAAAAAAABDb25maWcvUGFja2FnZS54bWxQSwECLQAUAAIACACEhNJYD8rpq6QAAADpAAAAEwAAAAAAAAAAAAAAAAD2AAAAW0NvbnRlbnRfVHlwZXNdLnhtbFBLAQItABQAAgAIAISE0liSI/HAxgQAADgVAAATAAAAAAAAAAAAAAAAAOcBAABGb3JtdWxhcy9TZWN0aW9uMS5tUEsFBgAAAAADAAMAwgAAAPoGAAAAAA==&quot;" command="SELECT * FROM [ПериодКолвоСоцРаб]"/>
  </connection>
</connections>
</file>

<file path=xl/sharedStrings.xml><?xml version="1.0" encoding="utf-8"?>
<sst xmlns="http://schemas.openxmlformats.org/spreadsheetml/2006/main" count="228" uniqueCount="88">
  <si>
    <t>Путь к исходным данным</t>
  </si>
  <si>
    <t>Полный путь к этому документу</t>
  </si>
  <si>
    <t>Услуги</t>
  </si>
  <si>
    <t>Результаты</t>
  </si>
  <si>
    <t>Январь</t>
  </si>
  <si>
    <t>Расширение файла с данными</t>
  </si>
  <si>
    <t>.xlsm</t>
  </si>
  <si>
    <t>Управление</t>
  </si>
  <si>
    <t>Переходы по страницам (все названия кликабельны).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</si>
  <si>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</si>
  <si>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</si>
  <si>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</si>
  <si>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</si>
  <si>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</si>
  <si>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</si>
  <si>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</si>
  <si>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</si>
  <si>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</si>
  <si>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</si>
  <si>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</si>
  <si>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&lt;&lt; Настройки</t>
  </si>
  <si>
    <t>Список выбора файлов для подсчета итогов</t>
  </si>
  <si>
    <t>Выбор файла с данными</t>
  </si>
  <si>
    <t>Месяцы</t>
  </si>
  <si>
    <t>Всего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</si>
  <si>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</si>
  <si>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</si>
  <si>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</si>
  <si>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</si>
  <si>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</si>
  <si>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</si>
  <si>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</si>
  <si>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Месяц</t>
  </si>
  <si>
    <t>Соц. Работник</t>
  </si>
  <si>
    <t>Общий итог</t>
  </si>
  <si>
    <t>Получатели ФИО</t>
  </si>
  <si>
    <t>беседа</t>
  </si>
  <si>
    <t>вызов врача на дом по телефону</t>
  </si>
  <si>
    <t>вынос мусора</t>
  </si>
  <si>
    <t>вып. процедур, связанных с сохранением здоровья</t>
  </si>
  <si>
    <t>доставка воды</t>
  </si>
  <si>
    <t>Итого</t>
  </si>
  <si>
    <t>Количество обслуживаемых</t>
  </si>
  <si>
    <t>консультирование по соц-мед.вопросам</t>
  </si>
  <si>
    <t>кормление</t>
  </si>
  <si>
    <t>обработка ногтей</t>
  </si>
  <si>
    <t>оказание помощи в оформлении документов</t>
  </si>
  <si>
    <t>оказание помощи при стирке вещей</t>
  </si>
  <si>
    <t>оплата коммунальныхи услуг и связи</t>
  </si>
  <si>
    <t>письма</t>
  </si>
  <si>
    <t>покупка лекарств, выписка рецептов</t>
  </si>
  <si>
    <t>покупка продуктов</t>
  </si>
  <si>
    <t>покупка топлива, топка печей</t>
  </si>
  <si>
    <t>помощь в получении юр.услуг</t>
  </si>
  <si>
    <t>помощь в приготовлении пищи</t>
  </si>
  <si>
    <t>помывка в ванной</t>
  </si>
  <si>
    <t>присмотр за детьми</t>
  </si>
  <si>
    <t>сиделка</t>
  </si>
  <si>
    <t>смена нательного белья</t>
  </si>
  <si>
    <t>смена постельного белья</t>
  </si>
  <si>
    <t>смена штор</t>
  </si>
  <si>
    <t>снег</t>
  </si>
  <si>
    <t>сод-е в госпитализации</t>
  </si>
  <si>
    <t>сод-е в организации ритуальных услуг</t>
  </si>
  <si>
    <t>сод-е в получении услуг в пр.торговли, КБО</t>
  </si>
  <si>
    <t>сод-е в провед. мед. обслед. (запись)</t>
  </si>
  <si>
    <t>сод-е в прохождении МСЭ</t>
  </si>
  <si>
    <t>сод-е сан-кур. лечение</t>
  </si>
  <si>
    <t>содействие в получ. тех. средств</t>
  </si>
  <si>
    <t>соц-пед.услуги</t>
  </si>
  <si>
    <t>Среднее кол-во услуг на 1 получ. Усл.</t>
  </si>
  <si>
    <t>стирка вещей</t>
  </si>
  <si>
    <t>уборка б/у</t>
  </si>
  <si>
    <t>уборка с/у</t>
  </si>
  <si>
    <t xml:space="preserve"> Значения услуг</t>
  </si>
  <si>
    <t>Год</t>
  </si>
  <si>
    <t>Число</t>
  </si>
  <si>
    <t>Начало</t>
  </si>
  <si>
    <t>Конец</t>
  </si>
  <si>
    <t>Сумма</t>
  </si>
  <si>
    <t>Период</t>
  </si>
  <si>
    <t>ФИО Соц. работника</t>
  </si>
  <si>
    <t>Всего 2</t>
  </si>
  <si>
    <t>Всего 1</t>
  </si>
  <si>
    <t>Сиделка</t>
  </si>
  <si>
    <t>Разница</t>
  </si>
  <si>
    <t>Всего С.Р.</t>
  </si>
  <si>
    <t>G:\Git-Github\GIT-User\git-ssh\social-services\source\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</si>
</sst>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;[Red]0.0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14"/>
      <color theme="10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0" borderId="2" xfId="0" applyFont="1" applyBorder="1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wrapText="1" shrinkToFit="1"/>
    </xf>
    <xf numFmtId="0" fontId="1" fillId="0" borderId="0" xfId="0" applyFont="1" applyAlignment="1">
      <alignment wrapText="1" shrinkToFit="1"/>
    </xf>
    <xf numFmtId="0" fontId="2" fillId="0" borderId="3" xfId="0" applyFont="1" applyBorder="1" applyAlignment="1">
      <alignment horizontal="left" vertical="center" wrapText="1" shrinkToFit="1"/>
    </xf>
    <xf numFmtId="0" fontId="1" fillId="0" borderId="0" xfId="0" applyFont="1" applyAlignment="1">
      <alignment horizontal="left" vertical="center" wrapText="1" shrinkToFit="1"/>
    </xf>
    <xf numFmtId="0" fontId="1" fillId="0" borderId="0" xfId="0" applyFont="1" applyAlignment="1">
      <alignment horizontal="center" vertical="center" wrapText="1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0" fontId="1" fillId="0" borderId="0" xfId="0" applyFont="1" applyBorder="1" applyAlignment="1">
      <alignment wrapText="1" shrinkToFit="1"/>
    </xf>
    <xf numFmtId="0" fontId="9" fillId="0" borderId="0" xfId="1" applyFont="1" applyAlignment="1">
      <alignment horizontal="left" vertical="center"/>
    </xf>
    <xf numFmtId="0" fontId="8" fillId="0" borderId="0" xfId="0" applyFont="1" applyFill="1"/>
    <xf numFmtId="0" fontId="7" fillId="0" borderId="4" xfId="0" applyFont="1" applyFill="1" applyBorder="1"/>
    <xf numFmtId="0" fontId="1" fillId="0" borderId="0" xfId="0" applyFont="1" applyFill="1"/>
    <xf numFmtId="0" fontId="6" fillId="0" borderId="5" xfId="0" applyFont="1" applyFill="1" applyBorder="1"/>
    <xf numFmtId="0" fontId="1" fillId="0" borderId="0" xfId="0" applyNumberFormat="1" applyFont="1" applyFill="1" applyAlignment="1"/>
    <xf numFmtId="0" fontId="1" fillId="0" borderId="0" xfId="0" quotePrefix="1" applyNumberFormat="1" applyFont="1" applyFill="1" applyAlignment="1"/>
    <xf numFmtId="0" fontId="0" fillId="0" borderId="0" xfId="0" applyFill="1"/>
    <xf numFmtId="0" fontId="7" fillId="0" borderId="0" xfId="0" applyFont="1" applyFill="1"/>
    <xf numFmtId="0" fontId="6" fillId="0" borderId="0" xfId="0" applyFont="1" applyFill="1"/>
    <xf numFmtId="0" fontId="10" fillId="0" borderId="0" xfId="0" applyFont="1" applyFill="1" applyAlignment="1">
      <alignment horizontal="left" vertical="center" wrapText="1" shrinkToFit="1"/>
    </xf>
    <xf numFmtId="0" fontId="10" fillId="0" borderId="0" xfId="0" applyFont="1" applyFill="1" applyAlignment="1">
      <alignment horizontal="center" vertical="center" wrapText="1" shrinkToFit="1"/>
    </xf>
    <xf numFmtId="0" fontId="10" fillId="0" borderId="0" xfId="0" applyFont="1" applyFill="1" applyAlignment="1">
      <alignment horizontal="left" wrapText="1" shrinkToFit="1"/>
    </xf>
    <xf numFmtId="0" fontId="10" fillId="0" borderId="0" xfId="0" applyFont="1" applyFill="1" applyAlignment="1">
      <alignment horizontal="center" textRotation="90" wrapText="1" shrinkToFit="1"/>
    </xf>
    <xf numFmtId="164" fontId="10" fillId="0" borderId="0" xfId="0" applyNumberFormat="1" applyFont="1" applyFill="1" applyAlignment="1">
      <alignment horizontal="center" textRotation="90" wrapText="1" shrinkToFit="1"/>
    </xf>
    <xf numFmtId="0" fontId="10" fillId="0" borderId="0" xfId="0" applyNumberFormat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 wrapText="1" shrinkToFit="1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" fillId="0" borderId="0" xfId="0" applyFont="1" applyFill="1" applyBorder="1"/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 wrapText="1" shrinkToFit="1"/>
    </xf>
    <xf numFmtId="0" fontId="6" fillId="0" borderId="0" xfId="0" applyFont="1" applyFill="1" applyBorder="1"/>
    <xf numFmtId="0" fontId="10" fillId="0" borderId="0" xfId="0" applyFont="1" applyFill="1" applyAlignment="1">
      <alignment horizontal="left"/>
    </xf>
    <xf numFmtId="0" fontId="10" fillId="0" borderId="0" xfId="0" applyFont="1" applyFill="1"/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textRotation="90" wrapText="1" shrinkToFit="1"/>
    </xf>
    <xf numFmtId="0" fontId="11" fillId="0" borderId="0" xfId="0" applyFont="1" applyFill="1" applyAlignment="1">
      <alignment horizontal="center" vertical="center" wrapText="1" shrinkToFit="1"/>
    </xf>
    <xf numFmtId="0" fontId="10" fillId="0" borderId="0" xfId="0" applyNumberFormat="1" applyFont="1" applyFill="1"/>
    <xf numFmtId="0" fontId="1" fillId="0" borderId="0" xfId="0" quotePrefix="1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9" fillId="2" borderId="6" xfId="1" applyFont="1" applyFill="1" applyBorder="1" applyAlignment="1">
      <alignment horizontal="center" vertical="center" wrapText="1" shrinkToFit="1"/>
    </xf>
    <xf numFmtId="0" fontId="9" fillId="2" borderId="7" xfId="1" applyFont="1" applyFill="1" applyBorder="1" applyAlignment="1">
      <alignment horizontal="center" vertical="center" wrapText="1" shrinkToFit="1"/>
    </xf>
    <xf numFmtId="0" fontId="9" fillId="2" borderId="8" xfId="1" applyFont="1" applyFill="1" applyBorder="1" applyAlignment="1">
      <alignment horizontal="center" vertical="center" wrapText="1" shrinkToFit="1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 wrapText="1" shrinkToFit="1"/>
    </xf>
    <xf numFmtId="0" fontId="9" fillId="0" borderId="13" xfId="1" applyFont="1" applyBorder="1" applyAlignment="1">
      <alignment horizontal="center" vertical="center" wrapText="1" shrinkToFit="1"/>
    </xf>
    <xf numFmtId="0" fontId="9" fillId="0" borderId="14" xfId="1" applyFont="1" applyBorder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11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z val="12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/>
      </font>
    </dxf>
    <dxf>
      <alignment vertical="center" readingOrder="0"/>
    </dxf>
    <dxf>
      <alignment textRotation="0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textRotation="90" readingOrder="0"/>
    </dxf>
    <dxf>
      <alignment vertic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wrapText="1" shrinkToFit="1" readingOrder="0"/>
    </dxf>
    <dxf>
      <alignment wrapText="1" shrinkToFit="1" readingOrder="0"/>
    </dxf>
    <dxf>
      <alignment wrapText="1" shrinkToFit="1" readingOrder="0"/>
    </dxf>
    <dxf>
      <alignment horizontal="left" readingOrder="0"/>
    </dxf>
    <dxf>
      <alignment horizontal="center" readingOrder="0"/>
    </dxf>
    <dxf>
      <alignment vertical="center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theme="6" tint="0.3999450666829432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fill>
        <patternFill>
          <bgColor theme="3" tint="0.59996337778862885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2" defaultPivotStyle="PivotStyleMedium9">
    <tableStyle name="TableStyleLight15 3" pivot="0" count="7">
      <tableStyleElement type="wholeTable" dxfId="1135"/>
      <tableStyleElement type="headerRow" dxfId="1134"/>
      <tableStyleElement type="totalRow" dxfId="1133"/>
      <tableStyleElement type="firstColumn" dxfId="1132"/>
      <tableStyleElement type="lastColumn" dxfId="1131"/>
      <tableStyleElement type="firstRowStripe" dxfId="1130"/>
      <tableStyleElement type="firstColumnStripe" dxfId="1129"/>
    </tableStyle>
    <tableStyle name="TableStyleQueryPreview" pivot="0" count="3">
      <tableStyleElement type="wholeTable" dxfId="1128"/>
      <tableStyleElement type="headerRow" dxfId="1127"/>
      <tableStyleElement type="firstRowStripe" dxfId="1126"/>
    </tableStyle>
    <tableStyle name="TableStyleQueryResult" pivot="0" count="3">
      <tableStyleElement type="wholeTable" dxfId="1125"/>
      <tableStyleElement type="headerRow" dxfId="1124"/>
      <tableStyleElement type="firstRowStripe" dxfId="1123"/>
    </tableStyle>
  </tableStyles>
  <colors>
    <mruColors>
      <color rgb="FFFFFFCC"/>
      <color rgb="FFCDC800"/>
      <color rgb="FF004D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27892</xdr:colOff>
      <xdr:row>1</xdr:row>
      <xdr:rowOff>2040</xdr:rowOff>
    </xdr:from>
    <xdr:to>
      <xdr:col>17</xdr:col>
      <xdr:colOff>271312</xdr:colOff>
      <xdr:row>8</xdr:row>
      <xdr:rowOff>175191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18106" y="287790"/>
              <a:ext cx="2570242" cy="1683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18368</xdr:colOff>
      <xdr:row>0</xdr:row>
      <xdr:rowOff>279287</xdr:rowOff>
    </xdr:from>
    <xdr:to>
      <xdr:col>23</xdr:col>
      <xdr:colOff>96037</xdr:colOff>
      <xdr:row>7</xdr:row>
      <xdr:rowOff>176894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06904" y="279287"/>
              <a:ext cx="2037097" cy="148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</xdr:colOff>
      <xdr:row>1</xdr:row>
      <xdr:rowOff>19050</xdr:rowOff>
    </xdr:from>
    <xdr:to>
      <xdr:col>18</xdr:col>
      <xdr:colOff>204108</xdr:colOff>
      <xdr:row>9</xdr:row>
      <xdr:rowOff>136071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4296" y="304800"/>
              <a:ext cx="2798990" cy="1831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5443</xdr:rowOff>
    </xdr:from>
    <xdr:to>
      <xdr:col>17</xdr:col>
      <xdr:colOff>209209</xdr:colOff>
      <xdr:row>9</xdr:row>
      <xdr:rowOff>11906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76607" y="291193"/>
              <a:ext cx="2331923" cy="1720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tv2" refreshedDate="45461.692475925927" missingItemsLimit="0" createdVersion="5" refreshedVersion="5" minRefreshableVersion="3" recordCount="38">
  <cacheSource type="external" connectionId="6"/>
  <cacheFields count="5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Признак учета" numFmtId="0">
      <sharedItems count="1">
        <s v="На учете"/>
      </sharedItems>
    </cacheField>
    <cacheField name="Услуги" numFmtId="0">
      <sharedItems count="38">
        <s v="Итого"/>
        <s v="Среднее кол-во услуг на 1 получ. Усл.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tv2" refreshedDate="45461.692656597224" missingItemsLimit="0" createdVersion="5" refreshedVersion="5" minRefreshableVersion="3" recordCount="38">
  <cacheSource type="external" connectionId="9"/>
  <cacheFields count="4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tv2" refreshedDate="45461.692803124999" missingItemsLimit="0" createdVersion="5" refreshedVersion="5" minRefreshableVersion="3" recordCount="38">
  <cacheSource type="external" connectionId="3"/>
  <cacheFields count="4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</r>
  <r>
    <x v="0"/>
    <x v="0"/>
    <x v="0"/>
    <x v="1"/>
    <x v="0"/>
  </r>
  <r>
    <x v="0"/>
    <x v="0"/>
    <x v="0"/>
    <x v="2"/>
    <x v="0"/>
  </r>
  <r>
    <x v="0"/>
    <x v="0"/>
    <x v="0"/>
    <x v="3"/>
    <x v="0"/>
  </r>
  <r>
    <x v="0"/>
    <x v="0"/>
    <x v="0"/>
    <x v="4"/>
    <x v="0"/>
  </r>
  <r>
    <x v="0"/>
    <x v="0"/>
    <x v="0"/>
    <x v="5"/>
    <x v="0"/>
  </r>
  <r>
    <x v="0"/>
    <x v="0"/>
    <x v="0"/>
    <x v="6"/>
    <x v="0"/>
  </r>
  <r>
    <x v="0"/>
    <x v="0"/>
    <x v="0"/>
    <x v="7"/>
    <x v="0"/>
  </r>
  <r>
    <x v="0"/>
    <x v="0"/>
    <x v="0"/>
    <x v="8"/>
    <x v="0"/>
  </r>
  <r>
    <x v="0"/>
    <x v="0"/>
    <x v="0"/>
    <x v="9"/>
    <x v="0"/>
  </r>
  <r>
    <x v="0"/>
    <x v="0"/>
    <x v="0"/>
    <x v="10"/>
    <x v="0"/>
  </r>
  <r>
    <x v="0"/>
    <x v="0"/>
    <x v="0"/>
    <x v="11"/>
    <x v="0"/>
  </r>
  <r>
    <x v="0"/>
    <x v="0"/>
    <x v="0"/>
    <x v="12"/>
    <x v="0"/>
  </r>
  <r>
    <x v="0"/>
    <x v="0"/>
    <x v="0"/>
    <x v="13"/>
    <x v="0"/>
  </r>
  <r>
    <x v="0"/>
    <x v="0"/>
    <x v="0"/>
    <x v="14"/>
    <x v="0"/>
  </r>
  <r>
    <x v="0"/>
    <x v="0"/>
    <x v="0"/>
    <x v="15"/>
    <x v="0"/>
  </r>
  <r>
    <x v="0"/>
    <x v="0"/>
    <x v="0"/>
    <x v="16"/>
    <x v="0"/>
  </r>
  <r>
    <x v="0"/>
    <x v="0"/>
    <x v="0"/>
    <x v="17"/>
    <x v="0"/>
  </r>
  <r>
    <x v="0"/>
    <x v="0"/>
    <x v="0"/>
    <x v="18"/>
    <x v="0"/>
  </r>
  <r>
    <x v="0"/>
    <x v="0"/>
    <x v="0"/>
    <x v="19"/>
    <x v="0"/>
  </r>
  <r>
    <x v="0"/>
    <x v="0"/>
    <x v="0"/>
    <x v="20"/>
    <x v="0"/>
  </r>
  <r>
    <x v="0"/>
    <x v="0"/>
    <x v="0"/>
    <x v="21"/>
    <x v="0"/>
  </r>
  <r>
    <x v="0"/>
    <x v="0"/>
    <x v="0"/>
    <x v="22"/>
    <x v="0"/>
  </r>
  <r>
    <x v="0"/>
    <x v="0"/>
    <x v="0"/>
    <x v="23"/>
    <x v="0"/>
  </r>
  <r>
    <x v="0"/>
    <x v="0"/>
    <x v="0"/>
    <x v="24"/>
    <x v="0"/>
  </r>
  <r>
    <x v="0"/>
    <x v="0"/>
    <x v="0"/>
    <x v="25"/>
    <x v="0"/>
  </r>
  <r>
    <x v="0"/>
    <x v="0"/>
    <x v="0"/>
    <x v="26"/>
    <x v="0"/>
  </r>
  <r>
    <x v="0"/>
    <x v="0"/>
    <x v="0"/>
    <x v="27"/>
    <x v="0"/>
  </r>
  <r>
    <x v="0"/>
    <x v="0"/>
    <x v="0"/>
    <x v="28"/>
    <x v="0"/>
  </r>
  <r>
    <x v="0"/>
    <x v="0"/>
    <x v="0"/>
    <x v="29"/>
    <x v="0"/>
  </r>
  <r>
    <x v="0"/>
    <x v="0"/>
    <x v="0"/>
    <x v="30"/>
    <x v="0"/>
  </r>
  <r>
    <x v="0"/>
    <x v="0"/>
    <x v="0"/>
    <x v="31"/>
    <x v="0"/>
  </r>
  <r>
    <x v="0"/>
    <x v="0"/>
    <x v="0"/>
    <x v="32"/>
    <x v="0"/>
  </r>
  <r>
    <x v="0"/>
    <x v="0"/>
    <x v="0"/>
    <x v="33"/>
    <x v="0"/>
  </r>
  <r>
    <x v="0"/>
    <x v="0"/>
    <x v="0"/>
    <x v="34"/>
    <x v="0"/>
  </r>
  <r>
    <x v="0"/>
    <x v="0"/>
    <x v="0"/>
    <x v="35"/>
    <x v="0"/>
  </r>
  <r>
    <x v="0"/>
    <x v="0"/>
    <x v="0"/>
    <x v="36"/>
    <x v="0"/>
  </r>
  <r>
    <x v="0"/>
    <x v="0"/>
    <x v="0"/>
    <x v="3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МесяцыСводная" cacheId="4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5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compact="0" outline="0" showAll="0" defaultSubtotal="0">
      <items count="1">
        <item x="0"/>
      </items>
    </pivotField>
    <pivotField axis="axisCol" compact="0" outline="0" showAll="0">
      <items count="39">
        <item x="3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21"/>
        <item x="22"/>
        <item x="23"/>
        <item x="24"/>
        <item x="25"/>
        <item x="29"/>
        <item x="32"/>
        <item x="33"/>
        <item x="7"/>
        <item x="18"/>
        <item x="19"/>
        <item x="20"/>
        <item x="26"/>
        <item x="27"/>
        <item x="28"/>
        <item x="30"/>
        <item x="31"/>
        <item x="34"/>
        <item x="35"/>
        <item x="36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3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4" baseField="1" baseItem="1"/>
  </dataFields>
  <formats count="824">
    <format dxfId="1115">
      <pivotArea type="all" dataOnly="0" outline="0" fieldPosition="0"/>
    </format>
    <format dxfId="1114">
      <pivotArea type="all" dataOnly="0" outline="0" fieldPosition="0"/>
    </format>
    <format dxfId="1113">
      <pivotArea type="all" dataOnly="0" outline="0" fieldPosition="0"/>
    </format>
    <format dxfId="1112">
      <pivotArea type="all" dataOnly="0" outline="0" fieldPosition="0"/>
    </format>
    <format dxfId="1111">
      <pivotArea dataOnly="0" labelOnly="1" outline="0" fieldPosition="0">
        <references count="1">
          <reference field="0" count="0"/>
        </references>
      </pivotArea>
    </format>
    <format dxfId="1110">
      <pivotArea dataOnly="0" labelOnly="1" outline="0" fieldPosition="0">
        <references count="1">
          <reference field="0" count="0" defaultSubtotal="1"/>
        </references>
      </pivotArea>
    </format>
    <format dxfId="1109">
      <pivotArea dataOnly="0" labelOnly="1" grandRow="1" outline="0" fieldPosition="0"/>
    </format>
    <format dxfId="1108">
      <pivotArea dataOnly="0" labelOnly="1" outline="0" fieldPosition="0">
        <references count="1">
          <reference field="0" count="0"/>
        </references>
      </pivotArea>
    </format>
    <format dxfId="1107">
      <pivotArea dataOnly="0" labelOnly="1" outline="0" fieldPosition="0">
        <references count="1">
          <reference field="0" count="0" defaultSubtotal="1"/>
        </references>
      </pivotArea>
    </format>
    <format dxfId="1106">
      <pivotArea dataOnly="0" labelOnly="1" grandRow="1" outline="0" fieldPosition="0"/>
    </format>
    <format dxfId="1105">
      <pivotArea type="all" dataOnly="0" outline="0" fieldPosition="0"/>
    </format>
    <format dxfId="1104">
      <pivotArea dataOnly="0" labelOnly="1" outline="0" fieldPosition="0">
        <references count="1">
          <reference field="3" count="0"/>
        </references>
      </pivotArea>
    </format>
    <format dxfId="1103">
      <pivotArea dataOnly="0" outline="0" fieldPosition="0">
        <references count="1">
          <reference field="3" count="1">
            <x v="2"/>
          </reference>
        </references>
      </pivotArea>
    </format>
    <format dxfId="1102">
      <pivotArea dataOnly="0" labelOnly="1" outline="0" fieldPosition="0">
        <references count="1">
          <reference field="3" count="0"/>
        </references>
      </pivotArea>
    </format>
    <format dxfId="1101">
      <pivotArea dataOnly="0" labelOnly="1" outline="0" fieldPosition="0">
        <references count="1">
          <reference field="3" count="1">
            <x v="1"/>
          </reference>
        </references>
      </pivotArea>
    </format>
    <format dxfId="1100">
      <pivotArea dataOnly="0" labelOnly="1" outline="0" fieldPosition="0">
        <references count="1">
          <reference field="3" count="1">
            <x v="1"/>
          </reference>
        </references>
      </pivotArea>
    </format>
    <format dxfId="1099">
      <pivotArea type="all" dataOnly="0" outline="0" fieldPosition="0"/>
    </format>
    <format dxfId="1098">
      <pivotArea outline="0" collapsedLevelsAreSubtotals="1" fieldPosition="0"/>
    </format>
    <format dxfId="1097">
      <pivotArea dataOnly="0" labelOnly="1" outline="0" fieldPosition="0">
        <references count="1">
          <reference field="0" count="0"/>
        </references>
      </pivotArea>
    </format>
    <format dxfId="1096">
      <pivotArea dataOnly="0" labelOnly="1" grandRow="1" outline="0" fieldPosition="0"/>
    </format>
    <format dxfId="1095">
      <pivotArea dataOnly="0" labelOnly="1" outline="0" fieldPosition="0">
        <references count="1">
          <reference field="3" count="0"/>
        </references>
      </pivotArea>
    </format>
    <format dxfId="1094">
      <pivotArea type="all" dataOnly="0" outline="0" fieldPosition="0"/>
    </format>
    <format dxfId="1093">
      <pivotArea outline="0" collapsedLevelsAreSubtotals="1" fieldPosition="0"/>
    </format>
    <format dxfId="1092">
      <pivotArea dataOnly="0" labelOnly="1" outline="0" fieldPosition="0">
        <references count="1">
          <reference field="0" count="0"/>
        </references>
      </pivotArea>
    </format>
    <format dxfId="1091">
      <pivotArea dataOnly="0" labelOnly="1" grandRow="1" outline="0" fieldPosition="0"/>
    </format>
    <format dxfId="1090">
      <pivotArea dataOnly="0" labelOnly="1" outline="0" fieldPosition="0">
        <references count="1">
          <reference field="3" count="0"/>
        </references>
      </pivotArea>
    </format>
    <format dxfId="1089">
      <pivotArea type="all" dataOnly="0" outline="0" fieldPosition="0"/>
    </format>
    <format dxfId="1088">
      <pivotArea outline="0" collapsedLevelsAreSubtotals="1" fieldPosition="0"/>
    </format>
    <format dxfId="1087">
      <pivotArea dataOnly="0" labelOnly="1" outline="0" fieldPosition="0">
        <references count="1">
          <reference field="0" count="0"/>
        </references>
      </pivotArea>
    </format>
    <format dxfId="1086">
      <pivotArea dataOnly="0" labelOnly="1" grandRow="1" outline="0" fieldPosition="0"/>
    </format>
    <format dxfId="1085">
      <pivotArea dataOnly="0" labelOnly="1" outline="0" fieldPosition="0">
        <references count="1">
          <reference field="3" count="0"/>
        </references>
      </pivotArea>
    </format>
    <format dxfId="1084">
      <pivotArea type="all" dataOnly="0" outline="0" fieldPosition="0"/>
    </format>
    <format dxfId="1083">
      <pivotArea outline="0" collapsedLevelsAreSubtotals="1" fieldPosition="0"/>
    </format>
    <format dxfId="1082">
      <pivotArea dataOnly="0" labelOnly="1" outline="0" fieldPosition="0">
        <references count="1">
          <reference field="0" count="0"/>
        </references>
      </pivotArea>
    </format>
    <format dxfId="1081">
      <pivotArea dataOnly="0" labelOnly="1" grandRow="1" outline="0" fieldPosition="0"/>
    </format>
    <format dxfId="1080">
      <pivotArea dataOnly="0" labelOnly="1" outline="0" fieldPosition="0">
        <references count="1">
          <reference field="3" count="0"/>
        </references>
      </pivotArea>
    </format>
    <format dxfId="1079">
      <pivotArea type="all" dataOnly="0" outline="0" fieldPosition="0"/>
    </format>
    <format dxfId="1078">
      <pivotArea outline="0" collapsedLevelsAreSubtotals="1" fieldPosition="0"/>
    </format>
    <format dxfId="1077">
      <pivotArea dataOnly="0" labelOnly="1" outline="0" fieldPosition="0">
        <references count="1">
          <reference field="0" count="0"/>
        </references>
      </pivotArea>
    </format>
    <format dxfId="1076">
      <pivotArea dataOnly="0" labelOnly="1" grandRow="1" outline="0" fieldPosition="0"/>
    </format>
    <format dxfId="1075">
      <pivotArea dataOnly="0" labelOnly="1" outline="0" fieldPosition="0">
        <references count="1">
          <reference field="3" count="0"/>
        </references>
      </pivotArea>
    </format>
    <format dxfId="1074">
      <pivotArea type="all" dataOnly="0" outline="0" fieldPosition="0"/>
    </format>
    <format dxfId="1073">
      <pivotArea outline="0" collapsedLevelsAreSubtotals="1" fieldPosition="0"/>
    </format>
    <format dxfId="1072">
      <pivotArea dataOnly="0" labelOnly="1" outline="0" fieldPosition="0">
        <references count="1">
          <reference field="0" count="0"/>
        </references>
      </pivotArea>
    </format>
    <format dxfId="1071">
      <pivotArea dataOnly="0" labelOnly="1" grandRow="1" outline="0" fieldPosition="0"/>
    </format>
    <format dxfId="1070">
      <pivotArea dataOnly="0" labelOnly="1" outline="0" fieldPosition="0">
        <references count="1">
          <reference field="3" count="0"/>
        </references>
      </pivotArea>
    </format>
    <format dxfId="1069">
      <pivotArea type="all" dataOnly="0" outline="0" fieldPosition="0"/>
    </format>
    <format dxfId="1068">
      <pivotArea outline="0" collapsedLevelsAreSubtotals="1" fieldPosition="0"/>
    </format>
    <format dxfId="1067">
      <pivotArea dataOnly="0" labelOnly="1" outline="0" fieldPosition="0">
        <references count="1">
          <reference field="0" count="0"/>
        </references>
      </pivotArea>
    </format>
    <format dxfId="1066">
      <pivotArea dataOnly="0" labelOnly="1" grandRow="1" outline="0" fieldPosition="0"/>
    </format>
    <format dxfId="1065">
      <pivotArea dataOnly="0" labelOnly="1" outline="0" fieldPosition="0">
        <references count="1">
          <reference field="3" count="0"/>
        </references>
      </pivotArea>
    </format>
    <format dxfId="1064">
      <pivotArea grandRow="1" outline="0" collapsedLevelsAreSubtotals="1" fieldPosition="0"/>
    </format>
    <format dxfId="1063">
      <pivotArea dataOnly="0" labelOnly="1" grandRow="1" outline="0" fieldPosition="0"/>
    </format>
    <format dxfId="1062">
      <pivotArea field="3" grandRow="1" outline="0" collapsedLevelsAreSubtotals="1" axis="axisCol" fieldPosition="0">
        <references count="1">
          <reference field="3" count="1" selected="0">
            <x v="15"/>
          </reference>
        </references>
      </pivotArea>
    </format>
    <format dxfId="1061">
      <pivotArea type="all" dataOnly="0" outline="0" fieldPosition="0"/>
    </format>
    <format dxfId="1060">
      <pivotArea outline="0" collapsedLevelsAreSubtotals="1" fieldPosition="0"/>
    </format>
    <format dxfId="1059">
      <pivotArea dataOnly="0" labelOnly="1" outline="0" fieldPosition="0">
        <references count="1">
          <reference field="0" count="0"/>
        </references>
      </pivotArea>
    </format>
    <format dxfId="1058">
      <pivotArea dataOnly="0" labelOnly="1" grandRow="1" outline="0" fieldPosition="0"/>
    </format>
    <format dxfId="1057">
      <pivotArea dataOnly="0" labelOnly="1" outline="0" fieldPosition="0">
        <references count="1">
          <reference field="3" count="0"/>
        </references>
      </pivotArea>
    </format>
    <format dxfId="1056">
      <pivotArea type="all" dataOnly="0" outline="0" fieldPosition="0"/>
    </format>
    <format dxfId="1055">
      <pivotArea outline="0" collapsedLevelsAreSubtotals="1" fieldPosition="0"/>
    </format>
    <format dxfId="1054">
      <pivotArea dataOnly="0" labelOnly="1" outline="0" fieldPosition="0">
        <references count="1">
          <reference field="0" count="0"/>
        </references>
      </pivotArea>
    </format>
    <format dxfId="1053">
      <pivotArea dataOnly="0" labelOnly="1" grandRow="1" outline="0" fieldPosition="0"/>
    </format>
    <format dxfId="1052">
      <pivotArea dataOnly="0" labelOnly="1" outline="0" fieldPosition="0">
        <references count="1">
          <reference field="3" count="0"/>
        </references>
      </pivotArea>
    </format>
    <format dxfId="1051">
      <pivotArea dataOnly="0" labelOnly="1" outline="0" fieldPosition="0">
        <references count="1">
          <reference field="3" count="0"/>
        </references>
      </pivotArea>
    </format>
    <format dxfId="1050">
      <pivotArea dataOnly="0" labelOnly="1" outline="0" fieldPosition="0">
        <references count="1">
          <reference field="3" count="1">
            <x v="6"/>
          </reference>
        </references>
      </pivotArea>
    </format>
    <format dxfId="1049">
      <pivotArea type="all" dataOnly="0" outline="0" fieldPosition="0"/>
    </format>
    <format dxfId="1048">
      <pivotArea outline="0" collapsedLevelsAreSubtotals="1" fieldPosition="0"/>
    </format>
    <format dxfId="1047">
      <pivotArea dataOnly="0" labelOnly="1" outline="0" fieldPosition="0">
        <references count="1">
          <reference field="0" count="0"/>
        </references>
      </pivotArea>
    </format>
    <format dxfId="1046">
      <pivotArea dataOnly="0" labelOnly="1" grandRow="1" outline="0" fieldPosition="0"/>
    </format>
    <format dxfId="1045">
      <pivotArea dataOnly="0" labelOnly="1" outline="0" fieldPosition="0">
        <references count="1">
          <reference field="3" count="0"/>
        </references>
      </pivotArea>
    </format>
    <format dxfId="1044">
      <pivotArea type="all" dataOnly="0" outline="0" fieldPosition="0"/>
    </format>
    <format dxfId="1043">
      <pivotArea outline="0" collapsedLevelsAreSubtotals="1" fieldPosition="0"/>
    </format>
    <format dxfId="1042">
      <pivotArea dataOnly="0" labelOnly="1" outline="0" fieldPosition="0">
        <references count="1">
          <reference field="0" count="0"/>
        </references>
      </pivotArea>
    </format>
    <format dxfId="1041">
      <pivotArea dataOnly="0" labelOnly="1" grandRow="1" outline="0" fieldPosition="0"/>
    </format>
    <format dxfId="1040">
      <pivotArea dataOnly="0" labelOnly="1" outline="0" fieldPosition="0">
        <references count="1">
          <reference field="3" count="0"/>
        </references>
      </pivotArea>
    </format>
    <format dxfId="1039">
      <pivotArea type="all" dataOnly="0" outline="0" fieldPosition="0"/>
    </format>
    <format dxfId="1038">
      <pivotArea outline="0" collapsedLevelsAreSubtotals="1" fieldPosition="0"/>
    </format>
    <format dxfId="1037">
      <pivotArea dataOnly="0" labelOnly="1" outline="0" fieldPosition="0">
        <references count="1">
          <reference field="0" count="0"/>
        </references>
      </pivotArea>
    </format>
    <format dxfId="1036">
      <pivotArea dataOnly="0" labelOnly="1" grandRow="1" outline="0" fieldPosition="0"/>
    </format>
    <format dxfId="1035">
      <pivotArea dataOnly="0" labelOnly="1" outline="0" fieldPosition="0">
        <references count="1">
          <reference field="3" count="0"/>
        </references>
      </pivotArea>
    </format>
    <format dxfId="1034">
      <pivotArea type="all" dataOnly="0" outline="0" fieldPosition="0"/>
    </format>
    <format dxfId="1033">
      <pivotArea outline="0" collapsedLevelsAreSubtotals="1" fieldPosition="0"/>
    </format>
    <format dxfId="1032">
      <pivotArea dataOnly="0" labelOnly="1" outline="0" fieldPosition="0">
        <references count="1">
          <reference field="0" count="0"/>
        </references>
      </pivotArea>
    </format>
    <format dxfId="1031">
      <pivotArea dataOnly="0" labelOnly="1" grandRow="1" outline="0" fieldPosition="0"/>
    </format>
    <format dxfId="1030">
      <pivotArea dataOnly="0" labelOnly="1" outline="0" fieldPosition="0">
        <references count="1">
          <reference field="3" count="0"/>
        </references>
      </pivotArea>
    </format>
    <format dxfId="1029">
      <pivotArea type="all" dataOnly="0" outline="0" fieldPosition="0"/>
    </format>
    <format dxfId="1028">
      <pivotArea outline="0" collapsedLevelsAreSubtotals="1" fieldPosition="0"/>
    </format>
    <format dxfId="1027">
      <pivotArea dataOnly="0" labelOnly="1" outline="0" fieldPosition="0">
        <references count="1">
          <reference field="0" count="0"/>
        </references>
      </pivotArea>
    </format>
    <format dxfId="1026">
      <pivotArea dataOnly="0" labelOnly="1" grandRow="1" outline="0" fieldPosition="0"/>
    </format>
    <format dxfId="1025">
      <pivotArea dataOnly="0" labelOnly="1" outline="0" fieldPosition="0">
        <references count="1">
          <reference field="3" count="0"/>
        </references>
      </pivotArea>
    </format>
    <format dxfId="1024">
      <pivotArea type="all" dataOnly="0" outline="0" fieldPosition="0"/>
    </format>
    <format dxfId="1023">
      <pivotArea outline="0" collapsedLevelsAreSubtotals="1" fieldPosition="0"/>
    </format>
    <format dxfId="1022">
      <pivotArea dataOnly="0" labelOnly="1" outline="0" fieldPosition="0">
        <references count="1">
          <reference field="0" count="0"/>
        </references>
      </pivotArea>
    </format>
    <format dxfId="1021">
      <pivotArea dataOnly="0" labelOnly="1" grandRow="1" outline="0" fieldPosition="0"/>
    </format>
    <format dxfId="1020">
      <pivotArea dataOnly="0" labelOnly="1" outline="0" fieldPosition="0">
        <references count="1">
          <reference field="3" count="0"/>
        </references>
      </pivotArea>
    </format>
    <format dxfId="1019">
      <pivotArea type="all" dataOnly="0" outline="0" fieldPosition="0"/>
    </format>
    <format dxfId="1018">
      <pivotArea outline="0" collapsedLevelsAreSubtotals="1" fieldPosition="0"/>
    </format>
    <format dxfId="1017">
      <pivotArea dataOnly="0" labelOnly="1" outline="0" fieldPosition="0">
        <references count="1">
          <reference field="0" count="0"/>
        </references>
      </pivotArea>
    </format>
    <format dxfId="1016">
      <pivotArea dataOnly="0" labelOnly="1" grandRow="1" outline="0" fieldPosition="0"/>
    </format>
    <format dxfId="1015">
      <pivotArea dataOnly="0" labelOnly="1" outline="0" fieldPosition="0">
        <references count="1">
          <reference field="3" count="0"/>
        </references>
      </pivotArea>
    </format>
    <format dxfId="1014">
      <pivotArea type="all" dataOnly="0" outline="0" fieldPosition="0"/>
    </format>
    <format dxfId="1013">
      <pivotArea outline="0" collapsedLevelsAreSubtotals="1" fieldPosition="0"/>
    </format>
    <format dxfId="1012">
      <pivotArea dataOnly="0" labelOnly="1" outline="0" fieldPosition="0">
        <references count="1">
          <reference field="0" count="0"/>
        </references>
      </pivotArea>
    </format>
    <format dxfId="1011">
      <pivotArea dataOnly="0" labelOnly="1" grandRow="1" outline="0" fieldPosition="0"/>
    </format>
    <format dxfId="1010">
      <pivotArea dataOnly="0" labelOnly="1" outline="0" fieldPosition="0">
        <references count="1">
          <reference field="3" count="0"/>
        </references>
      </pivotArea>
    </format>
    <format dxfId="1009">
      <pivotArea type="all" dataOnly="0" outline="0" fieldPosition="0"/>
    </format>
    <format dxfId="1008">
      <pivotArea outline="0" collapsedLevelsAreSubtotals="1" fieldPosition="0"/>
    </format>
    <format dxfId="1007">
      <pivotArea dataOnly="0" labelOnly="1" outline="0" fieldPosition="0">
        <references count="1">
          <reference field="0" count="0"/>
        </references>
      </pivotArea>
    </format>
    <format dxfId="1006">
      <pivotArea dataOnly="0" labelOnly="1" grandRow="1" outline="0" fieldPosition="0"/>
    </format>
    <format dxfId="1005">
      <pivotArea dataOnly="0" labelOnly="1" outline="0" fieldPosition="0">
        <references count="1">
          <reference field="3" count="0"/>
        </references>
      </pivotArea>
    </format>
    <format dxfId="1004">
      <pivotArea type="all" dataOnly="0" outline="0" fieldPosition="0"/>
    </format>
    <format dxfId="1003">
      <pivotArea outline="0" collapsedLevelsAreSubtotals="1" fieldPosition="0"/>
    </format>
    <format dxfId="1002">
      <pivotArea dataOnly="0" labelOnly="1" outline="0" fieldPosition="0">
        <references count="1">
          <reference field="0" count="0"/>
        </references>
      </pivotArea>
    </format>
    <format dxfId="1001">
      <pivotArea dataOnly="0" labelOnly="1" grandRow="1" outline="0" fieldPosition="0"/>
    </format>
    <format dxfId="1000">
      <pivotArea dataOnly="0" labelOnly="1" outline="0" fieldPosition="0">
        <references count="1">
          <reference field="3" count="0"/>
        </references>
      </pivotArea>
    </format>
    <format dxfId="999">
      <pivotArea type="all" dataOnly="0" outline="0" fieldPosition="0"/>
    </format>
    <format dxfId="998">
      <pivotArea outline="0" collapsedLevelsAreSubtotals="1" fieldPosition="0"/>
    </format>
    <format dxfId="997">
      <pivotArea dataOnly="0" labelOnly="1" outline="0" fieldPosition="0">
        <references count="1">
          <reference field="0" count="0"/>
        </references>
      </pivotArea>
    </format>
    <format dxfId="996">
      <pivotArea dataOnly="0" labelOnly="1" grandRow="1" outline="0" fieldPosition="0"/>
    </format>
    <format dxfId="995">
      <pivotArea dataOnly="0" labelOnly="1" outline="0" fieldPosition="0">
        <references count="1">
          <reference field="3" count="0"/>
        </references>
      </pivotArea>
    </format>
    <format dxfId="994">
      <pivotArea type="all" dataOnly="0" outline="0" fieldPosition="0"/>
    </format>
    <format dxfId="993">
      <pivotArea outline="0" collapsedLevelsAreSubtotals="1" fieldPosition="0"/>
    </format>
    <format dxfId="992">
      <pivotArea dataOnly="0" labelOnly="1" outline="0" fieldPosition="0">
        <references count="1">
          <reference field="0" count="0"/>
        </references>
      </pivotArea>
    </format>
    <format dxfId="991">
      <pivotArea dataOnly="0" labelOnly="1" grandRow="1" outline="0" fieldPosition="0"/>
    </format>
    <format dxfId="990">
      <pivotArea dataOnly="0" labelOnly="1" outline="0" fieldPosition="0">
        <references count="1">
          <reference field="3" count="0"/>
        </references>
      </pivotArea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dataOnly="0" labelOnly="1" outline="0" fieldPosition="0">
        <references count="1">
          <reference field="0" count="0"/>
        </references>
      </pivotArea>
    </format>
    <format dxfId="986">
      <pivotArea dataOnly="0" labelOnly="1" grandRow="1" outline="0" fieldPosition="0"/>
    </format>
    <format dxfId="985">
      <pivotArea dataOnly="0" labelOnly="1" outline="0" fieldPosition="0">
        <references count="1">
          <reference field="3" count="0"/>
        </references>
      </pivotArea>
    </format>
    <format dxfId="984">
      <pivotArea type="all" dataOnly="0" outline="0" fieldPosition="0"/>
    </format>
    <format dxfId="983">
      <pivotArea outline="0" collapsedLevelsAreSubtotals="1" fieldPosition="0"/>
    </format>
    <format dxfId="982">
      <pivotArea dataOnly="0" labelOnly="1" outline="0" fieldPosition="0">
        <references count="1">
          <reference field="0" count="0"/>
        </references>
      </pivotArea>
    </format>
    <format dxfId="981">
      <pivotArea dataOnly="0" labelOnly="1" grandRow="1" outline="0" fieldPosition="0"/>
    </format>
    <format dxfId="980">
      <pivotArea dataOnly="0" labelOnly="1" outline="0" fieldPosition="0">
        <references count="1">
          <reference field="3" count="0"/>
        </references>
      </pivotArea>
    </format>
    <format dxfId="979">
      <pivotArea type="all" dataOnly="0" outline="0" fieldPosition="0"/>
    </format>
    <format dxfId="978">
      <pivotArea outline="0" collapsedLevelsAreSubtotals="1" fieldPosition="0"/>
    </format>
    <format dxfId="977">
      <pivotArea dataOnly="0" labelOnly="1" outline="0" fieldPosition="0">
        <references count="1">
          <reference field="0" count="0"/>
        </references>
      </pivotArea>
    </format>
    <format dxfId="976">
      <pivotArea dataOnly="0" labelOnly="1" grandRow="1" outline="0" fieldPosition="0"/>
    </format>
    <format dxfId="975">
      <pivotArea dataOnly="0" labelOnly="1" outline="0" fieldPosition="0">
        <references count="1">
          <reference field="3" count="0"/>
        </references>
      </pivotArea>
    </format>
    <format dxfId="974">
      <pivotArea type="all" dataOnly="0" outline="0" fieldPosition="0"/>
    </format>
    <format dxfId="973">
      <pivotArea outline="0" collapsedLevelsAreSubtotals="1" fieldPosition="0"/>
    </format>
    <format dxfId="972">
      <pivotArea dataOnly="0" labelOnly="1" outline="0" fieldPosition="0">
        <references count="1">
          <reference field="0" count="0"/>
        </references>
      </pivotArea>
    </format>
    <format dxfId="971">
      <pivotArea dataOnly="0" labelOnly="1" grandRow="1" outline="0" fieldPosition="0"/>
    </format>
    <format dxfId="970">
      <pivotArea dataOnly="0" labelOnly="1" outline="0" fieldPosition="0">
        <references count="1">
          <reference field="3" count="0"/>
        </references>
      </pivotArea>
    </format>
    <format dxfId="969">
      <pivotArea type="all" dataOnly="0" outline="0" fieldPosition="0"/>
    </format>
    <format dxfId="968">
      <pivotArea outline="0" collapsedLevelsAreSubtotals="1" fieldPosition="0"/>
    </format>
    <format dxfId="967">
      <pivotArea dataOnly="0" labelOnly="1" outline="0" fieldPosition="0">
        <references count="1">
          <reference field="0" count="0"/>
        </references>
      </pivotArea>
    </format>
    <format dxfId="966">
      <pivotArea dataOnly="0" labelOnly="1" grandRow="1" outline="0" fieldPosition="0"/>
    </format>
    <format dxfId="965">
      <pivotArea dataOnly="0" labelOnly="1" outline="0" fieldPosition="0">
        <references count="1">
          <reference field="3" count="0"/>
        </references>
      </pivotArea>
    </format>
    <format dxfId="964">
      <pivotArea type="all" dataOnly="0" outline="0" fieldPosition="0"/>
    </format>
    <format dxfId="963">
      <pivotArea outline="0" collapsedLevelsAreSubtotals="1" fieldPosition="0"/>
    </format>
    <format dxfId="962">
      <pivotArea dataOnly="0" labelOnly="1" outline="0" fieldPosition="0">
        <references count="1">
          <reference field="0" count="0"/>
        </references>
      </pivotArea>
    </format>
    <format dxfId="961">
      <pivotArea dataOnly="0" labelOnly="1" grandRow="1" outline="0" fieldPosition="0"/>
    </format>
    <format dxfId="960">
      <pivotArea dataOnly="0" labelOnly="1" outline="0" fieldPosition="0">
        <references count="1">
          <reference field="3" count="0"/>
        </references>
      </pivotArea>
    </format>
    <format dxfId="959">
      <pivotArea type="all" dataOnly="0" outline="0" fieldPosition="0"/>
    </format>
    <format dxfId="958">
      <pivotArea outline="0" collapsedLevelsAreSubtotals="1" fieldPosition="0"/>
    </format>
    <format dxfId="957">
      <pivotArea dataOnly="0" labelOnly="1" outline="0" fieldPosition="0">
        <references count="1">
          <reference field="0" count="0"/>
        </references>
      </pivotArea>
    </format>
    <format dxfId="956">
      <pivotArea dataOnly="0" labelOnly="1" grandRow="1" outline="0" fieldPosition="0"/>
    </format>
    <format dxfId="955">
      <pivotArea dataOnly="0" labelOnly="1" outline="0" fieldPosition="0">
        <references count="1">
          <reference field="3" count="0"/>
        </references>
      </pivotArea>
    </format>
    <format dxfId="954">
      <pivotArea type="all" dataOnly="0" outline="0" fieldPosition="0"/>
    </format>
    <format dxfId="953">
      <pivotArea outline="0" collapsedLevelsAreSubtotals="1" fieldPosition="0"/>
    </format>
    <format dxfId="952">
      <pivotArea dataOnly="0" labelOnly="1" outline="0" fieldPosition="0">
        <references count="1">
          <reference field="0" count="0"/>
        </references>
      </pivotArea>
    </format>
    <format dxfId="951">
      <pivotArea dataOnly="0" labelOnly="1" grandRow="1" outline="0" fieldPosition="0"/>
    </format>
    <format dxfId="950">
      <pivotArea dataOnly="0" labelOnly="1" outline="0" fieldPosition="0">
        <references count="1">
          <reference field="3" count="0"/>
        </references>
      </pivotArea>
    </format>
    <format dxfId="949">
      <pivotArea type="all" dataOnly="0" outline="0" fieldPosition="0"/>
    </format>
    <format dxfId="948">
      <pivotArea outline="0" collapsedLevelsAreSubtotals="1" fieldPosition="0"/>
    </format>
    <format dxfId="947">
      <pivotArea dataOnly="0" labelOnly="1" outline="0" fieldPosition="0">
        <references count="1">
          <reference field="0" count="0"/>
        </references>
      </pivotArea>
    </format>
    <format dxfId="946">
      <pivotArea dataOnly="0" labelOnly="1" grandRow="1" outline="0" fieldPosition="0"/>
    </format>
    <format dxfId="945">
      <pivotArea dataOnly="0" labelOnly="1" outline="0" fieldPosition="0">
        <references count="1">
          <reference field="3" count="0"/>
        </references>
      </pivotArea>
    </format>
    <format dxfId="944">
      <pivotArea type="all" dataOnly="0" outline="0" fieldPosition="0"/>
    </format>
    <format dxfId="943">
      <pivotArea outline="0" collapsedLevelsAreSubtotals="1" fieldPosition="0"/>
    </format>
    <format dxfId="942">
      <pivotArea dataOnly="0" labelOnly="1" outline="0" fieldPosition="0">
        <references count="1">
          <reference field="0" count="0"/>
        </references>
      </pivotArea>
    </format>
    <format dxfId="941">
      <pivotArea dataOnly="0" labelOnly="1" grandRow="1" outline="0" fieldPosition="0"/>
    </format>
    <format dxfId="940">
      <pivotArea dataOnly="0" labelOnly="1" outline="0" fieldPosition="0">
        <references count="1">
          <reference field="3" count="0"/>
        </references>
      </pivotArea>
    </format>
    <format dxfId="939">
      <pivotArea type="all" dataOnly="0" outline="0" fieldPosition="0"/>
    </format>
    <format dxfId="938">
      <pivotArea outline="0" collapsedLevelsAreSubtotals="1" fieldPosition="0"/>
    </format>
    <format dxfId="937">
      <pivotArea dataOnly="0" labelOnly="1" outline="0" fieldPosition="0">
        <references count="1">
          <reference field="0" count="0"/>
        </references>
      </pivotArea>
    </format>
    <format dxfId="936">
      <pivotArea dataOnly="0" labelOnly="1" grandRow="1" outline="0" fieldPosition="0"/>
    </format>
    <format dxfId="935">
      <pivotArea dataOnly="0" labelOnly="1" outline="0" fieldPosition="0">
        <references count="1">
          <reference field="3" count="0"/>
        </references>
      </pivotArea>
    </format>
    <format dxfId="934">
      <pivotArea grandRow="1" outline="0" collapsedLevelsAreSubtotals="1" fieldPosition="0"/>
    </format>
    <format dxfId="933">
      <pivotArea dataOnly="0" labelOnly="1" grandRow="1" outline="0" fieldPosition="0"/>
    </format>
    <format dxfId="932">
      <pivotArea type="all" dataOnly="0" outline="0" fieldPosition="0"/>
    </format>
    <format dxfId="931">
      <pivotArea outline="0" collapsedLevelsAreSubtotals="1" fieldPosition="0"/>
    </format>
    <format dxfId="930">
      <pivotArea dataOnly="0" labelOnly="1" outline="0" fieldPosition="0">
        <references count="1">
          <reference field="0" count="0"/>
        </references>
      </pivotArea>
    </format>
    <format dxfId="929">
      <pivotArea dataOnly="0" labelOnly="1" grandRow="1" outline="0" fieldPosition="0"/>
    </format>
    <format dxfId="928">
      <pivotArea dataOnly="0" labelOnly="1" outline="0" fieldPosition="0">
        <references count="1">
          <reference field="3" count="0"/>
        </references>
      </pivotArea>
    </format>
    <format dxfId="927">
      <pivotArea type="all" dataOnly="0" outline="0" fieldPosition="0"/>
    </format>
    <format dxfId="926">
      <pivotArea outline="0" collapsedLevelsAreSubtotals="1" fieldPosition="0"/>
    </format>
    <format dxfId="925">
      <pivotArea dataOnly="0" labelOnly="1" outline="0" fieldPosition="0">
        <references count="1">
          <reference field="0" count="0"/>
        </references>
      </pivotArea>
    </format>
    <format dxfId="924">
      <pivotArea dataOnly="0" labelOnly="1" grandRow="1" outline="0" fieldPosition="0"/>
    </format>
    <format dxfId="923">
      <pivotArea dataOnly="0" labelOnly="1" outline="0" fieldPosition="0">
        <references count="1">
          <reference field="3" count="0"/>
        </references>
      </pivotArea>
    </format>
    <format dxfId="922">
      <pivotArea type="all" dataOnly="0" outline="0" fieldPosition="0"/>
    </format>
    <format dxfId="921">
      <pivotArea outline="0" collapsedLevelsAreSubtotals="1" fieldPosition="0"/>
    </format>
    <format dxfId="920">
      <pivotArea dataOnly="0" labelOnly="1" outline="0" fieldPosition="0">
        <references count="1">
          <reference field="0" count="0"/>
        </references>
      </pivotArea>
    </format>
    <format dxfId="919">
      <pivotArea dataOnly="0" labelOnly="1" grandRow="1" outline="0" fieldPosition="0"/>
    </format>
    <format dxfId="918">
      <pivotArea dataOnly="0" labelOnly="1" outline="0" fieldPosition="0">
        <references count="1">
          <reference field="3" count="0"/>
        </references>
      </pivotArea>
    </format>
    <format dxfId="917">
      <pivotArea type="all" dataOnly="0" outline="0" fieldPosition="0"/>
    </format>
    <format dxfId="916">
      <pivotArea outline="0" collapsedLevelsAreSubtotals="1" fieldPosition="0"/>
    </format>
    <format dxfId="915">
      <pivotArea dataOnly="0" labelOnly="1" outline="0" fieldPosition="0">
        <references count="1">
          <reference field="0" count="0"/>
        </references>
      </pivotArea>
    </format>
    <format dxfId="914">
      <pivotArea dataOnly="0" labelOnly="1" grandRow="1" outline="0" fieldPosition="0"/>
    </format>
    <format dxfId="913">
      <pivotArea dataOnly="0" labelOnly="1" outline="0" fieldPosition="0">
        <references count="1">
          <reference field="3" count="0"/>
        </references>
      </pivotArea>
    </format>
    <format dxfId="912">
      <pivotArea type="all" dataOnly="0" outline="0" fieldPosition="0"/>
    </format>
    <format dxfId="911">
      <pivotArea outline="0" collapsedLevelsAreSubtotals="1" fieldPosition="0"/>
    </format>
    <format dxfId="910">
      <pivotArea dataOnly="0" labelOnly="1" grandRow="1" outline="0" fieldPosition="0"/>
    </format>
    <format dxfId="909">
      <pivotArea dataOnly="0" labelOnly="1" outline="0" fieldPosition="0">
        <references count="1">
          <reference field="3" count="0"/>
        </references>
      </pivotArea>
    </format>
    <format dxfId="908">
      <pivotArea type="all" dataOnly="0" outline="0" fieldPosition="0"/>
    </format>
    <format dxfId="907">
      <pivotArea outline="0" collapsedLevelsAreSubtotals="1" fieldPosition="0"/>
    </format>
    <format dxfId="906">
      <pivotArea dataOnly="0" labelOnly="1" grandRow="1" outline="0" fieldPosition="0"/>
    </format>
    <format dxfId="905">
      <pivotArea dataOnly="0" labelOnly="1" outline="0" fieldPosition="0">
        <references count="1">
          <reference field="3" count="0"/>
        </references>
      </pivotArea>
    </format>
    <format dxfId="904">
      <pivotArea type="all" dataOnly="0" outline="0" fieldPosition="0"/>
    </format>
    <format dxfId="903">
      <pivotArea outline="0" collapsedLevelsAreSubtotals="1" fieldPosition="0"/>
    </format>
    <format dxfId="902">
      <pivotArea dataOnly="0" labelOnly="1" grandRow="1" outline="0" fieldPosition="0"/>
    </format>
    <format dxfId="901">
      <pivotArea dataOnly="0" labelOnly="1" outline="0" fieldPosition="0">
        <references count="1">
          <reference field="3" count="0"/>
        </references>
      </pivotArea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dataOnly="0" labelOnly="1" grandRow="1" outline="0" fieldPosition="0"/>
    </format>
    <format dxfId="897">
      <pivotArea dataOnly="0" labelOnly="1" outline="0" fieldPosition="0">
        <references count="1">
          <reference field="3" count="0"/>
        </references>
      </pivotArea>
    </format>
    <format dxfId="896">
      <pivotArea type="all" dataOnly="0" outline="0" fieldPosition="0"/>
    </format>
    <format dxfId="895">
      <pivotArea outline="0" collapsedLevelsAreSubtotals="1" fieldPosition="0"/>
    </format>
    <format dxfId="894">
      <pivotArea dataOnly="0" labelOnly="1" grandRow="1" outline="0" fieldPosition="0"/>
    </format>
    <format dxfId="893">
      <pivotArea dataOnly="0" labelOnly="1" outline="0" fieldPosition="0">
        <references count="1">
          <reference field="3" count="0"/>
        </references>
      </pivotArea>
    </format>
    <format dxfId="892">
      <pivotArea dataOnly="0" labelOnly="1" outline="0" fieldPosition="0">
        <references count="1">
          <reference field="1" count="0"/>
        </references>
      </pivotArea>
    </format>
    <format dxfId="891">
      <pivotArea dataOnly="0" labelOnly="1" outline="0" fieldPosition="0">
        <references count="1">
          <reference field="1" count="0"/>
        </references>
      </pivotArea>
    </format>
    <format dxfId="890">
      <pivotArea type="all" dataOnly="0" outline="0" fieldPosition="0"/>
    </format>
    <format dxfId="889">
      <pivotArea outline="0" collapsedLevelsAreSubtotals="1" fieldPosition="0"/>
    </format>
    <format dxfId="888">
      <pivotArea dataOnly="0" labelOnly="1" grandRow="1" outline="0" fieldPosition="0"/>
    </format>
    <format dxfId="887">
      <pivotArea dataOnly="0" labelOnly="1" outline="0" fieldPosition="0">
        <references count="1">
          <reference field="3" count="0"/>
        </references>
      </pivotArea>
    </format>
    <format dxfId="886">
      <pivotArea dataOnly="0" labelOnly="1" outline="0" fieldPosition="0">
        <references count="1">
          <reference field="0" count="0"/>
        </references>
      </pivotArea>
    </format>
    <format dxfId="885">
      <pivotArea dataOnly="0" labelOnly="1" outline="0" fieldPosition="0">
        <references count="1">
          <reference field="0" count="0"/>
        </references>
      </pivotArea>
    </format>
    <format dxfId="884">
      <pivotArea type="all" dataOnly="0" outline="0" fieldPosition="0"/>
    </format>
    <format dxfId="883">
      <pivotArea outline="0" collapsedLevelsAreSubtotals="1" fieldPosition="0"/>
    </format>
    <format dxfId="882">
      <pivotArea dataOnly="0" labelOnly="1" grandRow="1" outline="0" fieldPosition="0"/>
    </format>
    <format dxfId="881">
      <pivotArea dataOnly="0" labelOnly="1" outline="0" fieldPosition="0">
        <references count="1">
          <reference field="3" count="0"/>
        </references>
      </pivotArea>
    </format>
    <format dxfId="880">
      <pivotArea type="all" dataOnly="0" outline="0" fieldPosition="0"/>
    </format>
    <format dxfId="879">
      <pivotArea outline="0" collapsedLevelsAreSubtotals="1" fieldPosition="0"/>
    </format>
    <format dxfId="878">
      <pivotArea dataOnly="0" labelOnly="1" outline="0" fieldPosition="0">
        <references count="1">
          <reference field="0" count="0"/>
        </references>
      </pivotArea>
    </format>
    <format dxfId="877">
      <pivotArea dataOnly="0" labelOnly="1" grandRow="1" outline="0" fieldPosition="0"/>
    </format>
    <format dxfId="876">
      <pivotArea dataOnly="0" labelOnly="1" outline="0" fieldPosition="0">
        <references count="1">
          <reference field="3" count="0"/>
        </references>
      </pivotArea>
    </format>
    <format dxfId="875">
      <pivotArea type="all" dataOnly="0" outline="0" fieldPosition="0"/>
    </format>
    <format dxfId="874">
      <pivotArea outline="0" collapsedLevelsAreSubtotals="1" fieldPosition="0"/>
    </format>
    <format dxfId="873">
      <pivotArea dataOnly="0" labelOnly="1" outline="0" fieldPosition="0">
        <references count="1">
          <reference field="0" count="0"/>
        </references>
      </pivotArea>
    </format>
    <format dxfId="872">
      <pivotArea dataOnly="0" labelOnly="1" grandRow="1" outline="0" fieldPosition="0"/>
    </format>
    <format dxfId="871">
      <pivotArea dataOnly="0" labelOnly="1" outline="0" fieldPosition="0">
        <references count="1">
          <reference field="3" count="0"/>
        </references>
      </pivotArea>
    </format>
    <format dxfId="870">
      <pivotArea type="all" dataOnly="0" outline="0" fieldPosition="0"/>
    </format>
    <format dxfId="869">
      <pivotArea outline="0" collapsedLevelsAreSubtotals="1" fieldPosition="0"/>
    </format>
    <format dxfId="868">
      <pivotArea dataOnly="0" labelOnly="1" outline="0" fieldPosition="0">
        <references count="1">
          <reference field="0" count="0"/>
        </references>
      </pivotArea>
    </format>
    <format dxfId="867">
      <pivotArea dataOnly="0" labelOnly="1" grandRow="1" outline="0" fieldPosition="0"/>
    </format>
    <format dxfId="866">
      <pivotArea dataOnly="0" labelOnly="1" outline="0" fieldPosition="0">
        <references count="1">
          <reference field="3" count="0"/>
        </references>
      </pivotArea>
    </format>
    <format dxfId="865">
      <pivotArea type="all" dataOnly="0" outline="0" fieldPosition="0"/>
    </format>
    <format dxfId="864">
      <pivotArea outline="0" collapsedLevelsAreSubtotals="1" fieldPosition="0"/>
    </format>
    <format dxfId="863">
      <pivotArea dataOnly="0" labelOnly="1" outline="0" fieldPosition="0">
        <references count="1">
          <reference field="0" count="0"/>
        </references>
      </pivotArea>
    </format>
    <format dxfId="862">
      <pivotArea dataOnly="0" labelOnly="1" grandRow="1" outline="0" fieldPosition="0"/>
    </format>
    <format dxfId="861">
      <pivotArea dataOnly="0" labelOnly="1" outline="0" fieldPosition="0">
        <references count="1">
          <reference field="3" count="0"/>
        </references>
      </pivotArea>
    </format>
    <format dxfId="860">
      <pivotArea type="all" dataOnly="0" outline="0" fieldPosition="0"/>
    </format>
    <format dxfId="859">
      <pivotArea outline="0" collapsedLevelsAreSubtotals="1" fieldPosition="0"/>
    </format>
    <format dxfId="858">
      <pivotArea dataOnly="0" labelOnly="1" outline="0" fieldPosition="0">
        <references count="1">
          <reference field="0" count="0"/>
        </references>
      </pivotArea>
    </format>
    <format dxfId="857">
      <pivotArea dataOnly="0" labelOnly="1" grandRow="1" outline="0" fieldPosition="0"/>
    </format>
    <format dxfId="856">
      <pivotArea dataOnly="0" labelOnly="1" outline="0" fieldPosition="0">
        <references count="1">
          <reference field="3" count="0"/>
        </references>
      </pivotArea>
    </format>
    <format dxfId="855">
      <pivotArea type="all" dataOnly="0" outline="0" fieldPosition="0"/>
    </format>
    <format dxfId="854">
      <pivotArea outline="0" collapsedLevelsAreSubtotals="1" fieldPosition="0"/>
    </format>
    <format dxfId="853">
      <pivotArea dataOnly="0" labelOnly="1" outline="0" fieldPosition="0">
        <references count="1">
          <reference field="0" count="0"/>
        </references>
      </pivotArea>
    </format>
    <format dxfId="852">
      <pivotArea dataOnly="0" labelOnly="1" grandRow="1" outline="0" fieldPosition="0"/>
    </format>
    <format dxfId="851">
      <pivotArea dataOnly="0" labelOnly="1" outline="0" fieldPosition="0">
        <references count="1">
          <reference field="3" count="0"/>
        </references>
      </pivotArea>
    </format>
    <format dxfId="850">
      <pivotArea type="all" dataOnly="0" outline="0" fieldPosition="0"/>
    </format>
    <format dxfId="849">
      <pivotArea outline="0" collapsedLevelsAreSubtotals="1" fieldPosition="0"/>
    </format>
    <format dxfId="848">
      <pivotArea dataOnly="0" labelOnly="1" outline="0" fieldPosition="0">
        <references count="1">
          <reference field="0" count="0"/>
        </references>
      </pivotArea>
    </format>
    <format dxfId="847">
      <pivotArea dataOnly="0" labelOnly="1" grandRow="1" outline="0" fieldPosition="0"/>
    </format>
    <format dxfId="846">
      <pivotArea dataOnly="0" labelOnly="1" outline="0" fieldPosition="0">
        <references count="1">
          <reference field="3" count="0"/>
        </references>
      </pivotArea>
    </format>
    <format dxfId="845">
      <pivotArea type="all" dataOnly="0" outline="0" fieldPosition="0"/>
    </format>
    <format dxfId="844">
      <pivotArea outline="0" collapsedLevelsAreSubtotals="1" fieldPosition="0"/>
    </format>
    <format dxfId="843">
      <pivotArea dataOnly="0" labelOnly="1" outline="0" fieldPosition="0">
        <references count="1">
          <reference field="0" count="0"/>
        </references>
      </pivotArea>
    </format>
    <format dxfId="842">
      <pivotArea dataOnly="0" labelOnly="1" grandRow="1" outline="0" fieldPosition="0"/>
    </format>
    <format dxfId="841">
      <pivotArea dataOnly="0" labelOnly="1" outline="0" fieldPosition="0">
        <references count="1">
          <reference field="3" count="0"/>
        </references>
      </pivotArea>
    </format>
    <format dxfId="840">
      <pivotArea type="all" dataOnly="0" outline="0" fieldPosition="0"/>
    </format>
    <format dxfId="839">
      <pivotArea outline="0" collapsedLevelsAreSubtotals="1" fieldPosition="0"/>
    </format>
    <format dxfId="838">
      <pivotArea dataOnly="0" labelOnly="1" grandRow="1" outline="0" fieldPosition="0"/>
    </format>
    <format dxfId="837">
      <pivotArea dataOnly="0" labelOnly="1" outline="0" fieldPosition="0">
        <references count="1">
          <reference field="3" count="0"/>
        </references>
      </pivotArea>
    </format>
    <format dxfId="836">
      <pivotArea type="all" dataOnly="0" outline="0" fieldPosition="0"/>
    </format>
    <format dxfId="835">
      <pivotArea outline="0" collapsedLevelsAreSubtotals="1" fieldPosition="0"/>
    </format>
    <format dxfId="834">
      <pivotArea dataOnly="0" labelOnly="1" grandRow="1" outline="0" fieldPosition="0"/>
    </format>
    <format dxfId="833">
      <pivotArea dataOnly="0" labelOnly="1" outline="0" fieldPosition="0">
        <references count="1">
          <reference field="3" count="0"/>
        </references>
      </pivotArea>
    </format>
    <format dxfId="832">
      <pivotArea type="all" dataOnly="0" outline="0" fieldPosition="0"/>
    </format>
    <format dxfId="831">
      <pivotArea outline="0" collapsedLevelsAreSubtotals="1" fieldPosition="0"/>
    </format>
    <format dxfId="830">
      <pivotArea dataOnly="0" labelOnly="1" grandRow="1" outline="0" fieldPosition="0"/>
    </format>
    <format dxfId="829">
      <pivotArea dataOnly="0" labelOnly="1" outline="0" fieldPosition="0">
        <references count="1">
          <reference field="3" count="0"/>
        </references>
      </pivotArea>
    </format>
    <format dxfId="828">
      <pivotArea type="all" dataOnly="0" outline="0" fieldPosition="0"/>
    </format>
    <format dxfId="827">
      <pivotArea outline="0" collapsedLevelsAreSubtotals="1" fieldPosition="0"/>
    </format>
    <format dxfId="826">
      <pivotArea dataOnly="0" labelOnly="1" grandRow="1" outline="0" fieldPosition="0"/>
    </format>
    <format dxfId="825">
      <pivotArea dataOnly="0" labelOnly="1" outline="0" fieldPosition="0">
        <references count="1">
          <reference field="3" count="0"/>
        </references>
      </pivotArea>
    </format>
    <format dxfId="824">
      <pivotArea type="all" dataOnly="0" outline="0" fieldPosition="0"/>
    </format>
    <format dxfId="823">
      <pivotArea outline="0" collapsedLevelsAreSubtotals="1" fieldPosition="0"/>
    </format>
    <format dxfId="822">
      <pivotArea dataOnly="0" labelOnly="1" grandRow="1" outline="0" fieldPosition="0"/>
    </format>
    <format dxfId="821">
      <pivotArea dataOnly="0" labelOnly="1" outline="0" fieldPosition="0">
        <references count="1">
          <reference field="3" count="0"/>
        </references>
      </pivotArea>
    </format>
    <format dxfId="820">
      <pivotArea type="all" dataOnly="0" outline="0" fieldPosition="0"/>
    </format>
    <format dxfId="819">
      <pivotArea outline="0" collapsedLevelsAreSubtotals="1" fieldPosition="0"/>
    </format>
    <format dxfId="818">
      <pivotArea dataOnly="0" labelOnly="1" grandRow="1" outline="0" fieldPosition="0"/>
    </format>
    <format dxfId="817">
      <pivotArea dataOnly="0" labelOnly="1" outline="0" fieldPosition="0">
        <references count="1">
          <reference field="3" count="0"/>
        </references>
      </pivotArea>
    </format>
    <format dxfId="816">
      <pivotArea grandRow="1" outline="0" collapsedLevelsAreSubtotals="1" fieldPosition="0"/>
    </format>
    <format dxfId="815">
      <pivotArea dataOnly="0" labelOnly="1" grandRow="1" outline="0" fieldPosition="0"/>
    </format>
    <format dxfId="814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813">
      <pivotArea type="all" dataOnly="0" outline="0" fieldPosition="0"/>
    </format>
    <format dxfId="812">
      <pivotArea outline="0" collapsedLevelsAreSubtotals="1" fieldPosition="0"/>
    </format>
    <format dxfId="811">
      <pivotArea dataOnly="0" labelOnly="1" grandRow="1" outline="0" fieldPosition="0"/>
    </format>
    <format dxfId="810">
      <pivotArea dataOnly="0" labelOnly="1" outline="0" fieldPosition="0">
        <references count="1">
          <reference field="3" count="0"/>
        </references>
      </pivotArea>
    </format>
    <format dxfId="809">
      <pivotArea grandRow="1" outline="0" collapsedLevelsAreSubtotals="1" fieldPosition="0"/>
    </format>
    <format dxfId="808">
      <pivotArea dataOnly="0" labelOnly="1" grandRow="1" outline="0" fieldPosition="0"/>
    </format>
    <format dxfId="807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806">
      <pivotArea type="all" dataOnly="0" outline="0" fieldPosition="0"/>
    </format>
    <format dxfId="805">
      <pivotArea outline="0" collapsedLevelsAreSubtotals="1" fieldPosition="0"/>
    </format>
    <format dxfId="804">
      <pivotArea dataOnly="0" labelOnly="1" grandRow="1" outline="0" fieldPosition="0"/>
    </format>
    <format dxfId="803">
      <pivotArea dataOnly="0" labelOnly="1" outline="0" fieldPosition="0">
        <references count="1">
          <reference field="3" count="0"/>
        </references>
      </pivotArea>
    </format>
    <format dxfId="802">
      <pivotArea grandRow="1" outline="0" collapsedLevelsAreSubtotals="1" fieldPosition="0"/>
    </format>
    <format dxfId="801">
      <pivotArea dataOnly="0" labelOnly="1" grandRow="1" outline="0" fieldPosition="0"/>
    </format>
    <format dxfId="800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99">
      <pivotArea type="all" dataOnly="0" outline="0" fieldPosition="0"/>
    </format>
    <format dxfId="798">
      <pivotArea outline="0" collapsedLevelsAreSubtotals="1" fieldPosition="0"/>
    </format>
    <format dxfId="797">
      <pivotArea dataOnly="0" labelOnly="1" outline="0" fieldPosition="0">
        <references count="1">
          <reference field="0" count="0"/>
        </references>
      </pivotArea>
    </format>
    <format dxfId="796">
      <pivotArea dataOnly="0" labelOnly="1" grandRow="1" outline="0" fieldPosition="0"/>
    </format>
    <format dxfId="795">
      <pivotArea dataOnly="0" labelOnly="1" outline="0" fieldPosition="0">
        <references count="1">
          <reference field="3" count="0"/>
        </references>
      </pivotArea>
    </format>
    <format dxfId="794">
      <pivotArea grandRow="1" outline="0" collapsedLevelsAreSubtotals="1" fieldPosition="0"/>
    </format>
    <format dxfId="793">
      <pivotArea dataOnly="0" labelOnly="1" grandRow="1" outline="0" fieldPosition="0"/>
    </format>
    <format dxfId="79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91">
      <pivotArea type="all" dataOnly="0" outline="0" fieldPosition="0"/>
    </format>
    <format dxfId="790">
      <pivotArea outline="0" collapsedLevelsAreSubtotals="1" fieldPosition="0"/>
    </format>
    <format dxfId="789">
      <pivotArea dataOnly="0" labelOnly="1" outline="0" fieldPosition="0">
        <references count="1">
          <reference field="0" count="0"/>
        </references>
      </pivotArea>
    </format>
    <format dxfId="788">
      <pivotArea dataOnly="0" labelOnly="1" grandRow="1" outline="0" fieldPosition="0"/>
    </format>
    <format dxfId="787">
      <pivotArea dataOnly="0" labelOnly="1" outline="0" fieldPosition="0">
        <references count="1">
          <reference field="3" count="0"/>
        </references>
      </pivotArea>
    </format>
    <format dxfId="786">
      <pivotArea grandRow="1" outline="0" collapsedLevelsAreSubtotals="1" fieldPosition="0"/>
    </format>
    <format dxfId="785">
      <pivotArea dataOnly="0" labelOnly="1" grandRow="1" outline="0" fieldPosition="0"/>
    </format>
    <format dxfId="784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83">
      <pivotArea type="all" dataOnly="0" outline="0" fieldPosition="0"/>
    </format>
    <format dxfId="782">
      <pivotArea outline="0" collapsedLevelsAreSubtotals="1" fieldPosition="0"/>
    </format>
    <format dxfId="781">
      <pivotArea dataOnly="0" labelOnly="1" outline="0" fieldPosition="0">
        <references count="1">
          <reference field="0" count="0"/>
        </references>
      </pivotArea>
    </format>
    <format dxfId="780">
      <pivotArea dataOnly="0" labelOnly="1" grandRow="1" outline="0" fieldPosition="0"/>
    </format>
    <format dxfId="779">
      <pivotArea dataOnly="0" labelOnly="1" outline="0" fieldPosition="0">
        <references count="1">
          <reference field="3" count="0"/>
        </references>
      </pivotArea>
    </format>
    <format dxfId="778">
      <pivotArea type="all" dataOnly="0" outline="0" fieldPosition="0"/>
    </format>
    <format dxfId="777">
      <pivotArea outline="0" collapsedLevelsAreSubtotals="1" fieldPosition="0"/>
    </format>
    <format dxfId="776">
      <pivotArea dataOnly="0" labelOnly="1" outline="0" fieldPosition="0">
        <references count="1">
          <reference field="0" count="0"/>
        </references>
      </pivotArea>
    </format>
    <format dxfId="775">
      <pivotArea dataOnly="0" labelOnly="1" grandRow="1" outline="0" fieldPosition="0"/>
    </format>
    <format dxfId="774">
      <pivotArea dataOnly="0" labelOnly="1" outline="0" fieldPosition="0">
        <references count="1">
          <reference field="3" count="0"/>
        </references>
      </pivotArea>
    </format>
    <format dxfId="773">
      <pivotArea type="all" dataOnly="0" outline="0" fieldPosition="0"/>
    </format>
    <format dxfId="772">
      <pivotArea outline="0" collapsedLevelsAreSubtotals="1" fieldPosition="0"/>
    </format>
    <format dxfId="771">
      <pivotArea dataOnly="0" labelOnly="1" grandRow="1" outline="0" fieldPosition="0"/>
    </format>
    <format dxfId="770">
      <pivotArea dataOnly="0" labelOnly="1" outline="0" fieldPosition="0">
        <references count="1">
          <reference field="3" count="0"/>
        </references>
      </pivotArea>
    </format>
    <format dxfId="769">
      <pivotArea type="all" dataOnly="0" outline="0" fieldPosition="0"/>
    </format>
    <format dxfId="768">
      <pivotArea outline="0" collapsedLevelsAreSubtotals="1" fieldPosition="0"/>
    </format>
    <format dxfId="767">
      <pivotArea dataOnly="0" labelOnly="1" grandRow="1" outline="0" fieldPosition="0"/>
    </format>
    <format dxfId="766">
      <pivotArea dataOnly="0" labelOnly="1" outline="0" fieldPosition="0">
        <references count="1">
          <reference field="3" count="0"/>
        </references>
      </pivotArea>
    </format>
    <format dxfId="765">
      <pivotArea type="all" dataOnly="0" outline="0" fieldPosition="0"/>
    </format>
    <format dxfId="764">
      <pivotArea outline="0" collapsedLevelsAreSubtotals="1" fieldPosition="0"/>
    </format>
    <format dxfId="763">
      <pivotArea dataOnly="0" labelOnly="1" grandRow="1" outline="0" fieldPosition="0"/>
    </format>
    <format dxfId="762">
      <pivotArea dataOnly="0" labelOnly="1" outline="0" fieldPosition="0">
        <references count="1">
          <reference field="3" count="0"/>
        </references>
      </pivotArea>
    </format>
    <format dxfId="761">
      <pivotArea type="all" dataOnly="0" outline="0" fieldPosition="0"/>
    </format>
    <format dxfId="760">
      <pivotArea outline="0" collapsedLevelsAreSubtotals="1" fieldPosition="0"/>
    </format>
    <format dxfId="759">
      <pivotArea dataOnly="0" labelOnly="1" grandRow="1" outline="0" fieldPosition="0"/>
    </format>
    <format dxfId="758">
      <pivotArea dataOnly="0" labelOnly="1" outline="0" fieldPosition="0">
        <references count="1">
          <reference field="3" count="0"/>
        </references>
      </pivotArea>
    </format>
    <format dxfId="757">
      <pivotArea type="all" dataOnly="0" outline="0" fieldPosition="0"/>
    </format>
    <format dxfId="756">
      <pivotArea outline="0" collapsedLevelsAreSubtotals="1" fieldPosition="0"/>
    </format>
    <format dxfId="755">
      <pivotArea dataOnly="0" labelOnly="1" grandRow="1" outline="0" fieldPosition="0"/>
    </format>
    <format dxfId="754">
      <pivotArea dataOnly="0" labelOnly="1" outline="0" fieldPosition="0">
        <references count="1">
          <reference field="3" count="0"/>
        </references>
      </pivotArea>
    </format>
    <format dxfId="753">
      <pivotArea type="all" dataOnly="0" outline="0" fieldPosition="0"/>
    </format>
    <format dxfId="752">
      <pivotArea outline="0" collapsedLevelsAreSubtotals="1" fieldPosition="0"/>
    </format>
    <format dxfId="751">
      <pivotArea dataOnly="0" labelOnly="1" grandRow="1" outline="0" fieldPosition="0"/>
    </format>
    <format dxfId="750">
      <pivotArea dataOnly="0" labelOnly="1" outline="0" fieldPosition="0">
        <references count="1">
          <reference field="3" count="0"/>
        </references>
      </pivotArea>
    </format>
    <format dxfId="749">
      <pivotArea type="all" dataOnly="0" outline="0" fieldPosition="0"/>
    </format>
    <format dxfId="748">
      <pivotArea outline="0" collapsedLevelsAreSubtotals="1" fieldPosition="0"/>
    </format>
    <format dxfId="747">
      <pivotArea dataOnly="0" labelOnly="1" outline="0" fieldPosition="0">
        <references count="1">
          <reference field="0" count="0"/>
        </references>
      </pivotArea>
    </format>
    <format dxfId="746">
      <pivotArea dataOnly="0" labelOnly="1" grandRow="1" outline="0" fieldPosition="0"/>
    </format>
    <format dxfId="745">
      <pivotArea dataOnly="0" labelOnly="1" outline="0" fieldPosition="0">
        <references count="1">
          <reference field="3" count="0"/>
        </references>
      </pivotArea>
    </format>
    <format dxfId="744">
      <pivotArea type="all" dataOnly="0" outline="0" fieldPosition="0"/>
    </format>
    <format dxfId="743">
      <pivotArea outline="0" collapsedLevelsAreSubtotals="1" fieldPosition="0"/>
    </format>
    <format dxfId="742">
      <pivotArea dataOnly="0" labelOnly="1" outline="0" fieldPosition="0">
        <references count="1">
          <reference field="0" count="0"/>
        </references>
      </pivotArea>
    </format>
    <format dxfId="741">
      <pivotArea dataOnly="0" labelOnly="1" grandRow="1" outline="0" fieldPosition="0"/>
    </format>
    <format dxfId="740">
      <pivotArea dataOnly="0" labelOnly="1" outline="0" fieldPosition="0">
        <references count="1">
          <reference field="3" count="0"/>
        </references>
      </pivotArea>
    </format>
    <format dxfId="739">
      <pivotArea type="origin" dataOnly="0" labelOnly="1" outline="0" fieldPosition="0"/>
    </format>
    <format dxfId="738">
      <pivotArea type="all" dataOnly="0" outline="0" fieldPosition="0"/>
    </format>
    <format dxfId="737">
      <pivotArea outline="0" collapsedLevelsAreSubtotals="1" fieldPosition="0"/>
    </format>
    <format dxfId="736">
      <pivotArea dataOnly="0" labelOnly="1" grandRow="1" outline="0" fieldPosition="0"/>
    </format>
    <format dxfId="735">
      <pivotArea dataOnly="0" labelOnly="1" outline="0" fieldPosition="0">
        <references count="1">
          <reference field="3" count="0"/>
        </references>
      </pivotArea>
    </format>
    <format dxfId="734">
      <pivotArea type="all" dataOnly="0" outline="0" fieldPosition="0"/>
    </format>
    <format dxfId="733">
      <pivotArea outline="0" collapsedLevelsAreSubtotals="1" fieldPosition="0"/>
    </format>
    <format dxfId="732">
      <pivotArea dataOnly="0" labelOnly="1" grandRow="1" outline="0" fieldPosition="0"/>
    </format>
    <format dxfId="731">
      <pivotArea dataOnly="0" labelOnly="1" outline="0" fieldPosition="0">
        <references count="1">
          <reference field="3" count="0"/>
        </references>
      </pivotArea>
    </format>
    <format dxfId="730">
      <pivotArea type="all" dataOnly="0" outline="0" fieldPosition="0"/>
    </format>
    <format dxfId="729">
      <pivotArea outline="0" collapsedLevelsAreSubtotals="1" fieldPosition="0"/>
    </format>
    <format dxfId="728">
      <pivotArea dataOnly="0" labelOnly="1" grandRow="1" outline="0" fieldPosition="0"/>
    </format>
    <format dxfId="727">
      <pivotArea dataOnly="0" labelOnly="1" outline="0" fieldPosition="0">
        <references count="1">
          <reference field="3" count="0"/>
        </references>
      </pivotArea>
    </format>
    <format dxfId="726">
      <pivotArea type="all" dataOnly="0" outline="0" fieldPosition="0"/>
    </format>
    <format dxfId="725">
      <pivotArea outline="0" collapsedLevelsAreSubtotals="1" fieldPosition="0"/>
    </format>
    <format dxfId="724">
      <pivotArea dataOnly="0" labelOnly="1" grandRow="1" outline="0" fieldPosition="0"/>
    </format>
    <format dxfId="723">
      <pivotArea dataOnly="0" labelOnly="1" outline="0" fieldPosition="0">
        <references count="1">
          <reference field="3" count="0"/>
        </references>
      </pivotArea>
    </format>
    <format dxfId="722">
      <pivotArea type="all" dataOnly="0" outline="0" fieldPosition="0"/>
    </format>
    <format dxfId="721">
      <pivotArea outline="0" collapsedLevelsAreSubtotals="1" fieldPosition="0"/>
    </format>
    <format dxfId="720">
      <pivotArea dataOnly="0" labelOnly="1" grandRow="1" outline="0" fieldPosition="0"/>
    </format>
    <format dxfId="719">
      <pivotArea dataOnly="0" labelOnly="1" outline="0" fieldPosition="0">
        <references count="1">
          <reference field="3" count="0"/>
        </references>
      </pivotArea>
    </format>
    <format dxfId="718">
      <pivotArea outline="0" collapsedLevelsAreSubtotals="1" fieldPosition="0">
        <references count="1">
          <reference field="0" count="0" selected="0"/>
        </references>
      </pivotArea>
    </format>
    <format dxfId="717">
      <pivotArea dataOnly="0" labelOnly="1" outline="0" fieldPosition="0">
        <references count="1">
          <reference field="0" count="0"/>
        </references>
      </pivotArea>
    </format>
    <format dxfId="716">
      <pivotArea dataOnly="0" labelOnly="1" outline="0" offset="IV256" fieldPosition="0">
        <references count="1">
          <reference field="0" count="0"/>
        </references>
      </pivotArea>
    </format>
    <format dxfId="715">
      <pivotArea type="all" dataOnly="0" outline="0" fieldPosition="0"/>
    </format>
    <format dxfId="714">
      <pivotArea outline="0" collapsedLevelsAreSubtotals="1" fieldPosition="0"/>
    </format>
    <format dxfId="713">
      <pivotArea dataOnly="0" labelOnly="1" outline="0" fieldPosition="0">
        <references count="1">
          <reference field="0" count="0"/>
        </references>
      </pivotArea>
    </format>
    <format dxfId="712">
      <pivotArea dataOnly="0" labelOnly="1" grandRow="1" outline="0" fieldPosition="0"/>
    </format>
    <format dxfId="711">
      <pivotArea dataOnly="0" labelOnly="1" outline="0" fieldPosition="0">
        <references count="1">
          <reference field="3" count="0"/>
        </references>
      </pivotArea>
    </format>
    <format dxfId="710">
      <pivotArea outline="0" collapsedLevelsAreSubtotals="1" fieldPosition="0">
        <references count="1">
          <reference field="0" count="0" selected="0"/>
        </references>
      </pivotArea>
    </format>
    <format dxfId="709">
      <pivotArea dataOnly="0" labelOnly="1" outline="0" fieldPosition="0">
        <references count="1">
          <reference field="0" count="0"/>
        </references>
      </pivotArea>
    </format>
    <format dxfId="708">
      <pivotArea dataOnly="0" labelOnly="1" outline="0" offset="A256" fieldPosition="0">
        <references count="1">
          <reference field="0" count="0"/>
        </references>
      </pivotArea>
    </format>
    <format dxfId="707">
      <pivotArea type="all" dataOnly="0" outline="0" fieldPosition="0"/>
    </format>
    <format dxfId="706">
      <pivotArea outline="0" collapsedLevelsAreSubtotals="1" fieldPosition="0"/>
    </format>
    <format dxfId="705">
      <pivotArea dataOnly="0" labelOnly="1" outline="0" fieldPosition="0">
        <references count="1">
          <reference field="0" count="0"/>
        </references>
      </pivotArea>
    </format>
    <format dxfId="704">
      <pivotArea dataOnly="0" labelOnly="1" grandRow="1" outline="0" fieldPosition="0"/>
    </format>
    <format dxfId="703">
      <pivotArea dataOnly="0" labelOnly="1" outline="0" fieldPosition="0">
        <references count="1">
          <reference field="3" count="0"/>
        </references>
      </pivotArea>
    </format>
    <format dxfId="702">
      <pivotArea dataOnly="0" grandRow="1" outline="0" fieldPosition="0"/>
    </format>
    <format dxfId="701">
      <pivotArea dataOnly="0" labelOnly="1" grandRow="1" outline="0" offset="A256" fieldPosition="0"/>
    </format>
    <format dxfId="700">
      <pivotArea type="all" dataOnly="0" outline="0" fieldPosition="0"/>
    </format>
    <format dxfId="699">
      <pivotArea outline="0" collapsedLevelsAreSubtotals="1" fieldPosition="0"/>
    </format>
    <format dxfId="698">
      <pivotArea dataOnly="0" labelOnly="1" outline="0" fieldPosition="0">
        <references count="1">
          <reference field="0" count="0"/>
        </references>
      </pivotArea>
    </format>
    <format dxfId="697">
      <pivotArea dataOnly="0" labelOnly="1" grandRow="1" outline="0" fieldPosition="0"/>
    </format>
    <format dxfId="696">
      <pivotArea dataOnly="0" labelOnly="1" outline="0" fieldPosition="0">
        <references count="1">
          <reference field="3" count="0"/>
        </references>
      </pivotArea>
    </format>
    <format dxfId="695">
      <pivotArea outline="0" collapsedLevelsAreSubtotals="1" fieldPosition="0">
        <references count="1">
          <reference field="0" count="0" selected="0"/>
        </references>
      </pivotArea>
    </format>
    <format dxfId="694">
      <pivotArea dataOnly="0" labelOnly="1" outline="0" fieldPosition="0">
        <references count="1">
          <reference field="0" count="0"/>
        </references>
      </pivotArea>
    </format>
    <format dxfId="693">
      <pivotArea dataOnly="0" labelOnly="1" outline="0" offset="IV256" fieldPosition="0">
        <references count="1">
          <reference field="0" count="0"/>
        </references>
      </pivotArea>
    </format>
    <format dxfId="692">
      <pivotArea type="all" dataOnly="0" outline="0" fieldPosition="0"/>
    </format>
    <format dxfId="691">
      <pivotArea outline="0" collapsedLevelsAreSubtotals="1" fieldPosition="0"/>
    </format>
    <format dxfId="690">
      <pivotArea dataOnly="0" labelOnly="1" outline="0" fieldPosition="0">
        <references count="1">
          <reference field="0" count="0"/>
        </references>
      </pivotArea>
    </format>
    <format dxfId="689">
      <pivotArea dataOnly="0" labelOnly="1" grandRow="1" outline="0" fieldPosition="0"/>
    </format>
    <format dxfId="688">
      <pivotArea dataOnly="0" labelOnly="1" outline="0" fieldPosition="0">
        <references count="1">
          <reference field="3" count="0"/>
        </references>
      </pivotArea>
    </format>
    <format dxfId="687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686">
      <pivotArea dataOnly="0" labelOnly="1" outline="0" fieldPosition="0">
        <references count="1">
          <reference field="0" count="0"/>
        </references>
      </pivotArea>
    </format>
    <format dxfId="685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684">
      <pivotArea dataOnly="0" labelOnly="1" outline="0" fieldPosition="0">
        <references count="1">
          <reference field="0" count="0"/>
        </references>
      </pivotArea>
    </format>
    <format dxfId="683">
      <pivotArea type="all" dataOnly="0" outline="0" fieldPosition="0"/>
    </format>
    <format dxfId="682">
      <pivotArea outline="0" collapsedLevelsAreSubtotals="1" fieldPosition="0"/>
    </format>
    <format dxfId="681">
      <pivotArea dataOnly="0" labelOnly="1" outline="0" fieldPosition="0">
        <references count="1">
          <reference field="0" count="0"/>
        </references>
      </pivotArea>
    </format>
    <format dxfId="680">
      <pivotArea dataOnly="0" labelOnly="1" grandRow="1" outline="0" fieldPosition="0"/>
    </format>
    <format dxfId="679">
      <pivotArea dataOnly="0" labelOnly="1" outline="0" fieldPosition="0">
        <references count="1">
          <reference field="3" count="0"/>
        </references>
      </pivotArea>
    </format>
    <format dxfId="678">
      <pivotArea outline="0" collapsedLevelsAreSubtotals="1" fieldPosition="0">
        <references count="1">
          <reference field="0" count="0" selected="0"/>
        </references>
      </pivotArea>
    </format>
    <format dxfId="677">
      <pivotArea dataOnly="0" labelOnly="1" outline="0" fieldPosition="0">
        <references count="1">
          <reference field="0" count="0"/>
        </references>
      </pivotArea>
    </format>
    <format dxfId="676">
      <pivotArea dataOnly="0" labelOnly="1" outline="0" offset="A256" fieldPosition="0">
        <references count="1">
          <reference field="0" count="0"/>
        </references>
      </pivotArea>
    </format>
    <format dxfId="675">
      <pivotArea type="all" dataOnly="0" outline="0" fieldPosition="0"/>
    </format>
    <format dxfId="674">
      <pivotArea outline="0" collapsedLevelsAreSubtotals="1" fieldPosition="0"/>
    </format>
    <format dxfId="673">
      <pivotArea dataOnly="0" labelOnly="1" outline="0" fieldPosition="0">
        <references count="1">
          <reference field="0" count="0"/>
        </references>
      </pivotArea>
    </format>
    <format dxfId="672">
      <pivotArea dataOnly="0" labelOnly="1" grandRow="1" outline="0" fieldPosition="0"/>
    </format>
    <format dxfId="671">
      <pivotArea dataOnly="0" labelOnly="1" outline="0" fieldPosition="0">
        <references count="1">
          <reference field="3" count="0"/>
        </references>
      </pivotArea>
    </format>
    <format dxfId="670">
      <pivotArea type="all" dataOnly="0" outline="0" fieldPosition="0"/>
    </format>
    <format dxfId="669">
      <pivotArea outline="0" collapsedLevelsAreSubtotals="1" fieldPosition="0"/>
    </format>
    <format dxfId="668">
      <pivotArea dataOnly="0" labelOnly="1" grandRow="1" outline="0" fieldPosition="0"/>
    </format>
    <format dxfId="667">
      <pivotArea dataOnly="0" labelOnly="1" outline="0" fieldPosition="0">
        <references count="1">
          <reference field="3" count="0"/>
        </references>
      </pivotArea>
    </format>
    <format dxfId="666">
      <pivotArea type="all" dataOnly="0" outline="0" fieldPosition="0"/>
    </format>
    <format dxfId="665">
      <pivotArea outline="0" collapsedLevelsAreSubtotals="1" fieldPosition="0"/>
    </format>
    <format dxfId="664">
      <pivotArea dataOnly="0" labelOnly="1" grandRow="1" outline="0" fieldPosition="0"/>
    </format>
    <format dxfId="663">
      <pivotArea dataOnly="0" labelOnly="1" outline="0" fieldPosition="0">
        <references count="1">
          <reference field="3" count="0"/>
        </references>
      </pivotArea>
    </format>
    <format dxfId="662">
      <pivotArea type="all" dataOnly="0" outline="0" fieldPosition="0"/>
    </format>
    <format dxfId="661">
      <pivotArea outline="0" collapsedLevelsAreSubtotals="1" fieldPosition="0"/>
    </format>
    <format dxfId="660">
      <pivotArea dataOnly="0" labelOnly="1" grandRow="1" outline="0" fieldPosition="0"/>
    </format>
    <format dxfId="659">
      <pivotArea dataOnly="0" labelOnly="1" outline="0" fieldPosition="0">
        <references count="1">
          <reference field="3" count="0"/>
        </references>
      </pivotArea>
    </format>
    <format dxfId="658">
      <pivotArea type="all" dataOnly="0" outline="0" fieldPosition="0"/>
    </format>
    <format dxfId="657">
      <pivotArea outline="0" collapsedLevelsAreSubtotals="1" fieldPosition="0"/>
    </format>
    <format dxfId="656">
      <pivotArea dataOnly="0" labelOnly="1" grandRow="1" outline="0" fieldPosition="0"/>
    </format>
    <format dxfId="655">
      <pivotArea dataOnly="0" labelOnly="1" outline="0" fieldPosition="0">
        <references count="1">
          <reference field="3" count="0"/>
        </references>
      </pivotArea>
    </format>
    <format dxfId="654">
      <pivotArea type="all" dataOnly="0" outline="0" fieldPosition="0"/>
    </format>
    <format dxfId="653">
      <pivotArea outline="0" collapsedLevelsAreSubtotals="1" fieldPosition="0"/>
    </format>
    <format dxfId="652">
      <pivotArea dataOnly="0" labelOnly="1" grandRow="1" outline="0" fieldPosition="0"/>
    </format>
    <format dxfId="651">
      <pivotArea dataOnly="0" labelOnly="1" outline="0" fieldPosition="0">
        <references count="1">
          <reference field="3" count="0"/>
        </references>
      </pivotArea>
    </format>
    <format dxfId="650">
      <pivotArea type="all" dataOnly="0" outline="0" fieldPosition="0"/>
    </format>
    <format dxfId="649">
      <pivotArea outline="0" collapsedLevelsAreSubtotals="1" fieldPosition="0"/>
    </format>
    <format dxfId="648">
      <pivotArea dataOnly="0" labelOnly="1" grandRow="1" outline="0" fieldPosition="0"/>
    </format>
    <format dxfId="647">
      <pivotArea dataOnly="0" labelOnly="1" outline="0" fieldPosition="0">
        <references count="1">
          <reference field="3" count="0"/>
        </references>
      </pivotArea>
    </format>
    <format dxfId="646">
      <pivotArea type="all" dataOnly="0" outline="0" fieldPosition="0"/>
    </format>
    <format dxfId="645">
      <pivotArea outline="0" collapsedLevelsAreSubtotals="1" fieldPosition="0"/>
    </format>
    <format dxfId="644">
      <pivotArea dataOnly="0" labelOnly="1" grandRow="1" outline="0" fieldPosition="0"/>
    </format>
    <format dxfId="643">
      <pivotArea dataOnly="0" labelOnly="1" outline="0" fieldPosition="0">
        <references count="1">
          <reference field="3" count="0"/>
        </references>
      </pivotArea>
    </format>
    <format dxfId="642">
      <pivotArea type="all" dataOnly="0" outline="0" fieldPosition="0"/>
    </format>
    <format dxfId="641">
      <pivotArea outline="0" collapsedLevelsAreSubtotals="1" fieldPosition="0"/>
    </format>
    <format dxfId="640">
      <pivotArea dataOnly="0" labelOnly="1" grandRow="1" outline="0" fieldPosition="0"/>
    </format>
    <format dxfId="639">
      <pivotArea dataOnly="0" labelOnly="1" outline="0" fieldPosition="0">
        <references count="1">
          <reference field="3" count="0"/>
        </references>
      </pivotArea>
    </format>
    <format dxfId="638">
      <pivotArea type="all" dataOnly="0" outline="0" fieldPosition="0"/>
    </format>
    <format dxfId="637">
      <pivotArea outline="0" collapsedLevelsAreSubtotals="1" fieldPosition="0"/>
    </format>
    <format dxfId="636">
      <pivotArea dataOnly="0" labelOnly="1" grandRow="1" outline="0" fieldPosition="0"/>
    </format>
    <format dxfId="635">
      <pivotArea dataOnly="0" labelOnly="1" outline="0" fieldPosition="0">
        <references count="1">
          <reference field="3" count="0"/>
        </references>
      </pivotArea>
    </format>
    <format dxfId="634">
      <pivotArea type="all" dataOnly="0" outline="0" fieldPosition="0"/>
    </format>
    <format dxfId="633">
      <pivotArea outline="0" collapsedLevelsAreSubtotals="1" fieldPosition="0"/>
    </format>
    <format dxfId="632">
      <pivotArea dataOnly="0" labelOnly="1" grandRow="1" outline="0" fieldPosition="0"/>
    </format>
    <format dxfId="631">
      <pivotArea dataOnly="0" labelOnly="1" outline="0" fieldPosition="0">
        <references count="1">
          <reference field="3" count="0"/>
        </references>
      </pivotArea>
    </format>
    <format dxfId="630">
      <pivotArea type="all" dataOnly="0" outline="0" fieldPosition="0"/>
    </format>
    <format dxfId="629">
      <pivotArea outline="0" collapsedLevelsAreSubtotals="1" fieldPosition="0"/>
    </format>
    <format dxfId="628">
      <pivotArea dataOnly="0" labelOnly="1" grandRow="1" outline="0" fieldPosition="0"/>
    </format>
    <format dxfId="627">
      <pivotArea dataOnly="0" labelOnly="1" outline="0" fieldPosition="0">
        <references count="1">
          <reference field="3" count="0"/>
        </references>
      </pivotArea>
    </format>
    <format dxfId="626">
      <pivotArea type="all" dataOnly="0" outline="0" fieldPosition="0"/>
    </format>
    <format dxfId="625">
      <pivotArea outline="0" collapsedLevelsAreSubtotals="1" fieldPosition="0"/>
    </format>
    <format dxfId="624">
      <pivotArea dataOnly="0" labelOnly="1" grandRow="1" outline="0" fieldPosition="0"/>
    </format>
    <format dxfId="623">
      <pivotArea dataOnly="0" labelOnly="1" outline="0" fieldPosition="0">
        <references count="1">
          <reference field="3" count="0"/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dataOnly="0" labelOnly="1" grandRow="1" outline="0" fieldPosition="0"/>
    </format>
    <format dxfId="619">
      <pivotArea dataOnly="0" labelOnly="1" outline="0" fieldPosition="0">
        <references count="1">
          <reference field="3" count="0"/>
        </references>
      </pivotArea>
    </format>
    <format dxfId="618">
      <pivotArea type="all" dataOnly="0" outline="0" fieldPosition="0"/>
    </format>
    <format dxfId="617">
      <pivotArea outline="0" collapsedLevelsAreSubtotals="1" fieldPosition="0"/>
    </format>
    <format dxfId="616">
      <pivotArea dataOnly="0" labelOnly="1" grandRow="1" outline="0" fieldPosition="0"/>
    </format>
    <format dxfId="615">
      <pivotArea dataOnly="0" labelOnly="1" outline="0" fieldPosition="0">
        <references count="1">
          <reference field="3" count="0"/>
        </references>
      </pivotArea>
    </format>
    <format dxfId="614">
      <pivotArea type="all" dataOnly="0" outline="0" fieldPosition="0"/>
    </format>
    <format dxfId="613">
      <pivotArea outline="0" collapsedLevelsAreSubtotals="1" fieldPosition="0"/>
    </format>
    <format dxfId="612">
      <pivotArea dataOnly="0" labelOnly="1" grandRow="1" outline="0" fieldPosition="0"/>
    </format>
    <format dxfId="611">
      <pivotArea dataOnly="0" labelOnly="1" outline="0" fieldPosition="0">
        <references count="1">
          <reference field="3" count="0"/>
        </references>
      </pivotArea>
    </format>
    <format dxfId="610">
      <pivotArea type="all" dataOnly="0" outline="0" fieldPosition="0"/>
    </format>
    <format dxfId="609">
      <pivotArea outline="0" collapsedLevelsAreSubtotals="1" fieldPosition="0"/>
    </format>
    <format dxfId="608">
      <pivotArea dataOnly="0" labelOnly="1" grandRow="1" outline="0" fieldPosition="0"/>
    </format>
    <format dxfId="607">
      <pivotArea dataOnly="0" labelOnly="1" outline="0" fieldPosition="0">
        <references count="1">
          <reference field="3" count="0"/>
        </references>
      </pivotArea>
    </format>
    <format dxfId="606">
      <pivotArea type="all" dataOnly="0" outline="0" fieldPosition="0"/>
    </format>
    <format dxfId="605">
      <pivotArea outline="0" collapsedLevelsAreSubtotals="1" fieldPosition="0"/>
    </format>
    <format dxfId="604">
      <pivotArea dataOnly="0" labelOnly="1" grandRow="1" outline="0" fieldPosition="0"/>
    </format>
    <format dxfId="603">
      <pivotArea dataOnly="0" labelOnly="1" outline="0" fieldPosition="0">
        <references count="1">
          <reference field="3" count="0"/>
        </references>
      </pivotArea>
    </format>
    <format dxfId="602">
      <pivotArea type="all" dataOnly="0" outline="0" fieldPosition="0"/>
    </format>
    <format dxfId="601">
      <pivotArea outline="0" collapsedLevelsAreSubtotals="1" fieldPosition="0"/>
    </format>
    <format dxfId="600">
      <pivotArea dataOnly="0" labelOnly="1" grandRow="1" outline="0" fieldPosition="0"/>
    </format>
    <format dxfId="599">
      <pivotArea dataOnly="0" labelOnly="1" outline="0" fieldPosition="0">
        <references count="1">
          <reference field="3" count="0"/>
        </references>
      </pivotArea>
    </format>
    <format dxfId="598">
      <pivotArea type="all" dataOnly="0" outline="0" fieldPosition="0"/>
    </format>
    <format dxfId="597">
      <pivotArea outline="0" collapsedLevelsAreSubtotals="1" fieldPosition="0"/>
    </format>
    <format dxfId="596">
      <pivotArea dataOnly="0" labelOnly="1" grandRow="1" outline="0" fieldPosition="0"/>
    </format>
    <format dxfId="595">
      <pivotArea dataOnly="0" labelOnly="1" outline="0" fieldPosition="0">
        <references count="1">
          <reference field="3" count="0"/>
        </references>
      </pivotArea>
    </format>
    <format dxfId="594">
      <pivotArea type="all" dataOnly="0" outline="0" fieldPosition="0"/>
    </format>
    <format dxfId="593">
      <pivotArea outline="0" collapsedLevelsAreSubtotals="1" fieldPosition="0"/>
    </format>
    <format dxfId="592">
      <pivotArea dataOnly="0" labelOnly="1" grandRow="1" outline="0" fieldPosition="0"/>
    </format>
    <format dxfId="591">
      <pivotArea dataOnly="0" labelOnly="1" outline="0" fieldPosition="0">
        <references count="1">
          <reference field="3" count="0"/>
        </references>
      </pivotArea>
    </format>
    <format dxfId="590">
      <pivotArea type="all" dataOnly="0" outline="0" fieldPosition="0"/>
    </format>
    <format dxfId="589">
      <pivotArea outline="0" collapsedLevelsAreSubtotals="1" fieldPosition="0"/>
    </format>
    <format dxfId="588">
      <pivotArea dataOnly="0" labelOnly="1" grandRow="1" outline="0" fieldPosition="0"/>
    </format>
    <format dxfId="587">
      <pivotArea dataOnly="0" labelOnly="1" outline="0" fieldPosition="0">
        <references count="1">
          <reference field="3" count="0"/>
        </references>
      </pivotArea>
    </format>
    <format dxfId="586">
      <pivotArea type="all" dataOnly="0" outline="0" fieldPosition="0"/>
    </format>
    <format dxfId="585">
      <pivotArea outline="0" collapsedLevelsAreSubtotals="1" fieldPosition="0"/>
    </format>
    <format dxfId="584">
      <pivotArea dataOnly="0" labelOnly="1" grandRow="1" outline="0" fieldPosition="0"/>
    </format>
    <format dxfId="583">
      <pivotArea dataOnly="0" labelOnly="1" outline="0" fieldPosition="0">
        <references count="1">
          <reference field="3" count="0"/>
        </references>
      </pivotArea>
    </format>
    <format dxfId="582">
      <pivotArea type="all" dataOnly="0" outline="0" fieldPosition="0"/>
    </format>
    <format dxfId="581">
      <pivotArea outline="0" collapsedLevelsAreSubtotals="1" fieldPosition="0"/>
    </format>
    <format dxfId="580">
      <pivotArea dataOnly="0" labelOnly="1" grandRow="1" outline="0" fieldPosition="0"/>
    </format>
    <format dxfId="579">
      <pivotArea dataOnly="0" labelOnly="1" outline="0" fieldPosition="0">
        <references count="1">
          <reference field="3" count="0"/>
        </references>
      </pivotArea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dataOnly="0" labelOnly="1" grandRow="1" outline="0" fieldPosition="0"/>
    </format>
    <format dxfId="575">
      <pivotArea dataOnly="0" labelOnly="1" outline="0" fieldPosition="0">
        <references count="1">
          <reference field="3" count="0"/>
        </references>
      </pivotArea>
    </format>
    <format dxfId="574">
      <pivotArea type="all" dataOnly="0" outline="0" fieldPosition="0"/>
    </format>
    <format dxfId="573">
      <pivotArea outline="0" collapsedLevelsAreSubtotals="1" fieldPosition="0"/>
    </format>
    <format dxfId="572">
      <pivotArea dataOnly="0" labelOnly="1" grandRow="1" outline="0" fieldPosition="0"/>
    </format>
    <format dxfId="571">
      <pivotArea dataOnly="0" labelOnly="1" outline="0" fieldPosition="0">
        <references count="1">
          <reference field="3" count="0"/>
        </references>
      </pivotArea>
    </format>
    <format dxfId="570">
      <pivotArea type="all" dataOnly="0" outline="0" fieldPosition="0"/>
    </format>
    <format dxfId="569">
      <pivotArea outline="0" collapsedLevelsAreSubtotals="1" fieldPosition="0"/>
    </format>
    <format dxfId="568">
      <pivotArea dataOnly="0" labelOnly="1" grandRow="1" outline="0" fieldPosition="0"/>
    </format>
    <format dxfId="567">
      <pivotArea dataOnly="0" labelOnly="1" outline="0" fieldPosition="0">
        <references count="1">
          <reference field="3" count="0"/>
        </references>
      </pivotArea>
    </format>
    <format dxfId="566">
      <pivotArea type="all" dataOnly="0" outline="0" fieldPosition="0"/>
    </format>
    <format dxfId="565">
      <pivotArea outline="0" collapsedLevelsAreSubtotals="1" fieldPosition="0"/>
    </format>
    <format dxfId="564">
      <pivotArea dataOnly="0" labelOnly="1" grandRow="1" outline="0" fieldPosition="0"/>
    </format>
    <format dxfId="563">
      <pivotArea dataOnly="0" labelOnly="1" outline="0" fieldPosition="0">
        <references count="1">
          <reference field="3" count="0"/>
        </references>
      </pivotArea>
    </format>
    <format dxfId="562">
      <pivotArea type="all" dataOnly="0" outline="0" fieldPosition="0"/>
    </format>
    <format dxfId="561">
      <pivotArea outline="0" collapsedLevelsAreSubtotals="1" fieldPosition="0"/>
    </format>
    <format dxfId="560">
      <pivotArea dataOnly="0" labelOnly="1" grandRow="1" outline="0" fieldPosition="0"/>
    </format>
    <format dxfId="559">
      <pivotArea dataOnly="0" labelOnly="1" outline="0" fieldPosition="0">
        <references count="1">
          <reference field="3" count="0"/>
        </references>
      </pivotArea>
    </format>
    <format dxfId="558">
      <pivotArea type="all" dataOnly="0" outline="0" fieldPosition="0"/>
    </format>
    <format dxfId="557">
      <pivotArea outline="0" collapsedLevelsAreSubtotals="1" fieldPosition="0"/>
    </format>
    <format dxfId="556">
      <pivotArea dataOnly="0" labelOnly="1" grandRow="1" outline="0" fieldPosition="0"/>
    </format>
    <format dxfId="555">
      <pivotArea dataOnly="0" labelOnly="1" outline="0" fieldPosition="0">
        <references count="1">
          <reference field="3" count="0"/>
        </references>
      </pivotArea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dataOnly="0" labelOnly="1" grandRow="1" outline="0" fieldPosition="0"/>
    </format>
    <format dxfId="551">
      <pivotArea dataOnly="0" labelOnly="1" outline="0" fieldPosition="0">
        <references count="1">
          <reference field="3" count="0"/>
        </references>
      </pivotArea>
    </format>
    <format dxfId="550">
      <pivotArea type="all" dataOnly="0" outline="0" fieldPosition="0"/>
    </format>
    <format dxfId="549">
      <pivotArea outline="0" collapsedLevelsAreSubtotals="1" fieldPosition="0"/>
    </format>
    <format dxfId="548">
      <pivotArea dataOnly="0" labelOnly="1" grandRow="1" outline="0" fieldPosition="0"/>
    </format>
    <format dxfId="547">
      <pivotArea dataOnly="0" labelOnly="1" outline="0" fieldPosition="0">
        <references count="1">
          <reference field="3" count="0"/>
        </references>
      </pivotArea>
    </format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labelOnly="1" grandRow="1" outline="0" fieldPosition="0"/>
    </format>
    <format dxfId="543">
      <pivotArea dataOnly="0" labelOnly="1" outline="0" fieldPosition="0">
        <references count="1">
          <reference field="3" count="0"/>
        </references>
      </pivotArea>
    </format>
    <format dxfId="542">
      <pivotArea type="all" dataOnly="0" outline="0" fieldPosition="0"/>
    </format>
    <format dxfId="541">
      <pivotArea outline="0" collapsedLevelsAreSubtotals="1" fieldPosition="0"/>
    </format>
    <format dxfId="540">
      <pivotArea dataOnly="0" labelOnly="1" grandRow="1" outline="0" fieldPosition="0"/>
    </format>
    <format dxfId="539">
      <pivotArea dataOnly="0" labelOnly="1" outline="0" fieldPosition="0">
        <references count="1">
          <reference field="3" count="0"/>
        </references>
      </pivotArea>
    </format>
    <format dxfId="538">
      <pivotArea type="all" dataOnly="0" outline="0" fieldPosition="0"/>
    </format>
    <format dxfId="537">
      <pivotArea outline="0" collapsedLevelsAreSubtotals="1" fieldPosition="0"/>
    </format>
    <format dxfId="536">
      <pivotArea dataOnly="0" labelOnly="1" grandRow="1" outline="0" fieldPosition="0"/>
    </format>
    <format dxfId="535">
      <pivotArea dataOnly="0" labelOnly="1" outline="0" fieldPosition="0">
        <references count="1">
          <reference field="3" count="0"/>
        </references>
      </pivotArea>
    </format>
    <format dxfId="534">
      <pivotArea type="all" dataOnly="0" outline="0" fieldPosition="0"/>
    </format>
    <format dxfId="533">
      <pivotArea outline="0" collapsedLevelsAreSubtotals="1" fieldPosition="0"/>
    </format>
    <format dxfId="532">
      <pivotArea dataOnly="0" labelOnly="1" grandRow="1" outline="0" fieldPosition="0"/>
    </format>
    <format dxfId="531">
      <pivotArea dataOnly="0" labelOnly="1" outline="0" fieldPosition="0">
        <references count="1">
          <reference field="3" count="0"/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grandRow="1" outline="0" fieldPosition="0"/>
    </format>
    <format dxfId="527">
      <pivotArea dataOnly="0" labelOnly="1" outline="0" fieldPosition="0">
        <references count="1">
          <reference field="3" count="0"/>
        </references>
      </pivotArea>
    </format>
    <format dxfId="526">
      <pivotArea type="all" dataOnly="0" outline="0" fieldPosition="0"/>
    </format>
    <format dxfId="525">
      <pivotArea outline="0" collapsedLevelsAreSubtotals="1" fieldPosition="0"/>
    </format>
    <format dxfId="524">
      <pivotArea dataOnly="0" labelOnly="1" grandRow="1" outline="0" fieldPosition="0"/>
    </format>
    <format dxfId="523">
      <pivotArea dataOnly="0" labelOnly="1" outline="0" fieldPosition="0">
        <references count="1">
          <reference field="3" count="0"/>
        </references>
      </pivotArea>
    </format>
    <format dxfId="522">
      <pivotArea type="all" dataOnly="0" outline="0" fieldPosition="0"/>
    </format>
    <format dxfId="521">
      <pivotArea outline="0" collapsedLevelsAreSubtotals="1" fieldPosition="0"/>
    </format>
    <format dxfId="520">
      <pivotArea dataOnly="0" labelOnly="1" grandRow="1" outline="0" fieldPosition="0"/>
    </format>
    <format dxfId="519">
      <pivotArea dataOnly="0" labelOnly="1" outline="0" fieldPosition="0">
        <references count="1">
          <reference field="3" count="0"/>
        </references>
      </pivotArea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dataOnly="0" labelOnly="1" grandRow="1" outline="0" fieldPosition="0"/>
    </format>
    <format dxfId="515">
      <pivotArea dataOnly="0" labelOnly="1" outline="0" fieldPosition="0">
        <references count="1">
          <reference field="3" count="0"/>
        </references>
      </pivotArea>
    </format>
    <format dxfId="514">
      <pivotArea type="all" dataOnly="0" outline="0" fieldPosition="0"/>
    </format>
    <format dxfId="513">
      <pivotArea outline="0" collapsedLevelsAreSubtotals="1" fieldPosition="0"/>
    </format>
    <format dxfId="512">
      <pivotArea dataOnly="0" labelOnly="1" grandRow="1" outline="0" fieldPosition="0"/>
    </format>
    <format dxfId="511">
      <pivotArea dataOnly="0" labelOnly="1" outline="0" fieldPosition="0">
        <references count="1">
          <reference field="3" count="0"/>
        </references>
      </pivotArea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dataOnly="0" labelOnly="1" grandRow="1" outline="0" fieldPosition="0"/>
    </format>
    <format dxfId="507">
      <pivotArea dataOnly="0" labelOnly="1" outline="0" fieldPosition="0">
        <references count="1">
          <reference field="3" count="0"/>
        </references>
      </pivotArea>
    </format>
    <format dxfId="506">
      <pivotArea type="all" dataOnly="0" outline="0" fieldPosition="0"/>
    </format>
    <format dxfId="505">
      <pivotArea outline="0" collapsedLevelsAreSubtotals="1" fieldPosition="0"/>
    </format>
    <format dxfId="504">
      <pivotArea dataOnly="0" labelOnly="1" grandRow="1" outline="0" fieldPosition="0"/>
    </format>
    <format dxfId="503">
      <pivotArea dataOnly="0" labelOnly="1" outline="0" fieldPosition="0">
        <references count="1">
          <reference field="3" count="0"/>
        </references>
      </pivotArea>
    </format>
    <format dxfId="502">
      <pivotArea type="all" dataOnly="0" outline="0" fieldPosition="0"/>
    </format>
    <format dxfId="501">
      <pivotArea outline="0" collapsedLevelsAreSubtotals="1" fieldPosition="0"/>
    </format>
    <format dxfId="500">
      <pivotArea dataOnly="0" labelOnly="1" grandRow="1" outline="0" fieldPosition="0"/>
    </format>
    <format dxfId="499">
      <pivotArea dataOnly="0" labelOnly="1" outline="0" fieldPosition="0">
        <references count="1">
          <reference field="3" count="0"/>
        </references>
      </pivotArea>
    </format>
    <format dxfId="498">
      <pivotArea type="all" dataOnly="0" outline="0" fieldPosition="0"/>
    </format>
    <format dxfId="497">
      <pivotArea outline="0" collapsedLevelsAreSubtotals="1" fieldPosition="0"/>
    </format>
    <format dxfId="496">
      <pivotArea dataOnly="0" labelOnly="1" grandRow="1" outline="0" fieldPosition="0"/>
    </format>
    <format dxfId="495">
      <pivotArea dataOnly="0" labelOnly="1" outline="0" fieldPosition="0">
        <references count="1">
          <reference field="3" count="0"/>
        </references>
      </pivotArea>
    </format>
    <format dxfId="494">
      <pivotArea type="all" dataOnly="0" outline="0" fieldPosition="0"/>
    </format>
    <format dxfId="493">
      <pivotArea outline="0" collapsedLevelsAreSubtotals="1" fieldPosition="0"/>
    </format>
    <format dxfId="492">
      <pivotArea dataOnly="0" labelOnly="1" grandRow="1" outline="0" fieldPosition="0"/>
    </format>
    <format dxfId="491">
      <pivotArea dataOnly="0" labelOnly="1" outline="0" fieldPosition="0">
        <references count="1">
          <reference field="3" count="0"/>
        </references>
      </pivotArea>
    </format>
    <format dxfId="490">
      <pivotArea type="all" dataOnly="0" outline="0" fieldPosition="0"/>
    </format>
    <format dxfId="489">
      <pivotArea outline="0" collapsedLevelsAreSubtotals="1" fieldPosition="0"/>
    </format>
    <format dxfId="488">
      <pivotArea dataOnly="0" labelOnly="1" grandRow="1" outline="0" fieldPosition="0"/>
    </format>
    <format dxfId="487">
      <pivotArea dataOnly="0" labelOnly="1" outline="0" fieldPosition="0">
        <references count="1">
          <reference field="3" count="0"/>
        </references>
      </pivotArea>
    </format>
    <format dxfId="486">
      <pivotArea type="all" dataOnly="0" outline="0" fieldPosition="0"/>
    </format>
    <format dxfId="485">
      <pivotArea outline="0" collapsedLevelsAreSubtotals="1" fieldPosition="0"/>
    </format>
    <format dxfId="484">
      <pivotArea dataOnly="0" labelOnly="1" grandRow="1" outline="0" fieldPosition="0"/>
    </format>
    <format dxfId="483">
      <pivotArea dataOnly="0" labelOnly="1" outline="0" fieldPosition="0">
        <references count="1">
          <reference field="3" count="0"/>
        </references>
      </pivotArea>
    </format>
    <format dxfId="482">
      <pivotArea type="all" dataOnly="0" outline="0" fieldPosition="0"/>
    </format>
    <format dxfId="481">
      <pivotArea outline="0" collapsedLevelsAreSubtotals="1" fieldPosition="0"/>
    </format>
    <format dxfId="480">
      <pivotArea dataOnly="0" labelOnly="1" grandRow="1" outline="0" fieldPosition="0"/>
    </format>
    <format dxfId="479">
      <pivotArea dataOnly="0" labelOnly="1" outline="0" fieldPosition="0">
        <references count="1">
          <reference field="3" count="0"/>
        </references>
      </pivotArea>
    </format>
    <format dxfId="478">
      <pivotArea type="all" dataOnly="0" outline="0" fieldPosition="0"/>
    </format>
    <format dxfId="477">
      <pivotArea outline="0" collapsedLevelsAreSubtotals="1" fieldPosition="0"/>
    </format>
    <format dxfId="476">
      <pivotArea dataOnly="0" labelOnly="1" grandRow="1" outline="0" fieldPosition="0"/>
    </format>
    <format dxfId="475">
      <pivotArea dataOnly="0" labelOnly="1" outline="0" fieldPosition="0">
        <references count="1">
          <reference field="3" count="0"/>
        </references>
      </pivotArea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dataOnly="0" labelOnly="1" grandRow="1" outline="0" fieldPosition="0"/>
    </format>
    <format dxfId="471">
      <pivotArea dataOnly="0" labelOnly="1" outline="0" fieldPosition="0">
        <references count="1">
          <reference field="3" count="0"/>
        </references>
      </pivotArea>
    </format>
    <format dxfId="470">
      <pivotArea type="all" dataOnly="0" outline="0" fieldPosition="0"/>
    </format>
    <format dxfId="469">
      <pivotArea outline="0" collapsedLevelsAreSubtotals="1" fieldPosition="0"/>
    </format>
    <format dxfId="468">
      <pivotArea dataOnly="0" labelOnly="1" grandRow="1" outline="0" fieldPosition="0"/>
    </format>
    <format dxfId="467">
      <pivotArea dataOnly="0" labelOnly="1" outline="0" fieldPosition="0">
        <references count="1">
          <reference field="3" count="0"/>
        </references>
      </pivotArea>
    </format>
    <format dxfId="466">
      <pivotArea type="all" dataOnly="0" outline="0" fieldPosition="0"/>
    </format>
    <format dxfId="465">
      <pivotArea outline="0" collapsedLevelsAreSubtotals="1" fieldPosition="0"/>
    </format>
    <format dxfId="464">
      <pivotArea dataOnly="0" labelOnly="1" grandRow="1" outline="0" fieldPosition="0"/>
    </format>
    <format dxfId="463">
      <pivotArea dataOnly="0" labelOnly="1" outline="0" fieldPosition="0">
        <references count="1">
          <reference field="3" count="0"/>
        </references>
      </pivotArea>
    </format>
    <format dxfId="462">
      <pivotArea type="all" dataOnly="0" outline="0" fieldPosition="0"/>
    </format>
    <format dxfId="461">
      <pivotArea outline="0" collapsedLevelsAreSubtotals="1" fieldPosition="0"/>
    </format>
    <format dxfId="460">
      <pivotArea dataOnly="0" labelOnly="1" grandRow="1" outline="0" fieldPosition="0"/>
    </format>
    <format dxfId="459">
      <pivotArea dataOnly="0" labelOnly="1" outline="0" fieldPosition="0">
        <references count="1">
          <reference field="3" count="0"/>
        </references>
      </pivotArea>
    </format>
    <format dxfId="458">
      <pivotArea type="all" dataOnly="0" outline="0" fieldPosition="0"/>
    </format>
    <format dxfId="457">
      <pivotArea outline="0" collapsedLevelsAreSubtotals="1" fieldPosition="0"/>
    </format>
    <format dxfId="456">
      <pivotArea dataOnly="0" labelOnly="1" grandRow="1" outline="0" fieldPosition="0"/>
    </format>
    <format dxfId="455">
      <pivotArea dataOnly="0" labelOnly="1" outline="0" fieldPosition="0">
        <references count="1">
          <reference field="3" count="0"/>
        </references>
      </pivotArea>
    </format>
    <format dxfId="454">
      <pivotArea type="all" dataOnly="0" outline="0" fieldPosition="0"/>
    </format>
    <format dxfId="453">
      <pivotArea outline="0" collapsedLevelsAreSubtotals="1" fieldPosition="0"/>
    </format>
    <format dxfId="452">
      <pivotArea dataOnly="0" labelOnly="1" grandRow="1" outline="0" fieldPosition="0"/>
    </format>
    <format dxfId="451">
      <pivotArea dataOnly="0" labelOnly="1" outline="0" fieldPosition="0">
        <references count="1">
          <reference field="3" count="0"/>
        </references>
      </pivotArea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dataOnly="0" labelOnly="1" grandRow="1" outline="0" fieldPosition="0"/>
    </format>
    <format dxfId="447">
      <pivotArea dataOnly="0" labelOnly="1" outline="0" fieldPosition="0">
        <references count="1">
          <reference field="3" count="0"/>
        </references>
      </pivotArea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dataOnly="0" labelOnly="1" grandRow="1" outline="0" fieldPosition="0"/>
    </format>
    <format dxfId="443">
      <pivotArea dataOnly="0" labelOnly="1" outline="0" fieldPosition="0">
        <references count="1">
          <reference field="3" count="0"/>
        </references>
      </pivotArea>
    </format>
    <format dxfId="442">
      <pivotArea type="all" dataOnly="0" outline="0" fieldPosition="0"/>
    </format>
    <format dxfId="441">
      <pivotArea outline="0" collapsedLevelsAreSubtotals="1" fieldPosition="0"/>
    </format>
    <format dxfId="440">
      <pivotArea dataOnly="0" labelOnly="1" grandRow="1" outline="0" fieldPosition="0"/>
    </format>
    <format dxfId="439">
      <pivotArea dataOnly="0" labelOnly="1" outline="0" fieldPosition="0">
        <references count="1">
          <reference field="3" count="0"/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dataOnly="0" labelOnly="1" grandRow="1" outline="0" fieldPosition="0"/>
    </format>
    <format dxfId="435">
      <pivotArea dataOnly="0" labelOnly="1" outline="0" fieldPosition="0">
        <references count="1">
          <reference field="3" count="0"/>
        </references>
      </pivotArea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dataOnly="0" labelOnly="1" grandRow="1" outline="0" fieldPosition="0"/>
    </format>
    <format dxfId="431">
      <pivotArea dataOnly="0" labelOnly="1" outline="0" fieldPosition="0">
        <references count="1">
          <reference field="3" count="0"/>
        </references>
      </pivotArea>
    </format>
    <format dxfId="430">
      <pivotArea type="all" dataOnly="0" outline="0" fieldPosition="0"/>
    </format>
    <format dxfId="429">
      <pivotArea outline="0" collapsedLevelsAreSubtotals="1" fieldPosition="0"/>
    </format>
    <format dxfId="428">
      <pivotArea dataOnly="0" labelOnly="1" grandRow="1" outline="0" fieldPosition="0"/>
    </format>
    <format dxfId="427">
      <pivotArea dataOnly="0" labelOnly="1" outline="0" fieldPosition="0">
        <references count="1">
          <reference field="3" count="0"/>
        </references>
      </pivotArea>
    </format>
    <format dxfId="426">
      <pivotArea type="all" dataOnly="0" outline="0" fieldPosition="0"/>
    </format>
    <format dxfId="425">
      <pivotArea outline="0" collapsedLevelsAreSubtotals="1" fieldPosition="0"/>
    </format>
    <format dxfId="424">
      <pivotArea dataOnly="0" labelOnly="1" grandRow="1" outline="0" fieldPosition="0"/>
    </format>
    <format dxfId="423">
      <pivotArea dataOnly="0" labelOnly="1" outline="0" fieldPosition="0">
        <references count="1">
          <reference field="3" count="0"/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dataOnly="0" labelOnly="1" grandRow="1" outline="0" fieldPosition="0"/>
    </format>
    <format dxfId="419">
      <pivotArea dataOnly="0" labelOnly="1" outline="0" fieldPosition="0">
        <references count="1">
          <reference field="3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dataOnly="0" labelOnly="1" grandRow="1" outline="0" fieldPosition="0"/>
    </format>
    <format dxfId="415">
      <pivotArea dataOnly="0" labelOnly="1" outline="0" fieldPosition="0">
        <references count="1">
          <reference field="3" count="0"/>
        </references>
      </pivotArea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dataOnly="0" labelOnly="1" grandRow="1" outline="0" fieldPosition="0"/>
    </format>
    <format dxfId="411">
      <pivotArea dataOnly="0" labelOnly="1" outline="0" fieldPosition="0">
        <references count="1">
          <reference field="3" count="0"/>
        </references>
      </pivotArea>
    </format>
    <format dxfId="410">
      <pivotArea type="all" dataOnly="0" outline="0" fieldPosition="0"/>
    </format>
    <format dxfId="409">
      <pivotArea outline="0" collapsedLevelsAreSubtotals="1" fieldPosition="0"/>
    </format>
    <format dxfId="408">
      <pivotArea dataOnly="0" labelOnly="1" grandRow="1" outline="0" fieldPosition="0"/>
    </format>
    <format dxfId="407">
      <pivotArea dataOnly="0" labelOnly="1" outline="0" fieldPosition="0">
        <references count="1">
          <reference field="3" count="0"/>
        </references>
      </pivotArea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dataOnly="0" labelOnly="1" grandRow="1" outline="0" fieldPosition="0"/>
    </format>
    <format dxfId="403">
      <pivotArea dataOnly="0" labelOnly="1" outline="0" fieldPosition="0">
        <references count="1">
          <reference field="3" count="0"/>
        </references>
      </pivotArea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dataOnly="0" labelOnly="1" grandRow="1" outline="0" fieldPosition="0"/>
    </format>
    <format dxfId="399">
      <pivotArea dataOnly="0" labelOnly="1" outline="0" fieldPosition="0">
        <references count="1">
          <reference field="3" count="0"/>
        </references>
      </pivotArea>
    </format>
    <format dxfId="398">
      <pivotArea type="all" dataOnly="0" outline="0" fieldPosition="0"/>
    </format>
    <format dxfId="397">
      <pivotArea outline="0" collapsedLevelsAreSubtotals="1" fieldPosition="0"/>
    </format>
    <format dxfId="396">
      <pivotArea dataOnly="0" labelOnly="1" grandRow="1" outline="0" fieldPosition="0"/>
    </format>
    <format dxfId="395">
      <pivotArea dataOnly="0" labelOnly="1" outline="0" fieldPosition="0">
        <references count="1">
          <reference field="3" count="0"/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dataOnly="0" labelOnly="1" grandRow="1" outline="0" fieldPosition="0"/>
    </format>
    <format dxfId="391">
      <pivotArea dataOnly="0" labelOnly="1" outline="0" fieldPosition="0">
        <references count="1">
          <reference field="3" count="0"/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dataOnly="0" labelOnly="1" grandRow="1" outline="0" fieldPosition="0"/>
    </format>
    <format dxfId="387">
      <pivotArea dataOnly="0" labelOnly="1" outline="0" fieldPosition="0">
        <references count="1">
          <reference field="3" count="0"/>
        </references>
      </pivotArea>
    </format>
    <format dxfId="386">
      <pivotArea type="all" dataOnly="0" outline="0" fieldPosition="0"/>
    </format>
    <format dxfId="385">
      <pivotArea outline="0" collapsedLevelsAreSubtotals="1" fieldPosition="0"/>
    </format>
    <format dxfId="384">
      <pivotArea dataOnly="0" labelOnly="1" grandRow="1" outline="0" fieldPosition="0"/>
    </format>
    <format dxfId="383">
      <pivotArea dataOnly="0" labelOnly="1" outline="0" fieldPosition="0">
        <references count="1">
          <reference field="3" count="0"/>
        </references>
      </pivotArea>
    </format>
    <format dxfId="382">
      <pivotArea grandRow="1" outline="0" collapsedLevelsAreSubtotals="1" fieldPosition="0"/>
    </format>
    <format dxfId="381">
      <pivotArea dataOnly="0" labelOnly="1" grandRow="1" outline="0" fieldPosition="0"/>
    </format>
    <format dxfId="380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dataOnly="0" labelOnly="1" grandRow="1" outline="0" fieldPosition="0"/>
    </format>
    <format dxfId="376">
      <pivotArea dataOnly="0" labelOnly="1" outline="0" fieldPosition="0">
        <references count="1">
          <reference field="3" count="0"/>
        </references>
      </pivotArea>
    </format>
    <format dxfId="375">
      <pivotArea grandRow="1" outline="0" collapsedLevelsAreSubtotals="1" fieldPosition="0"/>
    </format>
    <format dxfId="374">
      <pivotArea dataOnly="0" labelOnly="1" grandRow="1" outline="0" fieldPosition="0"/>
    </format>
    <format dxfId="373">
      <pivotArea field="3" grandRow="1" outline="0" collapsedLevelsAreSubtotals="1" axis="axisCol" fieldPosition="0">
        <references count="1">
          <reference field="3" count="1" selected="0">
            <x v="2"/>
          </reference>
        </references>
      </pivotArea>
    </format>
    <format dxfId="372">
      <pivotArea type="all" dataOnly="0" outline="0" fieldPosition="0"/>
    </format>
    <format dxfId="371">
      <pivotArea outline="0" collapsedLevelsAreSubtotals="1" fieldPosition="0"/>
    </format>
    <format dxfId="370">
      <pivotArea dataOnly="0" labelOnly="1" grandRow="1" outline="0" fieldPosition="0"/>
    </format>
    <format dxfId="369">
      <pivotArea dataOnly="0" labelOnly="1" outline="0" fieldPosition="0">
        <references count="1">
          <reference field="3" count="0"/>
        </references>
      </pivotArea>
    </format>
    <format dxfId="368">
      <pivotArea grandRow="1" outline="0" collapsedLevelsAreSubtotals="1" fieldPosition="0"/>
    </format>
    <format dxfId="367">
      <pivotArea dataOnly="0" labelOnly="1" grandRow="1" outline="0" fieldPosition="0"/>
    </format>
    <format dxfId="366">
      <pivotArea field="3" grandRow="1" outline="0" collapsedLevelsAreSubtotals="1" axis="axisCol" fieldPosition="0">
        <references count="1">
          <reference field="3" count="1" selected="0">
            <x v="3"/>
          </reference>
        </references>
      </pivotArea>
    </format>
    <format dxfId="365">
      <pivotArea type="all" dataOnly="0" outline="0" fieldPosition="0"/>
    </format>
    <format dxfId="364">
      <pivotArea outline="0" collapsedLevelsAreSubtotals="1" fieldPosition="0"/>
    </format>
    <format dxfId="363">
      <pivotArea dataOnly="0" labelOnly="1" grandRow="1" outline="0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grandRow="1" outline="0" collapsedLevelsAreSubtotals="1" fieldPosition="0"/>
    </format>
    <format dxfId="360">
      <pivotArea dataOnly="0" labelOnly="1" grandRow="1" outline="0" fieldPosition="0"/>
    </format>
    <format dxfId="359">
      <pivotArea field="3" grandRow="1" outline="0" collapsedLevelsAreSubtotals="1" axis="axisCol" fieldPosition="0">
        <references count="1">
          <reference field="3" count="1" selected="0">
            <x v="4"/>
          </reference>
        </references>
      </pivotArea>
    </format>
    <format dxfId="358">
      <pivotArea type="all" dataOnly="0" outline="0" fieldPosition="0"/>
    </format>
    <format dxfId="357">
      <pivotArea outline="0" collapsedLevelsAreSubtotals="1" fieldPosition="0"/>
    </format>
    <format dxfId="356">
      <pivotArea dataOnly="0" labelOnly="1" grandRow="1" outline="0" fieldPosition="0"/>
    </format>
    <format dxfId="355">
      <pivotArea dataOnly="0" labelOnly="1" outline="0" fieldPosition="0">
        <references count="1">
          <reference field="3" count="0"/>
        </references>
      </pivotArea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field="3" grandRow="1" outline="0" collapsedLevelsAreSubtotals="1" axis="axisCol" fieldPosition="0">
        <references count="1">
          <reference field="3" count="1" selected="0">
            <x v="5"/>
          </reference>
        </references>
      </pivotArea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dataOnly="0" labelOnly="1" grandRow="1" outline="0" fieldPosition="0"/>
    </format>
    <format dxfId="348">
      <pivotArea dataOnly="0" labelOnly="1" outline="0" fieldPosition="0">
        <references count="1">
          <reference field="3" count="0"/>
        </references>
      </pivotArea>
    </format>
    <format dxfId="347">
      <pivotArea grandRow="1" outline="0" collapsedLevelsAreSubtotals="1" fieldPosition="0"/>
    </format>
    <format dxfId="346">
      <pivotArea dataOnly="0" labelOnly="1" grandRow="1" outline="0" fieldPosition="0"/>
    </format>
    <format dxfId="345">
      <pivotArea field="3" grandRow="1" outline="0" collapsedLevelsAreSubtotals="1" axis="axisCol" fieldPosition="0">
        <references count="1">
          <reference field="3" count="1" selected="0">
            <x v="6"/>
          </reference>
        </references>
      </pivotArea>
    </format>
    <format dxfId="344">
      <pivotArea type="all" dataOnly="0" outline="0" fieldPosition="0"/>
    </format>
    <format dxfId="343">
      <pivotArea outline="0" collapsedLevelsAreSubtotals="1" fieldPosition="0"/>
    </format>
    <format dxfId="342">
      <pivotArea dataOnly="0" labelOnly="1" grandRow="1" outline="0" fieldPosition="0"/>
    </format>
    <format dxfId="341">
      <pivotArea dataOnly="0" labelOnly="1" outline="0" fieldPosition="0">
        <references count="1">
          <reference field="3" count="0"/>
        </references>
      </pivotArea>
    </format>
    <format dxfId="340">
      <pivotArea grandRow="1" outline="0" collapsedLevelsAreSubtotals="1" fieldPosition="0"/>
    </format>
    <format dxfId="339">
      <pivotArea dataOnly="0" labelOnly="1" grandRow="1" outline="0" fieldPosition="0"/>
    </format>
    <format dxfId="338">
      <pivotArea field="3" grandRow="1" outline="0" collapsedLevelsAreSubtotals="1" axis="axisCol" fieldPosition="0">
        <references count="1">
          <reference field="3" count="1" selected="0">
            <x v="7"/>
          </reference>
        </references>
      </pivotArea>
    </format>
    <format dxfId="337">
      <pivotArea type="all" dataOnly="0" outline="0" fieldPosition="0"/>
    </format>
    <format dxfId="336">
      <pivotArea outline="0" collapsedLevelsAreSubtotals="1" fieldPosition="0"/>
    </format>
    <format dxfId="335">
      <pivotArea dataOnly="0" labelOnly="1" grandRow="1" outline="0" fieldPosition="0"/>
    </format>
    <format dxfId="334">
      <pivotArea dataOnly="0" labelOnly="1" outline="0" fieldPosition="0">
        <references count="1">
          <reference field="3" count="0"/>
        </references>
      </pivotArea>
    </format>
    <format dxfId="333">
      <pivotArea dataOnly="0" labelOnly="1" outline="0" offset="IV1" fieldPosition="0">
        <references count="1">
          <reference field="0" count="0"/>
        </references>
      </pivotArea>
    </format>
    <format dxfId="332">
      <pivotArea dataOnly="0" labelOnly="1" outline="0" offset="IV1" fieldPosition="0">
        <references count="1">
          <reference field="0" count="0"/>
        </references>
      </pivotArea>
    </format>
    <format dxfId="331">
      <pivotArea type="all" dataOnly="0" outline="0" fieldPosition="0"/>
    </format>
    <format dxfId="330">
      <pivotArea outline="0" collapsedLevelsAreSubtotals="1" fieldPosition="0"/>
    </format>
    <format dxfId="329">
      <pivotArea dataOnly="0" labelOnly="1" grandRow="1" outline="0" fieldPosition="0"/>
    </format>
    <format dxfId="328">
      <pivotArea dataOnly="0" labelOnly="1" outline="0" fieldPosition="0">
        <references count="1">
          <reference field="3" count="0"/>
        </references>
      </pivotArea>
    </format>
    <format dxfId="327">
      <pivotArea type="all" dataOnly="0" outline="0" fieldPosition="0"/>
    </format>
    <format dxfId="326">
      <pivotArea outline="0" collapsedLevelsAreSubtotals="1" fieldPosition="0"/>
    </format>
    <format dxfId="325">
      <pivotArea dataOnly="0" labelOnly="1" grandRow="1" outline="0" fieldPosition="0"/>
    </format>
    <format dxfId="324">
      <pivotArea dataOnly="0" labelOnly="1" outline="0" fieldPosition="0">
        <references count="1">
          <reference field="3" count="0"/>
        </references>
      </pivotArea>
    </format>
    <format dxfId="323">
      <pivotArea type="all" dataOnly="0" outline="0" fieldPosition="0"/>
    </format>
    <format dxfId="322">
      <pivotArea outline="0" collapsedLevelsAreSubtotals="1" fieldPosition="0"/>
    </format>
    <format dxfId="321">
      <pivotArea dataOnly="0" labelOnly="1" grandRow="1" outline="0" fieldPosition="0"/>
    </format>
    <format dxfId="320">
      <pivotArea dataOnly="0" labelOnly="1" outline="0" fieldPosition="0">
        <references count="1">
          <reference field="3" count="0"/>
        </references>
      </pivotArea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dataOnly="0" labelOnly="1" grandRow="1" outline="0" fieldPosition="0"/>
    </format>
    <format dxfId="316">
      <pivotArea dataOnly="0" labelOnly="1" outline="0" fieldPosition="0">
        <references count="1">
          <reference field="3" count="0"/>
        </references>
      </pivotArea>
    </format>
    <format dxfId="315">
      <pivotArea type="all" dataOnly="0" outline="0" fieldPosition="0"/>
    </format>
    <format dxfId="314">
      <pivotArea outline="0" collapsedLevelsAreSubtotals="1" fieldPosition="0"/>
    </format>
    <format dxfId="313">
      <pivotArea dataOnly="0" labelOnly="1" grandRow="1" outline="0" fieldPosition="0"/>
    </format>
    <format dxfId="312">
      <pivotArea dataOnly="0" labelOnly="1" outline="0" fieldPosition="0">
        <references count="1">
          <reference field="3" count="0"/>
        </references>
      </pivotArea>
    </format>
    <format dxfId="311">
      <pivotArea type="all" dataOnly="0" outline="0" fieldPosition="0"/>
    </format>
    <format dxfId="310">
      <pivotArea outline="0" collapsedLevelsAreSubtotals="1" fieldPosition="0"/>
    </format>
    <format dxfId="309">
      <pivotArea dataOnly="0" labelOnly="1" grandRow="1" outline="0" fieldPosition="0"/>
    </format>
    <format dxfId="308">
      <pivotArea dataOnly="0" labelOnly="1" outline="0" fieldPosition="0">
        <references count="1">
          <reference field="3" count="0"/>
        </references>
      </pivotArea>
    </format>
    <format dxfId="307">
      <pivotArea type="all" dataOnly="0" outline="0" fieldPosition="0"/>
    </format>
    <format dxfId="306">
      <pivotArea outline="0" collapsedLevelsAreSubtotals="1" fieldPosition="0"/>
    </format>
    <format dxfId="305">
      <pivotArea dataOnly="0" labelOnly="1" grandRow="1" outline="0" fieldPosition="0"/>
    </format>
    <format dxfId="304">
      <pivotArea dataOnly="0" labelOnly="1" outline="0" fieldPosition="0">
        <references count="1">
          <reference field="3" count="0"/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dataOnly="0" labelOnly="1" grandRow="1" outline="0" fieldPosition="0"/>
    </format>
    <format dxfId="300">
      <pivotArea dataOnly="0" labelOnly="1" outline="0" fieldPosition="0">
        <references count="1">
          <reference field="3" count="0"/>
        </references>
      </pivotArea>
    </format>
    <format dxfId="299">
      <pivotArea type="all" dataOnly="0" outline="0" fieldPosition="0"/>
    </format>
    <format dxfId="298">
      <pivotArea outline="0" collapsedLevelsAreSubtotals="1" fieldPosition="0"/>
    </format>
    <format dxfId="297">
      <pivotArea dataOnly="0" labelOnly="1" grandRow="1" outline="0" fieldPosition="0"/>
    </format>
    <format dxfId="296">
      <pivotArea dataOnly="0" labelOnly="1" outline="0" fieldPosition="0">
        <references count="1">
          <reference field="3" count="0"/>
        </references>
      </pivotArea>
    </format>
    <format dxfId="295">
      <pivotArea type="all" dataOnly="0" outline="0" fieldPosition="0"/>
    </format>
    <format dxfId="294">
      <pivotArea outline="0" collapsedLevelsAreSubtotals="1" fieldPosition="0"/>
    </format>
    <format dxfId="293">
      <pivotArea dataOnly="0" labelOnly="1" grandRow="1" outline="0" fieldPosition="0"/>
    </format>
    <format dxfId="292">
      <pivotArea dataOnly="0" labelOnly="1" outline="0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ПериодСводная" cacheId="5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 rowHeaderCaption="Соц. Работник" colHeaderCaption=" 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2" baseItem="0"/>
  </dataFields>
  <formats count="162">
    <format dxfId="288">
      <pivotArea dataOnly="0" labelOnly="1" grandCol="1" outline="0" fieldPosition="0"/>
    </format>
    <format dxfId="287">
      <pivotArea dataOnly="0" labelOnly="1" grandCol="1" outline="0" fieldPosition="0"/>
    </format>
    <format dxfId="286">
      <pivotArea type="origin" dataOnly="0" labelOnly="1" outline="0" fieldPosition="0"/>
    </format>
    <format dxfId="285">
      <pivotArea field="0" type="button" dataOnly="0" labelOnly="1" outline="0" axis="axisRow" fieldPosition="0"/>
    </format>
    <format dxfId="284">
      <pivotArea dataOnly="0" labelOnly="1" fieldPosition="0">
        <references count="1">
          <reference field="2" count="0"/>
        </references>
      </pivotArea>
    </format>
    <format dxfId="283">
      <pivotArea dataOnly="0" labelOnly="1" grandCol="1" outline="0" fieldPosition="0"/>
    </format>
    <format dxfId="282">
      <pivotArea dataOnly="0" labelOnly="1" fieldPosition="0">
        <references count="1">
          <reference field="2" count="3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5"/>
            <x v="36"/>
            <x v="37"/>
          </reference>
        </references>
      </pivotArea>
    </format>
    <format dxfId="281">
      <pivotArea dataOnly="0" labelOnly="1" grandCol="1" outline="0" fieldPosition="0"/>
    </format>
    <format dxfId="280">
      <pivotArea field="0" type="button" dataOnly="0" labelOnly="1" outline="0" axis="axisRow" fieldPosition="0"/>
    </format>
    <format dxfId="279">
      <pivotArea field="0" type="button" dataOnly="0" labelOnly="1" outline="0" axis="axisRow" fieldPosition="0"/>
    </format>
    <format dxfId="278">
      <pivotArea dataOnly="0" labelOnly="1" fieldPosition="0">
        <references count="1">
          <reference field="2" count="1">
            <x v="34"/>
          </reference>
        </references>
      </pivotArea>
    </format>
    <format dxfId="277">
      <pivotArea dataOnly="0" labelOnly="1" fieldPosition="0">
        <references count="1">
          <reference field="2" count="0"/>
        </references>
      </pivotArea>
    </format>
    <format dxfId="276">
      <pivotArea dataOnly="0" labelOnly="1" fieldPosition="0">
        <references count="1">
          <reference field="2" count="0"/>
        </references>
      </pivotArea>
    </format>
    <format dxfId="275">
      <pivotArea field="1" type="button" dataOnly="0" labelOnly="1" outline="0" axis="axisRow" fieldPosition="1"/>
    </format>
    <format dxfId="274">
      <pivotArea field="1" type="button" dataOnly="0" labelOnly="1" outline="0" axis="axisRow" fieldPosition="1"/>
    </format>
    <format dxfId="273">
      <pivotArea dataOnly="0" labelOnly="1" outline="0" fieldPosition="0">
        <references count="1">
          <reference field="2" count="1">
            <x v="1"/>
          </reference>
        </references>
      </pivotArea>
    </format>
    <format dxfId="272">
      <pivotArea dataOnly="0" labelOnly="1" outline="0" fieldPosition="0">
        <references count="1">
          <reference field="2" count="1">
            <x v="1"/>
          </reference>
        </references>
      </pivotArea>
    </format>
    <format dxfId="271">
      <pivotArea dataOnly="0" labelOnly="1" outline="0" fieldPosition="0">
        <references count="1">
          <reference field="2" count="3">
            <x v="0"/>
            <x v="1"/>
            <x v="2"/>
          </reference>
        </references>
      </pivotArea>
    </format>
    <format dxfId="270">
      <pivotArea type="all" dataOnly="0" outline="0" fieldPosition="0"/>
    </format>
    <format dxfId="269">
      <pivotArea outline="0" collapsedLevelsAreSubtotals="1" fieldPosition="0"/>
    </format>
    <format dxfId="268">
      <pivotArea dataOnly="0" labelOnly="1" grandRow="1" outline="0" fieldPosition="0"/>
    </format>
    <format dxfId="267">
      <pivotArea dataOnly="0" labelOnly="1" outline="0" fieldPosition="0">
        <references count="1">
          <reference field="2" count="0"/>
        </references>
      </pivotArea>
    </format>
    <format dxfId="266">
      <pivotArea type="all" dataOnly="0" outline="0" fieldPosition="0"/>
    </format>
    <format dxfId="265">
      <pivotArea outline="0" collapsedLevelsAreSubtotals="1" fieldPosition="0"/>
    </format>
    <format dxfId="264">
      <pivotArea dataOnly="0" labelOnly="1" grandRow="1" outline="0" fieldPosition="0"/>
    </format>
    <format dxfId="263">
      <pivotArea dataOnly="0" labelOnly="1" outline="0" fieldPosition="0">
        <references count="1">
          <reference field="2" count="0"/>
        </references>
      </pivotArea>
    </format>
    <format dxfId="262">
      <pivotArea dataOnly="0" labelOnly="1" outline="0" fieldPosition="0">
        <references count="1">
          <reference field="2" count="35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dataOnly="0" labelOnly="1" grandRow="1" outline="0" fieldPosition="0"/>
    </format>
    <format dxfId="258">
      <pivotArea dataOnly="0" labelOnly="1" outline="0" fieldPosition="0">
        <references count="1">
          <reference field="2" count="0"/>
        </references>
      </pivotArea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dataOnly="0" labelOnly="1" grandRow="1" outline="0" fieldPosition="0"/>
    </format>
    <format dxfId="254">
      <pivotArea dataOnly="0" labelOnly="1" outline="0" fieldPosition="0">
        <references count="1">
          <reference field="2" count="0"/>
        </references>
      </pivotArea>
    </format>
    <format dxfId="253">
      <pivotArea type="all" dataOnly="0" outline="0" fieldPosition="0"/>
    </format>
    <format dxfId="252">
      <pivotArea outline="0" collapsedLevelsAreSubtotals="1" fieldPosition="0"/>
    </format>
    <format dxfId="251">
      <pivotArea dataOnly="0" labelOnly="1" grandRow="1" outline="0" fieldPosition="0"/>
    </format>
    <format dxfId="250">
      <pivotArea dataOnly="0" labelOnly="1" outline="0" fieldPosition="0">
        <references count="1">
          <reference field="2" count="0"/>
        </references>
      </pivotArea>
    </format>
    <format dxfId="249">
      <pivotArea grandRow="1" outline="0" collapsedLevelsAreSubtotals="1" fieldPosition="0"/>
    </format>
    <format dxfId="248">
      <pivotArea dataOnly="0" labelOnly="1" grandRow="1" outline="0" fieldPosition="0"/>
    </format>
    <format dxfId="247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246">
      <pivotArea type="all" dataOnly="0" outline="0" fieldPosition="0"/>
    </format>
    <format dxfId="245">
      <pivotArea outline="0" collapsedLevelsAreSubtotals="1" fieldPosition="0"/>
    </format>
    <format dxfId="244">
      <pivotArea dataOnly="0" labelOnly="1" grandRow="1" outline="0" fieldPosition="0"/>
    </format>
    <format dxfId="243">
      <pivotArea dataOnly="0" labelOnly="1" outline="0" fieldPosition="0">
        <references count="1">
          <reference field="2" count="0"/>
        </references>
      </pivotArea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dataOnly="0" labelOnly="1" grandRow="1" outline="0" fieldPosition="0"/>
    </format>
    <format dxfId="239">
      <pivotArea dataOnly="0" labelOnly="1" outline="0" fieldPosition="0">
        <references count="1">
          <reference field="2" count="0"/>
        </references>
      </pivotArea>
    </format>
    <format dxfId="238">
      <pivotArea type="all" dataOnly="0" outline="0" fieldPosition="0"/>
    </format>
    <format dxfId="237">
      <pivotArea outline="0" collapsedLevelsAreSubtotals="1" fieldPosition="0"/>
    </format>
    <format dxfId="236">
      <pivotArea dataOnly="0" labelOnly="1" grandRow="1" outline="0" fieldPosition="0"/>
    </format>
    <format dxfId="235">
      <pivotArea dataOnly="0" labelOnly="1" outline="0" fieldPosition="0">
        <references count="1">
          <reference field="2" count="0"/>
        </references>
      </pivotArea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dataOnly="0" labelOnly="1" grandRow="1" outline="0" fieldPosition="0"/>
    </format>
    <format dxfId="231">
      <pivotArea dataOnly="0" labelOnly="1" outline="0" fieldPosition="0">
        <references count="1">
          <reference field="2" count="0"/>
        </references>
      </pivotArea>
    </format>
    <format dxfId="230">
      <pivotArea type="all" dataOnly="0" outline="0" fieldPosition="0"/>
    </format>
    <format dxfId="229">
      <pivotArea outline="0" collapsedLevelsAreSubtotals="1" fieldPosition="0"/>
    </format>
    <format dxfId="228">
      <pivotArea dataOnly="0" labelOnly="1" grandRow="1" outline="0" fieldPosition="0"/>
    </format>
    <format dxfId="227">
      <pivotArea dataOnly="0" labelOnly="1" outline="0" fieldPosition="0">
        <references count="1">
          <reference field="2" count="0"/>
        </references>
      </pivotArea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dataOnly="0" labelOnly="1" grandRow="1" outline="0" fieldPosition="0"/>
    </format>
    <format dxfId="223">
      <pivotArea dataOnly="0" labelOnly="1" outline="0" fieldPosition="0">
        <references count="1">
          <reference field="2" count="0"/>
        </references>
      </pivotArea>
    </format>
    <format dxfId="222">
      <pivotArea type="all" dataOnly="0" outline="0" fieldPosition="0"/>
    </format>
    <format dxfId="221">
      <pivotArea outline="0" collapsedLevelsAreSubtotals="1" fieldPosition="0"/>
    </format>
    <format dxfId="220">
      <pivotArea dataOnly="0" labelOnly="1" grandRow="1" outline="0" fieldPosition="0"/>
    </format>
    <format dxfId="219">
      <pivotArea dataOnly="0" labelOnly="1" outline="0" fieldPosition="0">
        <references count="1">
          <reference field="2" count="0"/>
        </references>
      </pivotArea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dataOnly="0" labelOnly="1" grandRow="1" outline="0" fieldPosition="0"/>
    </format>
    <format dxfId="215">
      <pivotArea dataOnly="0" labelOnly="1" outline="0" fieldPosition="0">
        <references count="1">
          <reference field="2" count="0"/>
        </references>
      </pivotArea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dataOnly="0" labelOnly="1" grandRow="1" outline="0" fieldPosition="0"/>
    </format>
    <format dxfId="211">
      <pivotArea dataOnly="0" labelOnly="1" outline="0" fieldPosition="0">
        <references count="1">
          <reference field="2" count="0"/>
        </references>
      </pivotArea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grandRow="1" outline="0" fieldPosition="0"/>
    </format>
    <format dxfId="207">
      <pivotArea dataOnly="0" labelOnly="1" outline="0" fieldPosition="0">
        <references count="1">
          <reference field="2" count="0"/>
        </references>
      </pivotArea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dataOnly="0" labelOnly="1" grandRow="1" outline="0" fieldPosition="0"/>
    </format>
    <format dxfId="203">
      <pivotArea dataOnly="0" labelOnly="1" outline="0" fieldPosition="0">
        <references count="1">
          <reference field="2" count="0"/>
        </references>
      </pivotArea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dataOnly="0" labelOnly="1" grandRow="1" outline="0" fieldPosition="0"/>
    </format>
    <format dxfId="199">
      <pivotArea dataOnly="0" labelOnly="1" outline="0" fieldPosition="0">
        <references count="1">
          <reference field="2" count="0"/>
        </references>
      </pivotArea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dataOnly="0" labelOnly="1" grandRow="1" outline="0" fieldPosition="0"/>
    </format>
    <format dxfId="195">
      <pivotArea dataOnly="0" labelOnly="1" outline="0" fieldPosition="0">
        <references count="1">
          <reference field="2" count="0"/>
        </references>
      </pivotArea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dataOnly="0" labelOnly="1" grandRow="1" outline="0" fieldPosition="0"/>
    </format>
    <format dxfId="191">
      <pivotArea dataOnly="0" labelOnly="1" outline="0" fieldPosition="0">
        <references count="1">
          <reference field="2" count="0"/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dataOnly="0" labelOnly="1" grandRow="1" outline="0" fieldPosition="0"/>
    </format>
    <format dxfId="187">
      <pivotArea dataOnly="0" labelOnly="1" outline="0" fieldPosition="0">
        <references count="1">
          <reference field="2" count="0"/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dataOnly="0" labelOnly="1" grandRow="1" outline="0" fieldPosition="0"/>
    </format>
    <format dxfId="183">
      <pivotArea dataOnly="0" labelOnly="1" outline="0" fieldPosition="0">
        <references count="1">
          <reference field="2" count="0"/>
        </references>
      </pivotArea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dataOnly="0" labelOnly="1" grandRow="1" outline="0" fieldPosition="0"/>
    </format>
    <format dxfId="179">
      <pivotArea dataOnly="0" labelOnly="1" outline="0" fieldPosition="0">
        <references count="1">
          <reference field="2" count="0"/>
        </references>
      </pivotArea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dataOnly="0" labelOnly="1" grandRow="1" outline="0" fieldPosition="0"/>
    </format>
    <format dxfId="175">
      <pivotArea dataOnly="0" labelOnly="1" outline="0" fieldPosition="0">
        <references count="1">
          <reference field="2" count="0"/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grandRow="1" outline="0" fieldPosition="0"/>
    </format>
    <format dxfId="171">
      <pivotArea dataOnly="0" labelOnly="1" outline="0" fieldPosition="0">
        <references count="1">
          <reference field="2" count="0"/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dataOnly="0" labelOnly="1" grandRow="1" outline="0" fieldPosition="0"/>
    </format>
    <format dxfId="167">
      <pivotArea dataOnly="0" labelOnly="1" outline="0" fieldPosition="0">
        <references count="1">
          <reference field="2" count="0"/>
        </references>
      </pivotArea>
    </format>
    <format dxfId="166">
      <pivotArea grandRow="1" outline="0" collapsedLevelsAreSubtotals="1" fieldPosition="0"/>
    </format>
    <format dxfId="165">
      <pivotArea dataOnly="0" labelOnly="1" grandRow="1" outline="0" fieldPosition="0"/>
    </format>
    <format dxfId="164">
      <pivotArea dataOnly="0" labelOnly="1" grandRow="1" outline="0" offset="IV256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dataOnly="0" labelOnly="1" outline="0" fieldPosition="0">
        <references count="1">
          <reference field="0" count="0"/>
        </references>
      </pivotArea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2" count="0"/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2" count="0"/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dataOnly="0" labelOnly="1" grandRow="1" outline="0" fieldPosition="0"/>
    </format>
    <format dxfId="151">
      <pivotArea dataOnly="0" labelOnly="1" outline="0" fieldPosition="0">
        <references count="1">
          <reference field="2" count="0"/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2" count="0"/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2" count="0"/>
        </references>
      </pivotArea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dataOnly="0" labelOnly="1" grandRow="1" outline="0" fieldPosition="0"/>
    </format>
    <format dxfId="139">
      <pivotArea dataOnly="0" labelOnly="1" outline="0" fieldPosition="0">
        <references count="1">
          <reference field="2" count="0"/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2" count="0"/>
        </references>
      </pivotArea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dataOnly="0" labelOnly="1" grandRow="1" outline="0" fieldPosition="0"/>
    </format>
    <format dxfId="131">
      <pivotArea dataOnly="0" labelOnly="1" outline="0" fieldPosition="0">
        <references count="1">
          <reference field="2" count="0"/>
        </references>
      </pivotArea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ГодСводная" cacheId="3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1" baseItem="0"/>
  </dataFields>
  <formats count="56">
    <format dxfId="125">
      <pivotArea type="all" dataOnly="0" outline="0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outline="0" fieldPosition="0">
        <references count="1">
          <reference field="0" count="0"/>
        </references>
      </pivotArea>
    </format>
    <format dxfId="121">
      <pivotArea dataOnly="0" labelOnly="1" outline="0" fieldPosition="0">
        <references count="1">
          <reference field="0" count="0" defaultSubtotal="1"/>
        </references>
      </pivotArea>
    </format>
    <format dxfId="120">
      <pivotArea dataOnly="0" labelOnly="1" grandRow="1" outline="0" fieldPosition="0"/>
    </format>
    <format dxfId="119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18">
      <pivotArea dataOnly="0" labelOnly="1" outline="0" fieldPosition="0">
        <references count="1">
          <reference field="2" count="0"/>
        </references>
      </pivotArea>
    </format>
    <format dxfId="117">
      <pivotArea type="all" dataOnly="0" outline="0" fieldPosition="0"/>
    </format>
    <format dxfId="116">
      <pivotArea type="all" dataOnly="0" outline="0" fieldPosition="0"/>
    </format>
    <format dxfId="115">
      <pivotArea type="origin" dataOnly="0" labelOnly="1" outline="0" fieldPosition="0"/>
    </format>
    <format dxfId="114">
      <pivotArea field="0" type="button" dataOnly="0" labelOnly="1" outline="0" axis="axisRow" fieldPosition="0"/>
    </format>
    <format dxfId="113">
      <pivotArea field="0" type="button" dataOnly="0" labelOnly="1" outline="0" axis="axisRow" fieldPosition="0"/>
    </format>
    <format dxfId="112">
      <pivotArea field="1" type="button" dataOnly="0" labelOnly="1" outline="0" axis="axisRow" fieldPosition="1"/>
    </format>
    <format dxfId="111">
      <pivotArea field="1" type="button" dataOnly="0" labelOnly="1" outline="0" axis="axisRow" fieldPosition="1"/>
    </format>
    <format dxfId="110">
      <pivotArea dataOnly="0" labelOnly="1" outline="0" fieldPosition="0">
        <references count="1">
          <reference field="0" count="0"/>
        </references>
      </pivotArea>
    </format>
    <format dxfId="109">
      <pivotArea dataOnly="0" labelOnly="1" outline="0" fieldPosition="0">
        <references count="1">
          <reference field="0" count="0" defaultSubtotal="1"/>
        </references>
      </pivotArea>
    </format>
    <format dxfId="108">
      <pivotArea dataOnly="0" labelOnly="1" grandRow="1" outline="0" fieldPosition="0"/>
    </format>
    <format dxfId="10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06">
      <pivotArea dataOnly="0" labelOnly="1" outline="0" fieldPosition="0">
        <references count="1">
          <reference field="0" count="0"/>
        </references>
      </pivotArea>
    </format>
    <format dxfId="105">
      <pivotArea dataOnly="0" labelOnly="1" outline="0" fieldPosition="0">
        <references count="1">
          <reference field="0" count="0" defaultSubtotal="1"/>
        </references>
      </pivotArea>
    </format>
    <format dxfId="104">
      <pivotArea dataOnly="0" labelOnly="1" grandRow="1" outline="0" fieldPosition="0"/>
    </format>
    <format dxfId="103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02">
      <pivotArea type="all" dataOnly="0" outline="0" fieldPosition="0"/>
    </format>
    <format dxfId="101">
      <pivotArea dataOnly="0" labelOnly="1" outline="0" fieldPosition="0">
        <references count="1">
          <reference field="2" count="0"/>
        </references>
      </pivotArea>
    </format>
    <format dxfId="100">
      <pivotArea dataOnly="0" outline="0" fieldPosition="0">
        <references count="1">
          <reference field="2" count="1">
            <x v="2"/>
          </reference>
        </references>
      </pivotArea>
    </format>
    <format dxfId="99">
      <pivotArea dataOnly="0" labelOnly="1" outline="0" fieldPosition="0">
        <references count="1">
          <reference field="2" count="0"/>
        </references>
      </pivotArea>
    </format>
    <format dxfId="98">
      <pivotArea dataOnly="0" labelOnly="1" outline="0" fieldPosition="0">
        <references count="1">
          <reference field="2" count="1">
            <x v="1"/>
          </reference>
        </references>
      </pivotArea>
    </format>
    <format dxfId="97">
      <pivotArea dataOnly="0" labelOnly="1" outline="0" fieldPosition="0">
        <references count="1">
          <reference field="2" count="1">
            <x v="1"/>
          </reference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outline="0" fieldPosition="0">
        <references count="1">
          <reference field="0" count="0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2" count="0"/>
        </references>
      </pivotArea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dataOnly="0" labelOnly="1" outline="0" fieldPosition="0">
        <references count="1">
          <reference field="0" count="0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1">
          <reference field="2" count="0"/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0" count="0"/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2" count="0"/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2" count="0"/>
        </references>
      </pivotArea>
    </format>
    <format dxfId="77">
      <pivotArea grandRow="1" outline="0" collapsedLevelsAreSubtotals="1" fieldPosition="0"/>
    </format>
    <format dxfId="76">
      <pivotArea dataOnly="0" labelOnly="1" grandRow="1" outline="0" fieldPosition="0"/>
    </format>
    <format dxfId="75">
      <pivotArea dataOnly="0" labelOnly="1" grandRow="1" outline="0" offset="IV256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сего С.Р." tableColumnId="1"/>
    </queryTableFields>
  </queryTableRefresh>
</queryTable>
</file>

<file path=xl/queryTables/queryTable3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4.xml><?xml version="1.0" encoding="utf-8"?>
<queryTable xmlns="http://schemas.openxmlformats.org/spreadsheetml/2006/main" name="ExternalData_2" connectionId="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сего С.Р." tableColumnId="1"/>
    </queryTableFields>
  </queryTableRefresh>
</queryTable>
</file>

<file path=xl/queryTables/queryTable5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6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сего С.Р.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5" sourceName="Соц. Работник">
  <pivotTables>
    <pivotTable tabId="8" name="ГодСводная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pivotTables>
    <pivotTable tabId="9" name="ПериодСводная"/>
  </pivotTables>
  <data>
    <tabular pivotCacheId="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5" caption="Соц. Работник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Параметры" displayName="Параметры" ref="A4:A5" totalsRowShown="0" headerRowDxfId="1122" dataDxfId="1121">
  <autoFilter ref="A4:A5">
    <filterColumn colId="0" hiddenButton="1"/>
  </autoFilter>
  <tableColumns count="1">
    <tableColumn id="1" name="Путь к исходным данным" dataDxfId="1120">
      <calculatedColumnFormula>A2&amp;C5&amp;C2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Месяцы" displayName="Месяцы" ref="G1:H13" totalsRowShown="0" headerRowDxfId="1119" dataDxfId="1118">
  <autoFilter ref="G1:H13">
    <filterColumn colId="0" hiddenButton="1"/>
    <filterColumn colId="1" hiddenButton="1"/>
  </autoFilter>
  <tableColumns count="2">
    <tableColumn id="1" name="Месяцы" dataDxfId="1117"/>
    <tableColumn id="2" name="Число" dataDxfId="111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ВыборДанных" displayName="ВыборДанных" ref="B1:B2" totalsRowShown="0" headerRowDxfId="68" dataDxfId="67" headerRowBorderDxfId="291" tableBorderDxfId="290" totalsRowBorderDxfId="289">
  <autoFilter ref="B1:B2">
    <filterColumn colId="0" hiddenButton="1"/>
  </autoFilter>
  <tableColumns count="1">
    <tableColumn id="1" name="Месяц" dataDxfId="6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МесяцыИтоги" displayName="МесяцыИтоги" ref="A4:D9" tableType="queryTable" totalsRowShown="0" headerRowDxfId="62" dataDxfId="61">
  <autoFilter ref="A4:D9"/>
  <tableColumns count="4">
    <tableColumn id="1" uniqueName="1" name="Услуги" queryTableFieldId="1" dataDxfId="66"/>
    <tableColumn id="2" uniqueName="2" name="Всего" queryTableFieldId="2" dataDxfId="65"/>
    <tableColumn id="3" uniqueName="3" name="б/пл." queryTableFieldId="3" dataDxfId="64"/>
    <tableColumn id="4" uniqueName="4" name="пл." queryTableFieldId="4" dataDxfId="63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МесяцыВсего" displayName="МесяцыВсего" ref="F4:J5" totalsRowShown="0" headerRowDxfId="55" dataDxfId="54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60">
      <calculatedColumnFormula>SUM(МесяцыИтоги[Всего])</calculatedColumnFormula>
    </tableColumn>
    <tableColumn id="1" name="Всего 2" dataDxfId="59">
      <calculatedColumnFormula>GETPIVOTDATA("Значения услуг",$A$11,"Услуги","Итого")</calculatedColumnFormula>
    </tableColumn>
    <tableColumn id="4" name="Сумма" dataDxfId="58">
      <calculatedColumnFormula>МесяцыВсего[б/пл.]+МесяцыВсего[пл.]</calculatedColumnFormula>
    </tableColumn>
    <tableColumn id="2" name="б/пл." dataDxfId="57">
      <calculatedColumnFormula>SUM(МесяцыИтоги[б/пл.])</calculatedColumnFormula>
    </tableColumn>
    <tableColumn id="3" name="пл." dataDxfId="56">
      <calculatedColumnFormula>SUM(МесяцыИтоги[пл.])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11" name="МесяцыКолвоСоцРаб" displayName="МесяцыКолвоСоцРаб" ref="F7:F8" tableType="queryTable" insertRow="1" totalsRowShown="0" headerRowDxfId="52" dataDxfId="51">
  <autoFilter ref="F7:F8"/>
  <tableColumns count="1">
    <tableColumn id="1" uniqueName="1" name="Всего С.Р." queryTableFieldId="1" dataDxfId="53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10" name="Таблица10" displayName="Таблица10" ref="H7:J8" totalsRowShown="0" headerRowDxfId="47" dataDxfId="46">
  <autoFilter ref="H7:J8">
    <filterColumn colId="0" hiddenButton="1"/>
    <filterColumn colId="1" hiddenButton="1"/>
    <filterColumn colId="2" hiddenButton="1"/>
  </autoFilter>
  <tableColumns count="3">
    <tableColumn id="1" name="Всего" dataDxfId="50">
      <calculatedColumnFormula>GETPIVOTDATA("Значения услуг",$A$11,"Услуги","Итого")</calculatedColumnFormula>
    </tableColumn>
    <tableColumn id="2" name="Сиделка" dataDxfId="49">
      <calculatedColumnFormula>GETPIVOTDATA("Значения услуг",$A$11,"Услуги","сиделка")</calculatedColumnFormula>
    </tableColumn>
    <tableColumn id="3" name="Разница" dataDxfId="48">
      <calculatedColumnFormula>Таблица10[Всего]-Таблица10[Сиделка]</calculatedColumnFormula>
    </tableColumn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3" name="Диапазон" displayName="Диапазон" ref="B1:C2" totalsRowShown="0" headerRowDxfId="43" dataDxfId="42" tableBorderDxfId="126">
  <autoFilter ref="B1:C2">
    <filterColumn colId="0" hiddenButton="1"/>
    <filterColumn colId="1" hiddenButton="1"/>
  </autoFilter>
  <tableColumns count="2">
    <tableColumn id="1" name="Начало" dataDxfId="45"/>
    <tableColumn id="2" name="Конец" dataDxfId="44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6" name="ПериодИтоги" displayName="ПериодИтоги" ref="A4:D9" tableType="queryTable" totalsRowShown="0" headerRowDxfId="37" dataDxfId="36">
  <autoFilter ref="A4:D9"/>
  <tableColumns count="4">
    <tableColumn id="1" uniqueName="1" name="Услуги" queryTableFieldId="1" dataDxfId="41"/>
    <tableColumn id="2" uniqueName="2" name="Всего" queryTableFieldId="2" dataDxfId="40"/>
    <tableColumn id="3" uniqueName="3" name="б/пл." queryTableFieldId="3" dataDxfId="39"/>
    <tableColumn id="4" uniqueName="4" name="пл." queryTableFieldId="4" dataDxfId="38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7" name="ПериодВсего" displayName="ПериодВсего" ref="F4:J5" totalsRowShown="0" headerRowDxfId="30" dataDxfId="29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35">
      <calculatedColumnFormula>SUM(ПериодИтоги[Всего])</calculatedColumnFormula>
    </tableColumn>
    <tableColumn id="2" name="Всего 2" dataDxfId="34">
      <calculatedColumnFormula>GETPIVOTDATA("Значения услуг",$A$11,"Услуги","Итого")</calculatedColumnFormula>
    </tableColumn>
    <tableColumn id="1" name="Сумма" dataDxfId="33">
      <calculatedColumnFormula>ПериодВсего[б/пл.]+ПериодВсего[пл.]</calculatedColumnFormula>
    </tableColumn>
    <tableColumn id="3" name="б/пл." dataDxfId="32">
      <calculatedColumnFormula>SUM(ПериодИтоги[б/пл.])</calculatedColumnFormula>
    </tableColumn>
    <tableColumn id="4" name="пл." dataDxfId="31">
      <calculatedColumnFormula>SUM(ПериодИтоги[пл.])</calculatedColumnFormula>
    </tableColumn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12" name="ПериодКолвоСоцРаб" displayName="ПериодКолвоСоцРаб" ref="F7:F8" tableType="queryTable" insertRow="1" totalsRowShown="0" headerRowDxfId="27" dataDxfId="26">
  <autoFilter ref="F7:F8"/>
  <tableColumns count="1">
    <tableColumn id="1" uniqueName="1" name="Всего С.Р." queryTableFieldId="1" dataDxfId="28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13" name="Таблица13" displayName="Таблица13" ref="H7:J8" totalsRowShown="0" headerRowDxfId="22" dataDxfId="21">
  <autoFilter ref="H7:J8">
    <filterColumn colId="0" hiddenButton="1"/>
    <filterColumn colId="1" hiddenButton="1"/>
    <filterColumn colId="2" hiddenButton="1"/>
  </autoFilter>
  <tableColumns count="3">
    <tableColumn id="1" name="Всего" dataDxfId="25">
      <calculatedColumnFormula>GETPIVOTDATA("Значения услуг",$A$11,"Услуги","Итого")</calculatedColumnFormula>
    </tableColumn>
    <tableColumn id="2" name="Сиделка" dataDxfId="24">
      <calculatedColumnFormula>GETPIVOTDATA("Значения услуг",$A$11,"Услуги","сиделка")</calculatedColumnFormula>
    </tableColumn>
    <tableColumn id="3" name="Разница" dataDxfId="23">
      <calculatedColumnFormula>Таблица13[Всего]-Таблица13[Сиделка]</calculatedColumnFormula>
    </tableColumn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16" name="ГодИтоги" displayName="ГодИтоги" ref="A4:D9" tableType="queryTable" totalsRowShown="0" headerRowDxfId="16" dataDxfId="15">
  <autoFilter ref="A4:D9"/>
  <tableColumns count="4">
    <tableColumn id="1" uniqueName="1" name="Услуги" queryTableFieldId="1" dataDxfId="20"/>
    <tableColumn id="2" uniqueName="2" name="Всего" queryTableFieldId="2" dataDxfId="19"/>
    <tableColumn id="3" uniqueName="3" name="б/пл." queryTableFieldId="3" dataDxfId="18"/>
    <tableColumn id="4" uniqueName="4" name="пл." queryTableFieldId="4" dataDxfId="17"/>
  </tableColumns>
  <tableStyleInfo name="TableStyleLight15" showFirstColumn="0" showLastColumn="0" showRowStripes="1" showColumnStripes="0"/>
</table>
</file>

<file path=xl/tables/table14.xml><?xml version="1.0" encoding="utf-8"?>
<table xmlns="http://schemas.openxmlformats.org/spreadsheetml/2006/main" id="9" name="ГодВсего" displayName="ГодВсего" ref="F4:J5" totalsRowShown="0" headerRowDxfId="9" dataDxfId="8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14">
      <calculatedColumnFormula>SUM(ГодИтоги[Всего])</calculatedColumnFormula>
    </tableColumn>
    <tableColumn id="1" name="Всего 2" dataDxfId="13">
      <calculatedColumnFormula>GETPIVOTDATA("Значения услуг",$A$11,"Услуги","Итого")</calculatedColumnFormula>
    </tableColumn>
    <tableColumn id="4" name="Сумма" dataDxfId="12">
      <calculatedColumnFormula>ГодВсего[б/пл.]+ГодВсего[пл.]</calculatedColumnFormula>
    </tableColumn>
    <tableColumn id="2" name="б/пл." dataDxfId="11">
      <calculatedColumnFormula>SUM(ГодИтоги[б/пл.])</calculatedColumnFormula>
    </tableColumn>
    <tableColumn id="3" name="пл." dataDxfId="10">
      <calculatedColumnFormula>SUM(ГодИтоги[пл.])</calculatedColumnFormula>
    </tableColumn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id="14" name="ГодКолвоСоцРаб" displayName="ГодКолвоСоцРаб" ref="F7:F8" tableType="queryTable" insertRow="1" totalsRowShown="0" headerRowDxfId="6" dataDxfId="5">
  <autoFilter ref="F7:F8"/>
  <tableColumns count="1">
    <tableColumn id="1" uniqueName="1" name="Всего С.Р." queryTableFieldId="1" dataDxfId="7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15" name="Таблица15" displayName="Таблица15" ref="H7:J8" totalsRowShown="0" headerRowDxfId="1" dataDxfId="0">
  <autoFilter ref="H7:J8">
    <filterColumn colId="0" hiddenButton="1"/>
    <filterColumn colId="1" hiddenButton="1"/>
    <filterColumn colId="2" hiddenButton="1"/>
  </autoFilter>
  <tableColumns count="3">
    <tableColumn id="1" name="Всего" dataDxfId="4">
      <calculatedColumnFormula>GETPIVOTDATA("Значения услуг",$A$11,"Услуги","Итого")</calculatedColumnFormula>
    </tableColumn>
    <tableColumn id="2" name="Сиделка" dataDxfId="3">
      <calculatedColumnFormula>GETPIVOTDATA("Значения услуг",$A$11,"Услуги","сиделка")</calculatedColumnFormula>
    </tableColumn>
    <tableColumn id="3" name="Разница" dataDxfId="2">
      <calculatedColumnFormula>Таблица15[Всего]-Таблица15[Сиделка]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1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drawing" Target="../drawings/drawing2.xml"/><Relationship Id="rId7" Type="http://schemas.openxmlformats.org/officeDocument/2006/relationships/table" Target="../tables/table1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drawing" Target="../drawings/drawing3.xml"/><Relationship Id="rId7" Type="http://schemas.openxmlformats.org/officeDocument/2006/relationships/table" Target="../tables/table1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"/>
  <sheetViews>
    <sheetView tabSelected="1" workbookViewId="0">
      <selection activeCell="E2" sqref="E2"/>
    </sheetView>
  </sheetViews>
  <sheetFormatPr defaultColWidth="9.140625" defaultRowHeight="15.75" x14ac:dyDescent="0.25"/>
  <cols>
    <col min="1" max="1" width="46.5703125" style="6" bestFit="1" customWidth="1"/>
    <col min="2" max="2" width="9.140625" style="1" customWidth="1"/>
    <col min="3" max="3" width="33" style="1" bestFit="1" customWidth="1"/>
    <col min="4" max="4" width="9.140625" style="1"/>
    <col min="5" max="5" width="30.28515625" style="9" bestFit="1" customWidth="1"/>
    <col min="6" max="6" width="9.140625" style="1"/>
    <col min="7" max="7" width="11" style="1" customWidth="1"/>
    <col min="8" max="16384" width="9.140625" style="1"/>
  </cols>
  <sheetData>
    <row r="1" spans="1:8" s="4" customFormat="1" ht="31.5" x14ac:dyDescent="0.25">
      <c r="A1" s="10" t="s">
        <v>1</v>
      </c>
      <c r="C1" s="11" t="s">
        <v>5</v>
      </c>
      <c r="E1" s="7" t="s">
        <v>21</v>
      </c>
      <c r="G1" s="4" t="s">
        <v>23</v>
      </c>
      <c r="H1" s="33" t="s">
        <v>76</v>
      </c>
    </row>
    <row r="2" spans="1:8" ht="32.25" thickBot="1" x14ac:dyDescent="0.3">
      <c r="A2" s="5" t="s">
        <v>87</v>
      </c>
      <c r="C2" s="3" t="s">
        <v>6</v>
      </c>
      <c r="E2" s="8" t="s">
        <v>2</v>
      </c>
      <c r="G2" s="1" t="s">
        <v>4</v>
      </c>
      <c r="H2" s="32">
        <v>1</v>
      </c>
    </row>
    <row r="3" spans="1:8" ht="16.5" thickBot="1" x14ac:dyDescent="0.3">
      <c r="E3" s="8"/>
      <c r="G3" s="1" t="s">
        <v>9</v>
      </c>
      <c r="H3" s="32">
        <v>2</v>
      </c>
    </row>
    <row r="4" spans="1:8" x14ac:dyDescent="0.25">
      <c r="A4" s="6" t="s">
        <v>0</v>
      </c>
      <c r="C4" s="2" t="s">
        <v>22</v>
      </c>
      <c r="G4" s="1" t="s">
        <v>10</v>
      </c>
      <c r="H4" s="32">
        <v>3</v>
      </c>
    </row>
    <row r="5" spans="1:8" ht="32.25" thickBot="1" x14ac:dyDescent="0.3">
      <c r="A5" s="6" t="str">
        <f>A2&amp;C5&amp;C2</f>
        <v>G:\Git-Github\GIT-User\git-ssh\social-services\source\Услуги.xlsm</v>
      </c>
      <c r="C5" s="3" t="s">
        <v>2</v>
      </c>
      <c r="G5" s="1" t="s">
        <v>11</v>
      </c>
      <c r="H5" s="32">
        <v>4</v>
      </c>
    </row>
    <row r="6" spans="1:8" x14ac:dyDescent="0.25">
      <c r="G6" s="1" t="s">
        <v>12</v>
      </c>
      <c r="H6" s="32">
        <v>5</v>
      </c>
    </row>
    <row r="7" spans="1:8" x14ac:dyDescent="0.25">
      <c r="G7" s="1" t="s">
        <v>13</v>
      </c>
      <c r="H7" s="32">
        <v>6</v>
      </c>
    </row>
    <row r="8" spans="1:8" x14ac:dyDescent="0.25">
      <c r="A8" s="12"/>
      <c r="B8" s="13"/>
      <c r="C8" s="13"/>
      <c r="G8" s="1" t="s">
        <v>14</v>
      </c>
      <c r="H8" s="32">
        <v>7</v>
      </c>
    </row>
    <row r="9" spans="1:8" x14ac:dyDescent="0.25">
      <c r="A9" s="14"/>
      <c r="B9" s="13"/>
      <c r="C9" s="13"/>
      <c r="G9" s="1" t="s">
        <v>15</v>
      </c>
      <c r="H9" s="32">
        <v>8</v>
      </c>
    </row>
    <row r="10" spans="1:8" x14ac:dyDescent="0.25">
      <c r="A10" s="14"/>
      <c r="B10" s="13"/>
      <c r="C10" s="13"/>
      <c r="G10" s="1" t="s">
        <v>16</v>
      </c>
      <c r="H10" s="32">
        <v>9</v>
      </c>
    </row>
    <row r="11" spans="1:8" x14ac:dyDescent="0.25">
      <c r="A11" s="14"/>
      <c r="B11" s="13"/>
      <c r="C11" s="13"/>
      <c r="G11" s="1" t="s">
        <v>17</v>
      </c>
      <c r="H11" s="32">
        <v>10</v>
      </c>
    </row>
    <row r="12" spans="1:8" x14ac:dyDescent="0.25">
      <c r="A12" s="14"/>
      <c r="B12" s="13"/>
      <c r="C12" s="13"/>
      <c r="G12" s="1" t="s">
        <v>18</v>
      </c>
      <c r="H12" s="32">
        <v>11</v>
      </c>
    </row>
    <row r="13" spans="1:8" x14ac:dyDescent="0.25">
      <c r="A13" s="14"/>
      <c r="B13" s="13"/>
      <c r="C13" s="13"/>
      <c r="G13" s="1" t="s">
        <v>19</v>
      </c>
      <c r="H13" s="32">
        <v>12</v>
      </c>
    </row>
  </sheetData>
  <dataValidations count="1">
    <dataValidation type="list" allowBlank="1" showInputMessage="1" showErrorMessage="1" sqref="C5">
      <formula1>СписокФайлов</formula1>
    </dataValidation>
  </dataValidations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8"/>
  <sheetViews>
    <sheetView zoomScale="90" zoomScaleNormal="90" workbookViewId="0">
      <selection activeCell="C8" sqref="C8"/>
    </sheetView>
  </sheetViews>
  <sheetFormatPr defaultColWidth="9.140625" defaultRowHeight="15.75" x14ac:dyDescent="0.25"/>
  <cols>
    <col min="1" max="1" width="9.140625" style="1"/>
    <col min="2" max="4" width="28.5703125" style="1" customWidth="1"/>
    <col min="5" max="5" width="28.7109375" style="1" customWidth="1"/>
    <col min="6" max="16384" width="9.140625" style="1"/>
  </cols>
  <sheetData>
    <row r="1" spans="2:5" ht="25.5" x14ac:dyDescent="0.25">
      <c r="B1" s="46" t="s">
        <v>7</v>
      </c>
      <c r="C1" s="46"/>
      <c r="D1" s="46"/>
      <c r="E1" s="46"/>
    </row>
    <row r="2" spans="2:5" ht="18.75" x14ac:dyDescent="0.25">
      <c r="B2" s="47" t="s">
        <v>8</v>
      </c>
      <c r="C2" s="47"/>
      <c r="D2" s="47"/>
      <c r="E2" s="47"/>
    </row>
    <row r="3" spans="2:5" ht="16.5" thickBot="1" x14ac:dyDescent="0.3"/>
    <row r="4" spans="2:5" ht="18.75" x14ac:dyDescent="0.25">
      <c r="B4" s="48" t="s">
        <v>23</v>
      </c>
      <c r="C4" s="49"/>
      <c r="D4" s="49"/>
      <c r="E4" s="50"/>
    </row>
    <row r="5" spans="2:5" ht="18.75" x14ac:dyDescent="0.25">
      <c r="B5" s="54" t="s">
        <v>80</v>
      </c>
      <c r="C5" s="55"/>
      <c r="D5" s="55"/>
      <c r="E5" s="56"/>
    </row>
    <row r="6" spans="2:5" ht="19.5" thickBot="1" x14ac:dyDescent="0.3">
      <c r="B6" s="51" t="s">
        <v>75</v>
      </c>
      <c r="C6" s="52"/>
      <c r="D6" s="52"/>
      <c r="E6" s="53"/>
    </row>
    <row r="8" spans="2:5" ht="18.75" x14ac:dyDescent="0.25">
      <c r="B8" s="15" t="s">
        <v>20</v>
      </c>
    </row>
  </sheetData>
  <mergeCells count="5">
    <mergeCell ref="B1:E1"/>
    <mergeCell ref="B2:E2"/>
    <mergeCell ref="B4:E4"/>
    <mergeCell ref="B6:E6"/>
    <mergeCell ref="B5:E5"/>
  </mergeCells>
  <hyperlinks>
    <hyperlink ref="B8" location="Настройки!A1" display="Настройки"/>
    <hyperlink ref="B4:E4" location="Месяцы!A1" display="Месяцы"/>
    <hyperlink ref="B6:E6" location="Год!A1" display="Год"/>
    <hyperlink ref="B5:E5" location="Период!A1" display="Период"/>
  </hyperlink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O375"/>
  <sheetViews>
    <sheetView zoomScale="70" zoomScaleNormal="70" workbookViewId="0">
      <pane ySplit="12" topLeftCell="A13" activePane="bottomLeft" state="frozen"/>
      <selection pane="bottomLeft" activeCell="B2" sqref="B2"/>
    </sheetView>
  </sheetViews>
  <sheetFormatPr defaultColWidth="9.140625" defaultRowHeight="15.75" x14ac:dyDescent="0.25"/>
  <cols>
    <col min="1" max="1" width="26.42578125" style="18" bestFit="1" customWidth="1"/>
    <col min="2" max="2" width="28.140625" style="18" bestFit="1" customWidth="1"/>
    <col min="3" max="3" width="15.42578125" style="18" customWidth="1"/>
    <col min="4" max="4" width="7.85546875" style="18" bestFit="1" customWidth="1"/>
    <col min="5" max="5" width="10.28515625" style="18" bestFit="1" customWidth="1"/>
    <col min="6" max="6" width="19.140625" style="18" bestFit="1" customWidth="1"/>
    <col min="7" max="7" width="9.28515625" style="18" bestFit="1" customWidth="1"/>
    <col min="8" max="8" width="8.85546875" style="18" bestFit="1" customWidth="1"/>
    <col min="9" max="9" width="10.7109375" style="18" bestFit="1" customWidth="1"/>
    <col min="10" max="10" width="9.7109375" style="18" bestFit="1" customWidth="1"/>
    <col min="11" max="13" width="4.28515625" style="18" customWidth="1"/>
    <col min="14" max="15" width="7.28515625" style="18" bestFit="1" customWidth="1"/>
    <col min="16" max="16" width="4.28515625" style="18" customWidth="1"/>
    <col min="17" max="17" width="7.28515625" style="18" bestFit="1" customWidth="1"/>
    <col min="18" max="19" width="4.28515625" style="18" customWidth="1"/>
    <col min="20" max="20" width="7.28515625" style="18" bestFit="1" customWidth="1"/>
    <col min="21" max="22" width="4.28515625" style="18" customWidth="1"/>
    <col min="23" max="23" width="13.42578125" style="18" bestFit="1" customWidth="1"/>
    <col min="24" max="24" width="7.28515625" style="18" bestFit="1" customWidth="1"/>
    <col min="25" max="25" width="4.28515625" style="18" customWidth="1"/>
    <col min="26" max="27" width="7.28515625" style="18" bestFit="1" customWidth="1"/>
    <col min="28" max="29" width="4.28515625" style="18" customWidth="1"/>
    <col min="30" max="30" width="10.28515625" style="18" bestFit="1" customWidth="1"/>
    <col min="31" max="31" width="7.28515625" style="18" bestFit="1" customWidth="1"/>
    <col min="32" max="32" width="4.28515625" style="18" customWidth="1"/>
    <col min="33" max="36" width="7.28515625" style="18" bestFit="1" customWidth="1"/>
    <col min="37" max="37" width="7.28515625" style="18" customWidth="1"/>
    <col min="38" max="38" width="4.28515625" style="18" customWidth="1"/>
    <col min="39" max="39" width="10.28515625" style="18" bestFit="1" customWidth="1"/>
    <col min="40" max="40" width="7.28515625" style="18" bestFit="1" customWidth="1"/>
    <col min="41" max="41" width="4" style="18" customWidth="1"/>
    <col min="42" max="63" width="10.28515625" style="18" customWidth="1"/>
    <col min="64" max="64" width="10.85546875" style="18" customWidth="1"/>
    <col min="65" max="68" width="10.28515625" style="18" customWidth="1"/>
    <col min="69" max="69" width="13" style="18" customWidth="1"/>
    <col min="70" max="80" width="10.28515625" style="18" customWidth="1"/>
    <col min="81" max="81" width="10.85546875" style="18" customWidth="1"/>
    <col min="82" max="82" width="10.28515625" style="18" customWidth="1"/>
    <col min="83" max="83" width="3.85546875" style="18" customWidth="1"/>
    <col min="84" max="84" width="18.140625" style="18" customWidth="1"/>
    <col min="85" max="85" width="15.7109375" style="18" customWidth="1"/>
    <col min="86" max="87" width="14.140625" style="18" customWidth="1"/>
    <col min="88" max="88" width="23.140625" style="18" customWidth="1"/>
    <col min="89" max="89" width="30.140625" style="18" customWidth="1"/>
    <col min="90" max="90" width="29.140625" style="18" customWidth="1"/>
    <col min="91" max="91" width="21.5703125" style="18" customWidth="1"/>
    <col min="92" max="92" width="41.28515625" style="18" customWidth="1"/>
    <col min="93" max="93" width="18" style="18" customWidth="1"/>
    <col min="94" max="94" width="19.28515625" style="18" customWidth="1"/>
    <col min="95" max="95" width="35.5703125" style="18" customWidth="1"/>
    <col min="96" max="96" width="50.42578125" style="18" customWidth="1"/>
    <col min="97" max="97" width="44.140625" style="18" customWidth="1"/>
    <col min="98" max="98" width="24.42578125" style="18" customWidth="1"/>
    <col min="99" max="99" width="11.5703125" style="18" customWidth="1"/>
    <col min="100" max="100" width="8.5703125" style="18" customWidth="1"/>
    <col min="101" max="101" width="57.28515625" style="18" customWidth="1"/>
    <col min="102" max="102" width="43.28515625" style="18" customWidth="1"/>
    <col min="103" max="103" width="12.28515625" style="18" customWidth="1"/>
    <col min="104" max="104" width="28.140625" style="18" customWidth="1"/>
    <col min="105" max="105" width="27.140625" style="18" customWidth="1"/>
    <col min="106" max="106" width="37.85546875" style="18" customWidth="1"/>
    <col min="107" max="107" width="41.7109375" style="18" customWidth="1"/>
    <col min="108" max="108" width="45.42578125" style="18" customWidth="1"/>
    <col min="109" max="109" width="31.42578125" style="18" customWidth="1"/>
    <col min="110" max="110" width="38.140625" style="18" customWidth="1"/>
    <col min="111" max="111" width="10.7109375" style="18" customWidth="1"/>
    <col min="112" max="112" width="19.28515625" style="18" customWidth="1"/>
    <col min="113" max="113" width="50.85546875" style="18" customWidth="1"/>
    <col min="114" max="114" width="35.5703125" style="18" customWidth="1"/>
    <col min="115" max="115" width="16.28515625" style="18" customWidth="1"/>
    <col min="116" max="116" width="10" style="18" bestFit="1" customWidth="1"/>
    <col min="117" max="117" width="43.5703125" style="18" bestFit="1" customWidth="1"/>
    <col min="118" max="118" width="23.5703125" style="18" bestFit="1" customWidth="1"/>
    <col min="119" max="119" width="36.5703125" style="18" bestFit="1" customWidth="1"/>
    <col min="120" max="120" width="15" style="18" bestFit="1" customWidth="1"/>
    <col min="121" max="121" width="43.42578125" style="18" bestFit="1" customWidth="1"/>
    <col min="122" max="122" width="18.140625" style="18" bestFit="1" customWidth="1"/>
    <col min="123" max="123" width="15.7109375" style="18" bestFit="1" customWidth="1"/>
    <col min="124" max="125" width="14.140625" style="18" bestFit="1" customWidth="1"/>
    <col min="126" max="126" width="23.140625" style="18" bestFit="1" customWidth="1"/>
    <col min="127" max="127" width="30.140625" style="18" bestFit="1" customWidth="1"/>
    <col min="128" max="128" width="29.140625" style="18" bestFit="1" customWidth="1"/>
    <col min="129" max="129" width="21.5703125" style="18" bestFit="1" customWidth="1"/>
    <col min="130" max="130" width="41.28515625" style="18" bestFit="1" customWidth="1"/>
    <col min="131" max="131" width="18" style="18" bestFit="1" customWidth="1"/>
    <col min="132" max="132" width="19.28515625" style="18" bestFit="1" customWidth="1"/>
    <col min="133" max="133" width="35.5703125" style="18" bestFit="1" customWidth="1"/>
    <col min="134" max="134" width="50.42578125" style="18" customWidth="1"/>
    <col min="135" max="135" width="44.140625" style="18" bestFit="1" customWidth="1"/>
    <col min="136" max="136" width="24.42578125" style="18" bestFit="1" customWidth="1"/>
    <col min="137" max="137" width="11.5703125" style="18" bestFit="1" customWidth="1"/>
    <col min="138" max="138" width="8.5703125" style="18" customWidth="1"/>
    <col min="139" max="139" width="57.28515625" style="18" bestFit="1" customWidth="1"/>
    <col min="140" max="140" width="43.28515625" style="18" bestFit="1" customWidth="1"/>
    <col min="141" max="141" width="12.28515625" style="18" customWidth="1"/>
    <col min="142" max="142" width="28.140625" style="18" bestFit="1" customWidth="1"/>
    <col min="143" max="143" width="27.140625" style="18" bestFit="1" customWidth="1"/>
    <col min="144" max="144" width="37.85546875" style="18" bestFit="1" customWidth="1"/>
    <col min="145" max="145" width="41.7109375" style="18" customWidth="1"/>
    <col min="146" max="146" width="45.42578125" style="18" bestFit="1" customWidth="1"/>
    <col min="147" max="147" width="31.42578125" style="18" bestFit="1" customWidth="1"/>
    <col min="148" max="148" width="38.140625" style="18" bestFit="1" customWidth="1"/>
    <col min="149" max="149" width="10.7109375" style="18" bestFit="1" customWidth="1"/>
    <col min="150" max="150" width="19.28515625" style="18" bestFit="1" customWidth="1"/>
    <col min="151" max="151" width="50.85546875" style="18" bestFit="1" customWidth="1"/>
    <col min="152" max="152" width="35.5703125" style="18" bestFit="1" customWidth="1"/>
    <col min="153" max="153" width="16.28515625" style="18" bestFit="1" customWidth="1"/>
    <col min="154" max="16384" width="9.140625" style="18"/>
  </cols>
  <sheetData>
    <row r="1" spans="1:41" ht="22.5" x14ac:dyDescent="0.3">
      <c r="A1" s="16" t="s">
        <v>2</v>
      </c>
      <c r="B1" s="17" t="s">
        <v>32</v>
      </c>
    </row>
    <row r="2" spans="1:41" ht="22.5" x14ac:dyDescent="0.3">
      <c r="A2" s="16" t="s">
        <v>3</v>
      </c>
      <c r="B2" s="19" t="s">
        <v>4</v>
      </c>
    </row>
    <row r="4" spans="1:41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83</v>
      </c>
      <c r="G4" s="18" t="s">
        <v>82</v>
      </c>
      <c r="H4" s="18" t="s">
        <v>79</v>
      </c>
      <c r="I4" s="18" t="s">
        <v>25</v>
      </c>
      <c r="J4" s="18" t="s">
        <v>26</v>
      </c>
    </row>
    <row r="5" spans="1:41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SUM(МесяцыИтоги[Всего])</f>
        <v>0</v>
      </c>
      <c r="G5" s="18">
        <f>GETPIVOTDATA("Значения услуг",$A$11,"Услуги","Итого")</f>
        <v>0</v>
      </c>
      <c r="H5" s="18">
        <f>МесяцыВсего[б/пл.]+МесяцыВсего[пл.]</f>
        <v>0</v>
      </c>
      <c r="I5" s="18">
        <f>SUM(МесяцыИтоги[б/пл.])</f>
        <v>0</v>
      </c>
      <c r="J5" s="18">
        <f>SUM(МесяцыИтоги[пл.])</f>
        <v>0</v>
      </c>
    </row>
    <row r="6" spans="1:41" x14ac:dyDescent="0.25">
      <c r="A6" s="20" t="s">
        <v>28</v>
      </c>
      <c r="B6" s="20">
        <v>0</v>
      </c>
      <c r="C6" s="20">
        <v>0</v>
      </c>
      <c r="D6" s="21">
        <v>0</v>
      </c>
    </row>
    <row r="7" spans="1:41" x14ac:dyDescent="0.25">
      <c r="A7" s="20" t="s">
        <v>29</v>
      </c>
      <c r="B7" s="20">
        <v>0</v>
      </c>
      <c r="C7" s="20">
        <v>0</v>
      </c>
      <c r="D7" s="21">
        <v>0</v>
      </c>
      <c r="F7" s="44" t="s">
        <v>86</v>
      </c>
      <c r="H7" s="18" t="s">
        <v>24</v>
      </c>
      <c r="I7" s="18" t="s">
        <v>84</v>
      </c>
      <c r="J7" s="18" t="s">
        <v>85</v>
      </c>
    </row>
    <row r="8" spans="1:41" x14ac:dyDescent="0.25">
      <c r="A8" s="20" t="s">
        <v>30</v>
      </c>
      <c r="B8" s="20">
        <v>0</v>
      </c>
      <c r="C8" s="20">
        <v>0</v>
      </c>
      <c r="D8" s="21">
        <v>0</v>
      </c>
      <c r="F8" s="45"/>
      <c r="H8" s="18">
        <f>GETPIVOTDATA("Значения услуг",$A$11,"Услуги","Итого")</f>
        <v>0</v>
      </c>
      <c r="I8" s="18">
        <f>GETPIVOTDATA("Значения услуг",$A$11,"Услуги","сиделка")</f>
        <v>0</v>
      </c>
      <c r="J8" s="18">
        <f>Таблица10[Всего]-Таблица10[Сиделка]</f>
        <v>0</v>
      </c>
    </row>
    <row r="9" spans="1:41" x14ac:dyDescent="0.25">
      <c r="A9" s="20" t="s">
        <v>31</v>
      </c>
      <c r="B9" s="20">
        <v>0</v>
      </c>
      <c r="C9" s="20">
        <v>0</v>
      </c>
      <c r="D9" s="21">
        <v>0</v>
      </c>
    </row>
    <row r="11" spans="1:41" x14ac:dyDescent="0.25">
      <c r="A11" s="25" t="s">
        <v>74</v>
      </c>
      <c r="B11" s="25"/>
      <c r="C11" s="26" t="s">
        <v>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2"/>
    </row>
    <row r="12" spans="1:41" ht="127.5" customHeight="1" x14ac:dyDescent="0.25">
      <c r="A12" s="26" t="s">
        <v>33</v>
      </c>
      <c r="B12" s="26" t="s">
        <v>35</v>
      </c>
      <c r="C12" s="28" t="s">
        <v>42</v>
      </c>
      <c r="D12" s="26" t="s">
        <v>41</v>
      </c>
      <c r="E12" s="29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72</v>
      </c>
      <c r="L12" s="28" t="s">
        <v>73</v>
      </c>
      <c r="M12" s="28" t="s">
        <v>55</v>
      </c>
      <c r="N12" s="28" t="s">
        <v>59</v>
      </c>
      <c r="O12" s="28" t="s">
        <v>58</v>
      </c>
      <c r="P12" s="28" t="s">
        <v>45</v>
      </c>
      <c r="Q12" s="28" t="s">
        <v>47</v>
      </c>
      <c r="R12" s="28" t="s">
        <v>71</v>
      </c>
      <c r="S12" s="28" t="s">
        <v>40</v>
      </c>
      <c r="T12" s="28" t="s">
        <v>52</v>
      </c>
      <c r="U12" s="28" t="s">
        <v>49</v>
      </c>
      <c r="V12" s="28" t="s">
        <v>61</v>
      </c>
      <c r="W12" s="28" t="s">
        <v>39</v>
      </c>
      <c r="X12" s="28" t="s">
        <v>50</v>
      </c>
      <c r="Y12" s="28" t="s">
        <v>57</v>
      </c>
      <c r="Z12" s="28" t="s">
        <v>65</v>
      </c>
      <c r="AA12" s="28" t="s">
        <v>37</v>
      </c>
      <c r="AB12" s="28" t="s">
        <v>36</v>
      </c>
      <c r="AC12" s="28" t="s">
        <v>60</v>
      </c>
      <c r="AD12" s="28" t="s">
        <v>64</v>
      </c>
      <c r="AE12" s="28" t="s">
        <v>63</v>
      </c>
      <c r="AF12" s="28" t="s">
        <v>56</v>
      </c>
      <c r="AG12" s="28" t="s">
        <v>62</v>
      </c>
      <c r="AH12" s="28" t="s">
        <v>67</v>
      </c>
      <c r="AI12" s="28" t="s">
        <v>68</v>
      </c>
      <c r="AJ12" s="28" t="s">
        <v>43</v>
      </c>
      <c r="AK12" s="28" t="s">
        <v>66</v>
      </c>
      <c r="AL12" s="28" t="s">
        <v>69</v>
      </c>
      <c r="AM12" s="28" t="s">
        <v>46</v>
      </c>
      <c r="AN12" s="28" t="s">
        <v>53</v>
      </c>
      <c r="AO12" s="22"/>
    </row>
    <row r="13" spans="1:41" x14ac:dyDescent="0.25">
      <c r="A13" s="25" t="s">
        <v>81</v>
      </c>
      <c r="B13" s="26"/>
      <c r="C13" s="30">
        <v>1</v>
      </c>
      <c r="D13" s="30">
        <v>0</v>
      </c>
      <c r="E13" s="31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0">
        <v>0</v>
      </c>
      <c r="AM13" s="30">
        <v>0</v>
      </c>
      <c r="AN13" s="30">
        <v>0</v>
      </c>
      <c r="AO13" s="22"/>
    </row>
    <row r="14" spans="1:41" x14ac:dyDescent="0.25">
      <c r="A14" s="27" t="s">
        <v>34</v>
      </c>
      <c r="B14" s="27"/>
      <c r="C14" s="30">
        <v>1</v>
      </c>
      <c r="D14" s="30">
        <v>0</v>
      </c>
      <c r="E14" s="31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  <c r="AO14" s="22"/>
    </row>
    <row r="15" spans="1:4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</row>
    <row r="16" spans="1:4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</row>
    <row r="17" spans="1:4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</row>
    <row r="18" spans="1:4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</row>
    <row r="19" spans="1:4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</row>
    <row r="20" spans="1:4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</row>
    <row r="21" spans="1:4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</row>
    <row r="22" spans="1:4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</row>
    <row r="23" spans="1:4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</row>
    <row r="24" spans="1:4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</row>
    <row r="25" spans="1:4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</row>
    <row r="26" spans="1:4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</row>
    <row r="27" spans="1:4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</row>
    <row r="28" spans="1:4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</row>
    <row r="29" spans="1:4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</row>
    <row r="30" spans="1:4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</row>
    <row r="31" spans="1:4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</row>
    <row r="32" spans="1:4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</row>
    <row r="33" spans="1:4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</row>
    <row r="34" spans="1:4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</row>
    <row r="35" spans="1:4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</row>
    <row r="36" spans="1:4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</row>
    <row r="37" spans="1:4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</row>
    <row r="38" spans="1:4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</row>
    <row r="39" spans="1:4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</row>
    <row r="40" spans="1:4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</row>
    <row r="41" spans="1:4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</row>
    <row r="42" spans="1:4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</row>
    <row r="43" spans="1:4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</row>
    <row r="44" spans="1:4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</row>
    <row r="45" spans="1:4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</row>
    <row r="46" spans="1:4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</row>
    <row r="47" spans="1:4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</row>
    <row r="48" spans="1:4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</row>
    <row r="49" spans="1:4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</row>
    <row r="50" spans="1:4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</row>
    <row r="51" spans="1:4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</row>
    <row r="52" spans="1:4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</row>
    <row r="53" spans="1:4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</row>
    <row r="54" spans="1:4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</row>
    <row r="55" spans="1:4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</row>
    <row r="56" spans="1:4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</row>
    <row r="57" spans="1:4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</row>
    <row r="58" spans="1:4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</row>
    <row r="59" spans="1:4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</row>
    <row r="60" spans="1:4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</row>
    <row r="61" spans="1:4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</row>
    <row r="62" spans="1:4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</row>
    <row r="63" spans="1:41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</row>
    <row r="64" spans="1:41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</row>
    <row r="65" spans="1:41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</row>
    <row r="66" spans="1:4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</row>
    <row r="67" spans="1:4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</row>
    <row r="68" spans="1:41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</row>
    <row r="69" spans="1:4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</row>
    <row r="70" spans="1:4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</row>
    <row r="71" spans="1:41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80" spans="1:41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</row>
    <row r="81" spans="1:41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</row>
    <row r="82" spans="1:4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</row>
    <row r="83" spans="1:41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</row>
    <row r="84" spans="1:41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</row>
    <row r="85" spans="1:4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</row>
    <row r="86" spans="1:41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</row>
    <row r="87" spans="1:41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</row>
    <row r="88" spans="1:4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</row>
    <row r="89" spans="1:41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</row>
    <row r="90" spans="1:41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</row>
    <row r="91" spans="1:4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</row>
    <row r="92" spans="1:41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</row>
    <row r="93" spans="1:41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</row>
    <row r="94" spans="1:4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</row>
    <row r="95" spans="1:41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</row>
    <row r="96" spans="1:41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</row>
    <row r="97" spans="1:41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</row>
    <row r="98" spans="1:41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</row>
    <row r="99" spans="1:41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1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1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1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1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1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1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1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1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1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1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1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1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</sheetData>
  <dataValidations count="1">
    <dataValidation type="list" allowBlank="1" showInputMessage="1" showErrorMessage="1" sqref="B2">
      <formula1>INDIRECT("Месяцы[Месяцы]")</formula1>
    </dataValidation>
  </dataValidations>
  <pageMargins left="0.7" right="0.7" top="0.75" bottom="0.75" header="0.3" footer="0.3"/>
  <pageSetup paperSize="9" scale="77" fitToWidth="2" fitToHeight="0" orientation="landscape" horizontalDpi="300" verticalDpi="30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388"/>
  <sheetViews>
    <sheetView zoomScale="70" zoomScaleNormal="70" workbookViewId="0">
      <pane ySplit="12" topLeftCell="A13" activePane="bottomLeft" state="frozen"/>
      <selection pane="bottomLeft" activeCell="C2" sqref="C2"/>
    </sheetView>
  </sheetViews>
  <sheetFormatPr defaultColWidth="9.140625" defaultRowHeight="15.75" x14ac:dyDescent="0.25"/>
  <cols>
    <col min="1" max="1" width="26.42578125" style="18" bestFit="1" customWidth="1"/>
    <col min="2" max="2" width="28.140625" style="18" customWidth="1"/>
    <col min="3" max="3" width="12.140625" style="18" customWidth="1"/>
    <col min="4" max="4" width="7.85546875" style="18" bestFit="1" customWidth="1"/>
    <col min="5" max="5" width="10.28515625" style="18" customWidth="1"/>
    <col min="6" max="6" width="15.85546875" style="18" bestFit="1" customWidth="1"/>
    <col min="7" max="7" width="9.28515625" style="18" bestFit="1" customWidth="1"/>
    <col min="8" max="8" width="8.85546875" style="18" bestFit="1" customWidth="1"/>
    <col min="9" max="9" width="10.7109375" style="18" bestFit="1" customWidth="1"/>
    <col min="10" max="10" width="9.7109375" style="18" bestFit="1" customWidth="1"/>
    <col min="11" max="14" width="4.28515625" style="18" customWidth="1"/>
    <col min="15" max="16" width="7.28515625" style="18" customWidth="1"/>
    <col min="17" max="17" width="4.28515625" style="18" customWidth="1"/>
    <col min="18" max="18" width="7.28515625" style="18" customWidth="1"/>
    <col min="19" max="20" width="4.28515625" style="18" customWidth="1"/>
    <col min="21" max="21" width="7.28515625" style="18" customWidth="1"/>
    <col min="22" max="22" width="10.28515625" style="18" customWidth="1"/>
    <col min="23" max="23" width="7.28515625" style="18" customWidth="1"/>
    <col min="24" max="26" width="4.28515625" style="18" customWidth="1"/>
    <col min="27" max="27" width="13.42578125" style="18" customWidth="1"/>
    <col min="28" max="28" width="7.28515625" style="18" customWidth="1"/>
    <col min="29" max="29" width="4.28515625" style="18" customWidth="1"/>
    <col min="30" max="36" width="7.28515625" style="18" customWidth="1"/>
    <col min="37" max="38" width="4.28515625" style="18" customWidth="1"/>
    <col min="39" max="39" width="10.28515625" style="18" customWidth="1"/>
    <col min="40" max="40" width="7.28515625" style="18" customWidth="1"/>
    <col min="41" max="16384" width="9.140625" style="18"/>
  </cols>
  <sheetData>
    <row r="1" spans="1:40" ht="22.5" x14ac:dyDescent="0.3">
      <c r="A1" s="16" t="s">
        <v>2</v>
      </c>
      <c r="B1" s="34" t="s">
        <v>77</v>
      </c>
      <c r="C1" s="34" t="s">
        <v>78</v>
      </c>
    </row>
    <row r="2" spans="1:40" ht="22.5" x14ac:dyDescent="0.3">
      <c r="A2" s="16" t="s">
        <v>3</v>
      </c>
      <c r="B2" s="37" t="s">
        <v>4</v>
      </c>
      <c r="C2" s="37" t="s">
        <v>4</v>
      </c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83</v>
      </c>
      <c r="G4" s="18" t="s">
        <v>82</v>
      </c>
      <c r="H4" s="18" t="s">
        <v>79</v>
      </c>
      <c r="I4" s="18" t="s">
        <v>25</v>
      </c>
      <c r="J4" s="18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SUM(ПериодИтоги[Всего])</f>
        <v>0</v>
      </c>
      <c r="G5" s="18">
        <f>GETPIVOTDATA("Значения услуг",$A$11,"Услуги","Итого")</f>
        <v>0</v>
      </c>
      <c r="H5" s="18">
        <f>ПериодВсего[б/пл.]+ПериодВсего[пл.]</f>
        <v>0</v>
      </c>
      <c r="I5" s="18">
        <f>SUM(ПериодИтоги[б/пл.])</f>
        <v>0</v>
      </c>
      <c r="J5" s="18">
        <f>SUM(ПериодИтоги[пл.])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  <c r="F7" s="21" t="s">
        <v>86</v>
      </c>
      <c r="H7" s="18" t="s">
        <v>24</v>
      </c>
      <c r="I7" s="18" t="s">
        <v>84</v>
      </c>
      <c r="J7" s="18" t="s">
        <v>85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  <c r="F8" s="20"/>
      <c r="H8" s="18">
        <f>GETPIVOTDATA("Значения услуг",$A$11,"Услуги","Итого")</f>
        <v>0</v>
      </c>
      <c r="I8" s="18">
        <f>GETPIVOTDATA("Значения услуг",$A$11,"Услуги","сиделка")</f>
        <v>0</v>
      </c>
      <c r="J8" s="18">
        <f>Таблица13[Всего]-Таблица13[Сиделка]</f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</row>
    <row r="11" spans="1:40" s="35" customFormat="1" x14ac:dyDescent="0.25">
      <c r="A11" s="38" t="s">
        <v>74</v>
      </c>
      <c r="B11" s="38"/>
      <c r="C11" s="39" t="s">
        <v>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</row>
    <row r="12" spans="1:40" s="36" customFormat="1" ht="127.5" customHeight="1" x14ac:dyDescent="0.25">
      <c r="A12" s="26" t="s">
        <v>33</v>
      </c>
      <c r="B12" s="40" t="s">
        <v>35</v>
      </c>
      <c r="C12" s="41" t="s">
        <v>42</v>
      </c>
      <c r="D12" s="42" t="s">
        <v>41</v>
      </c>
      <c r="E12" s="41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</row>
    <row r="13" spans="1:40" x14ac:dyDescent="0.25">
      <c r="A13" s="39" t="s">
        <v>81</v>
      </c>
      <c r="B13" s="39"/>
      <c r="C13" s="43">
        <v>1</v>
      </c>
      <c r="D13" s="43">
        <v>0</v>
      </c>
      <c r="E13" s="43">
        <v>0</v>
      </c>
      <c r="F13" s="43">
        <v>0</v>
      </c>
      <c r="G13" s="43">
        <v>0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0</v>
      </c>
      <c r="N13" s="43">
        <v>0</v>
      </c>
      <c r="O13" s="43">
        <v>0</v>
      </c>
      <c r="P13" s="43">
        <v>0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0</v>
      </c>
      <c r="W13" s="43">
        <v>0</v>
      </c>
      <c r="X13" s="43">
        <v>0</v>
      </c>
      <c r="Y13" s="43">
        <v>0</v>
      </c>
      <c r="Z13" s="43">
        <v>0</v>
      </c>
      <c r="AA13" s="43">
        <v>0</v>
      </c>
      <c r="AB13" s="43">
        <v>0</v>
      </c>
      <c r="AC13" s="43">
        <v>0</v>
      </c>
      <c r="AD13" s="43">
        <v>0</v>
      </c>
      <c r="AE13" s="43">
        <v>0</v>
      </c>
      <c r="AF13" s="43">
        <v>0</v>
      </c>
      <c r="AG13" s="43">
        <v>0</v>
      </c>
      <c r="AH13" s="43">
        <v>0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5">
      <c r="A14" s="39" t="s">
        <v>34</v>
      </c>
      <c r="B14" s="39"/>
      <c r="C14" s="43">
        <v>1</v>
      </c>
      <c r="D14" s="43">
        <v>0</v>
      </c>
      <c r="E14" s="43">
        <v>0</v>
      </c>
      <c r="F14" s="43">
        <v>0</v>
      </c>
      <c r="G14" s="43">
        <v>0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  <c r="N14" s="43">
        <v>0</v>
      </c>
      <c r="O14" s="43">
        <v>0</v>
      </c>
      <c r="P14" s="43">
        <v>0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0</v>
      </c>
      <c r="W14" s="43">
        <v>0</v>
      </c>
      <c r="X14" s="43">
        <v>0</v>
      </c>
      <c r="Y14" s="43">
        <v>0</v>
      </c>
      <c r="Z14" s="43">
        <v>0</v>
      </c>
      <c r="AA14" s="43">
        <v>0</v>
      </c>
      <c r="AB14" s="43">
        <v>0</v>
      </c>
      <c r="AC14" s="43">
        <v>0</v>
      </c>
      <c r="AD14" s="43">
        <v>0</v>
      </c>
      <c r="AE14" s="43">
        <v>0</v>
      </c>
      <c r="AF14" s="43">
        <v>0</v>
      </c>
      <c r="AG14" s="43">
        <v>0</v>
      </c>
      <c r="AH14" s="43">
        <v>0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  <row r="376" spans="1:40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</row>
    <row r="377" spans="1:40" x14ac:dyDescent="0.25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</row>
    <row r="378" spans="1:40" x14ac:dyDescent="0.25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</row>
    <row r="379" spans="1:40" x14ac:dyDescent="0.25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</row>
    <row r="380" spans="1:40" x14ac:dyDescent="0.2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</row>
    <row r="381" spans="1:40" x14ac:dyDescent="0.25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</row>
    <row r="382" spans="1:40" x14ac:dyDescent="0.25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</row>
    <row r="383" spans="1:40" x14ac:dyDescent="0.25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</row>
    <row r="384" spans="1:40" x14ac:dyDescent="0.25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</row>
    <row r="385" spans="1:40" x14ac:dyDescent="0.25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</row>
    <row r="386" spans="1:40" x14ac:dyDescent="0.2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</row>
    <row r="387" spans="1:40" x14ac:dyDescent="0.25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</row>
    <row r="388" spans="1:40" x14ac:dyDescent="0.25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</row>
  </sheetData>
  <dataValidations count="1">
    <dataValidation type="list" allowBlank="1" showInputMessage="1" showErrorMessage="1" sqref="B2:C2">
      <formula1>INDIRECT("Месяцы[Месяцы]")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249"/>
  <sheetViews>
    <sheetView zoomScale="70" zoomScaleNormal="70" workbookViewId="0">
      <pane ySplit="12" topLeftCell="A13" activePane="bottomLeft" state="frozen"/>
      <selection pane="bottomLeft" activeCell="F8" sqref="F8"/>
    </sheetView>
  </sheetViews>
  <sheetFormatPr defaultColWidth="9.140625" defaultRowHeight="15.75" x14ac:dyDescent="0.25"/>
  <cols>
    <col min="1" max="1" width="26.42578125" style="18" bestFit="1" customWidth="1"/>
    <col min="2" max="2" width="24.85546875" style="18" bestFit="1" customWidth="1"/>
    <col min="3" max="3" width="15.42578125" style="18" customWidth="1"/>
    <col min="4" max="4" width="7.85546875" style="18" bestFit="1" customWidth="1"/>
    <col min="5" max="5" width="10.28515625" style="18" bestFit="1" customWidth="1"/>
    <col min="6" max="6" width="15.85546875" style="18" bestFit="1" customWidth="1"/>
    <col min="7" max="7" width="9.28515625" style="18" bestFit="1" customWidth="1"/>
    <col min="8" max="8" width="8.85546875" style="18" bestFit="1" customWidth="1"/>
    <col min="9" max="9" width="10.7109375" style="18" bestFit="1" customWidth="1"/>
    <col min="10" max="10" width="9.7109375" style="18" bestFit="1" customWidth="1"/>
    <col min="11" max="14" width="4.28515625" style="18" customWidth="1"/>
    <col min="15" max="16" width="7.28515625" style="18" bestFit="1" customWidth="1"/>
    <col min="17" max="17" width="4.28515625" style="18" customWidth="1"/>
    <col min="18" max="18" width="7.28515625" style="18" bestFit="1" customWidth="1"/>
    <col min="19" max="20" width="4.28515625" style="18" customWidth="1"/>
    <col min="21" max="21" width="7.28515625" style="18" bestFit="1" customWidth="1"/>
    <col min="22" max="22" width="10.28515625" style="18" bestFit="1" customWidth="1"/>
    <col min="23" max="23" width="7.28515625" style="18" bestFit="1" customWidth="1"/>
    <col min="24" max="26" width="4.28515625" style="18" customWidth="1"/>
    <col min="27" max="27" width="13.42578125" style="18" bestFit="1" customWidth="1"/>
    <col min="28" max="28" width="7.28515625" style="18" bestFit="1" customWidth="1"/>
    <col min="29" max="29" width="4.28515625" style="18" customWidth="1"/>
    <col min="30" max="36" width="7.28515625" style="18" bestFit="1" customWidth="1"/>
    <col min="37" max="38" width="4.28515625" style="18" customWidth="1"/>
    <col min="39" max="39" width="10.28515625" style="18" bestFit="1" customWidth="1"/>
    <col min="40" max="40" width="7.28515625" style="18" bestFit="1" customWidth="1"/>
    <col min="41" max="16384" width="9.140625" style="18"/>
  </cols>
  <sheetData>
    <row r="1" spans="1:40" ht="22.5" x14ac:dyDescent="0.3">
      <c r="A1" s="16" t="s">
        <v>2</v>
      </c>
      <c r="B1" s="16" t="s">
        <v>75</v>
      </c>
      <c r="C1" s="23"/>
    </row>
    <row r="2" spans="1:40" ht="22.5" x14ac:dyDescent="0.3">
      <c r="A2" s="16" t="s">
        <v>3</v>
      </c>
      <c r="C2" s="24"/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83</v>
      </c>
      <c r="G4" s="18" t="s">
        <v>82</v>
      </c>
      <c r="H4" s="18" t="s">
        <v>79</v>
      </c>
      <c r="I4" s="18" t="s">
        <v>25</v>
      </c>
      <c r="J4" s="18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SUM(ГодИтоги[Всего])</f>
        <v>0</v>
      </c>
      <c r="G5" s="18">
        <f>GETPIVOTDATA("Значения услуг",$A$11,"Услуги","Итого")</f>
        <v>0</v>
      </c>
      <c r="H5" s="18">
        <f>ГодВсего[б/пл.]+ГодВсего[пл.]</f>
        <v>0</v>
      </c>
      <c r="I5" s="18">
        <f>SUM(ГодИтоги[б/пл.])</f>
        <v>0</v>
      </c>
      <c r="J5" s="18">
        <f>SUM(ГодИтоги[пл.])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  <c r="F7" s="21" t="s">
        <v>86</v>
      </c>
      <c r="H7" s="18" t="s">
        <v>24</v>
      </c>
      <c r="I7" s="18" t="s">
        <v>84</v>
      </c>
      <c r="J7" s="18" t="s">
        <v>85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  <c r="F8" s="20"/>
      <c r="H8" s="18">
        <f>GETPIVOTDATA("Значения услуг",$A$11,"Услуги","Итого")</f>
        <v>0</v>
      </c>
      <c r="I8" s="18">
        <f>GETPIVOTDATA("Значения услуг",$A$11,"Услуги","сиделка")</f>
        <v>0</v>
      </c>
      <c r="J8" s="18">
        <f>Таблица15[Всего]-Таблица15[Сиделка]</f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</row>
    <row r="11" spans="1:40" x14ac:dyDescent="0.25">
      <c r="A11" s="25" t="s">
        <v>74</v>
      </c>
      <c r="B11" s="25"/>
      <c r="C11" s="26" t="s">
        <v>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</row>
    <row r="12" spans="1:40" ht="127.5" customHeight="1" x14ac:dyDescent="0.25">
      <c r="A12" s="27" t="s">
        <v>33</v>
      </c>
      <c r="B12" s="27" t="s">
        <v>35</v>
      </c>
      <c r="C12" s="28" t="s">
        <v>42</v>
      </c>
      <c r="D12" s="26" t="s">
        <v>41</v>
      </c>
      <c r="E12" s="29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</row>
    <row r="13" spans="1:40" x14ac:dyDescent="0.25">
      <c r="A13" s="27" t="s">
        <v>81</v>
      </c>
      <c r="B13" s="26"/>
      <c r="C13" s="30">
        <v>1</v>
      </c>
      <c r="D13" s="30">
        <v>0</v>
      </c>
      <c r="E13" s="31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0">
        <v>0</v>
      </c>
      <c r="AM13" s="30">
        <v>0</v>
      </c>
      <c r="AN13" s="30">
        <v>0</v>
      </c>
    </row>
    <row r="14" spans="1:40" x14ac:dyDescent="0.25">
      <c r="A14" s="27" t="s">
        <v>34</v>
      </c>
      <c r="B14" s="27"/>
      <c r="C14" s="30">
        <v>1</v>
      </c>
      <c r="D14" s="30">
        <v>0</v>
      </c>
      <c r="E14" s="31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</sheetData>
  <pageMargins left="0.7" right="0.7" top="0.75" bottom="0.75" header="0.3" footer="0.3"/>
  <pageSetup paperSize="9" orientation="portrait" horizontalDpi="0" verticalDpi="0" r:id="rId2"/>
  <drawing r:id="rId3"/>
  <tableParts count="4">
    <tablePart r:id="rId4"/>
    <tablePart r:id="rId5"/>
    <tablePart r:id="rId6"/>
    <tablePart r:id="rId7"/>
  </tablePart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update" Type="http://schemas.openxmlformats.org/officeDocument/2006/relationships/image" Target="images/btn-update.png"/><Relationship Id="select-list" Type="http://schemas.openxmlformats.org/officeDocument/2006/relationships/image" Target="images/select-list.png"/><Relationship Id="Periods" Type="http://schemas.openxmlformats.org/officeDocument/2006/relationships/image" Target="images/Periods.png"/><Relationship Id="btn-list" Type="http://schemas.openxmlformats.org/officeDocument/2006/relationships/image" Target="images/btn-list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resize" Type="http://schemas.openxmlformats.org/officeDocument/2006/relationships/image" Target="images/btn-resize.png"/><Relationship Id="btn-up" Type="http://schemas.openxmlformats.org/officeDocument/2006/relationships/image" Target="images/btn-up.png"/><Relationship Id="btn-config" Type="http://schemas.openxmlformats.org/officeDocument/2006/relationships/image" Target="images/btn-config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ocialControl" label="Управление услугами" getVisible="GetVisible" tag="XSocialControl">
        <group id="Transitions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MonthID" label="Месяцы" image="btn-list" onAction="MonthClick"/>
            <button id="onDurationID" label="Периоды" image="Periods" onAction="DurationClick"/>
            <button id="GYearsID" label="Год" imageMso="DatasheetView" onAction="YearsBtnClick"/>
          </menu>
          <button id="PrevID" label="Предыдущая" image="btn-prev" size="large" onAction="PrevClick"/>
          <button id="NextID" label="Следующая" image="btn-next" size="large" onAction="NextClick"/>
        </group>
        <group id="XTransitions" label="Перемещения по страницам" getVisible="GetterVisible" tag="XTran">
          <button id="XMain" label="Домой" image="Main" size="large" onAction="MainClick"/>
          <menu id="XSelectListID" label="Выбрать страницу" image="select-list" size="large">
            <button id="XMainID" label="Домой" image="Main" onAction="MainClick"/>
            <button id="XMonthID" label="Месяцы" image="btn-list" onAction="MonthClick"/>
            <button id="XDurationID" label="Периоды" image="Periods" onAction="DurationClick"/>
            <button id="XYearsID" label="Год" imageMso="DatasheetView" onAction="YearsBtnClick"/>
          </menu>
          <button id="XPrevID" label="Предыдущая" image="btn-prev" size="large" onAction="PrevClick"/>
          <button id="XNextID" label="Следующая" image="btn-next" size="large" onAction="NextClick"/>
        </group>
        <group id="TransitionsID" label="Перемещения по страницам" getVisible="GetterVisible" tag="MyTran">
          <button id="MyMain" label="Домой" image="Main" size="large" onAction="MainClick"/>
          <menu id="MySelectListID" label="Выбрать страницу" image="select-list" size="large">
            <button id="MyMainID" label="Домой" image="Main" onAction="MainClick"/>
            <button id="MyMonthID" label="Месяцы" image="btn-list" onAction="MonthClick"/>
            <button id="MyDurationID" label="Периоды" image="Periods" onAction="DurationClick"/>
            <button id="MyYearsID" label="Год" imageMso="DatasheetView" onAction="YearsBtnClick"/>
          </menu>
          <button id="MyBtnUpID" label="Вверх" image="btn-up" size="large" onAction="UpClick"/>
          <button id="MyBtnDownID" label="Вниз" image="btn-down" size="large" onAction="DownClick"/>
          <button id="MyPrevID" label="Предыдущая" image="btn-prev" size="large" onAction="PrevClick"/>
          <button id="MyNextID" label="Следующая" image="btn-next" size="large" onAction="NextClick"/>
        </group>
        <group id="SocialEditorID" label="Редактирование" getVisible="GetterVisible" tag="MyEdit">
          <button id="BtnExpandID" label="Развернуть" imageMso="PivotExpandField" size="large" onAction="BtnExpandClick"/>
          <button id="BtnCollapseID" label="Свернуть" imageMso="PivotCollapseField" size="large" onAction="BtnCollapseClick"/>
          <button id="BtnFitSizesID" label="Подогнать размеры" image="btn-resize" size="large" onAction="BtnFitSizesClick"/>
          <button id="MyUpdateMonth" label="Обновить" image="btn-update" size="large" onAction="UpdateClick"/>
        </group>
        <group id="MyConfigurationID" label="Настройки" getVisible="GetterVisible" tag="GConf">
          <button id="MyBtnConfID" label="Настройки" image="btn-config" size="large" onAction="ConfigClick"/>
        </group>
        <group id="ConfigurationID" label="Настройки" getVisible="GetterVisible" tag="MyConf">
          <button id="BtnConfID" label="Настройки" image="btn-config" size="large" onAction="ConfigClick"/>
        </group>
        <group id="XConfigurationID" label="Настройки" getVisible="GetterVisible" tag="XConf">
          <button id="XBtnConfID" label="Настройки" image="btn-config" size="large" onAction="Config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E39C89-9F8E-451D-A17A-9DBE585F79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Настройки</vt:lpstr>
      <vt:lpstr>Главная</vt:lpstr>
      <vt:lpstr>Месяцы</vt:lpstr>
      <vt:lpstr>Период</vt:lpstr>
      <vt:lpstr>Год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cp:lastPrinted>2024-06-10T12:16:53Z</cp:lastPrinted>
  <dcterms:created xsi:type="dcterms:W3CDTF">2006-09-16T00:00:00Z</dcterms:created>
  <dcterms:modified xsi:type="dcterms:W3CDTF">2024-06-18T13:42:25Z</dcterms:modified>
</cp:coreProperties>
</file>