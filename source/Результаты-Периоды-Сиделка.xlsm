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Definition2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slicerCaches/slicerCache1.xml" ContentType="application/vnd.ms-excel.slicerCache+xml"/>
  <Override PartName="/xl/slicerCaches/slicerCache2.xml" ContentType="application/vnd.ms-excel.slicerCache+xml"/>
  <Override PartName="/xl/slicerCaches/slicerCache3.xml" ContentType="application/vnd.ms-excel.slicerCache+xml"/>
  <Override PartName="/xl/slicerCaches/slicerCache4.xml" ContentType="application/vnd.ms-excel.slicerCache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queryTables/queryTable1.xml" ContentType="application/vnd.openxmlformats-officedocument.spreadsheetml.queryTable+xml"/>
  <Override PartName="/xl/tables/table5.xml" ContentType="application/vnd.openxmlformats-officedocument.spreadsheetml.table+xml"/>
  <Override PartName="/xl/slicers/slicer1.xml" ContentType="application/vnd.ms-excel.slicer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queryTables/queryTable2.xml" ContentType="application/vnd.openxmlformats-officedocument.spreadsheetml.queryTable+xml"/>
  <Override PartName="/xl/tables/table8.xml" ContentType="application/vnd.openxmlformats-officedocument.spreadsheetml.table+xml"/>
  <Override PartName="/xl/slicers/slicer2.xml" ContentType="application/vnd.ms-excel.slicer+xml"/>
  <Override PartName="/xl/pivotTables/pivotTable3.xml" ContentType="application/vnd.openxmlformats-officedocument.spreadsheetml.pivotTable+xml"/>
  <Override PartName="/xl/drawings/drawing3.xml" ContentType="application/vnd.openxmlformats-officedocument.drawing+xml"/>
  <Override PartName="/xl/tables/table9.xml" ContentType="application/vnd.openxmlformats-officedocument.spreadsheetml.table+xml"/>
  <Override PartName="/xl/queryTables/queryTable3.xml" ContentType="application/vnd.openxmlformats-officedocument.spreadsheetml.queryTable+xml"/>
  <Override PartName="/xl/tables/table10.xml" ContentType="application/vnd.openxmlformats-officedocument.spreadsheetml.table+xml"/>
  <Override PartName="/xl/slicers/slicer3.xml" ContentType="application/vnd.ms-excel.slicer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customUI2010RelID" Type="http://schemas.microsoft.com/office/2007/relationships/ui/extensibility" Target="customUI/customUI14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ЭтаКнига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D:\Загрузки\Разработка\Social_Develop\social-services-2025\"/>
    </mc:Choice>
  </mc:AlternateContent>
  <bookViews>
    <workbookView xWindow="240" yWindow="105" windowWidth="14805" windowHeight="8025" activeTab="2"/>
  </bookViews>
  <sheets>
    <sheet name="Настройки" sheetId="2" r:id="rId1"/>
    <sheet name="Главная" sheetId="3" r:id="rId2"/>
    <sheet name="Месяцы" sheetId="1" r:id="rId3"/>
    <sheet name="Период" sheetId="9" r:id="rId4"/>
    <sheet name="Год" sheetId="8" r:id="rId5"/>
  </sheets>
  <functionGroups builtInGroupCount="18"/>
  <definedNames>
    <definedName name="ExternalData_1" localSheetId="4" hidden="1">Год!$A$4:$D$5</definedName>
    <definedName name="ExternalData_1" localSheetId="2" hidden="1">Месяцы!$A$4:$D$5</definedName>
    <definedName name="ExternalData_1" localSheetId="3" hidden="1">Период!$A$4:$D$5</definedName>
    <definedName name="ExternalData_2" localSheetId="2" hidden="1">Месяцы!#REF!</definedName>
    <definedName name="СписокФайлов">OFFSET(Настройки!$E$2,0,0,COUNTIF(Настройки!$E:$E,"*")-1,1)</definedName>
    <definedName name="Срез_Признак_учета">#N/A</definedName>
    <definedName name="Срез_Соц._Работник">#N/A</definedName>
    <definedName name="Срез_Соц._Работник1">#N/A</definedName>
    <definedName name="Срез_Соц._Работник5">#N/A</definedName>
  </definedNames>
  <calcPr calcId="152511"/>
  <pivotCaches>
    <pivotCache cacheId="22" r:id="rId6"/>
    <pivotCache cacheId="23" r:id="rId7"/>
    <pivotCache cacheId="21" r:id="rId8"/>
  </pivotCaches>
  <extLst>
    <ext xmlns:x14="http://schemas.microsoft.com/office/spreadsheetml/2009/9/main" uri="{BBE1A952-AA13-448e-AADC-164F8A28A991}">
      <x14:slicerCaches>
        <x14:slicerCache r:id="rId9"/>
        <x14:slicerCache r:id="rId10"/>
        <x14:slicerCache r:id="rId11"/>
        <x14:slicerCache r:id="rId12"/>
      </x14:slicerCaches>
    </ext>
    <ext xmlns:x14="http://schemas.microsoft.com/office/spreadsheetml/2009/9/main" uri="{79F54976-1DA5-4618-B147-4CDE4B953A38}">
      <x14:workbookPr/>
    </ext>
  </extLst>
</workbook>
</file>

<file path=xl/calcChain.xml><?xml version="1.0" encoding="utf-8"?>
<calcChain xmlns="http://schemas.openxmlformats.org/spreadsheetml/2006/main">
  <c r="F5" i="8" l="1"/>
  <c r="F5" i="9"/>
  <c r="F5" i="1"/>
  <c r="G5" i="1"/>
  <c r="G5" i="9"/>
  <c r="G5" i="8"/>
  <c r="J5" i="8" l="1"/>
  <c r="I5" i="8"/>
  <c r="J5" i="1"/>
  <c r="I5" i="1"/>
  <c r="J5" i="9"/>
  <c r="I5" i="9"/>
  <c r="H5" i="9" l="1"/>
  <c r="H5" i="8"/>
  <c r="H5" i="1"/>
  <c r="A5" i="2"/>
</calcChain>
</file>

<file path=xl/connections.xml><?xml version="1.0" encoding="utf-8"?>
<connections xmlns="http://schemas.openxmlformats.org/spreadsheetml/2006/main">
  <connection id="1" name="Запрос — SelectMonth" description="Соединение с запросом &quot;SelectMonth&quot; в книге." type="5" refreshedVersion="0" background="1">
    <dbPr connection="provider=Microsoft.Mashup.OleDb.1;data source=$EmbeddedMashup(d7540571-a233-4762-89dc-2afa2fa4f3fd)$;location=SelectMonth;extended properties=&quot;UEsDBBQAAgAIAOCIOVgxQeUkqgAAAPoAAAASABwAQ29uZmlnL1BhY2thZ2UueG1sIKIYACigFAAAAAAAAAAAAAAAAAAAAAAAAAAAAIWPQQ6CMBREr0K657eFYIR8ysKtJEajcdtAhUYohhbhbi48klfQRDHu3M28vMXM43bHbGob76p6qzuTEg6MeMoUXalNlZLBnfwlyQRuZHGWlfJesrHJZMuU1M5dEkrHcYQxhK6vaMAYp8d8vStq1UrylfV/2dfGOmkKRQQe3mNEAFEMEQ8jCBhHOmPMtZkzhwjCIF4AQ/qDcTU0buiV6Ad/u0c6V6SfH+IJUEsDBBQAAgAIAOCIOVgPyumrpAAAAOkAAAATABwAW0NvbnRlbnRfVHlwZXNdLnhtbCCiGAAooBQAAAAAAAAAAAAAAAAAAAAAAAAAAABtjksOwjAMRK8SeZ+6sEAINWUB3IALRMH9iOajxkXhbCw4ElcgbXeIpWfmeebzelfHZAfxoDH23inYFCUIcsbfetcqmLiRezjW1fUZKIocdVFBxxwOiNF0ZHUsfCCXncaPVnM+xxaDNnfdEm7LcofGOybHkucfUFdnavQ0sLikLK+1GQdxWnNzlQKmxLjI+JewP3kdwtAbzdnEJG2UdiFxGV5/AVBLAwQUAAIACADgiDlY0FtOBwkBAACQAQAAEwAcAEZvcm11bGFzL1NlY3Rpb24xLm0gohgAKKAUAAAAAAAAAAAAAAAAAAAAAAAAAAAAXVA/awIxFJ8N+B1Cpjs4jnaW6yJ1a4er0OG4IZ4PTkwvcokoiIMUujh06ditQ9dCEYRiP8PLN+o7Y6t2SvL79/J7Bgo70hW/8+dlp83azJSyhiFhitAbXdmSJzwYSiv9QxpuYW5DnlwxBZa19rAh0fW8ABV3p3UNlb3X9Xig9TgIF9mtfIBE4Ctu3Mo9uye3Fvky65KPhHnEWumkT5EUIfDNrfDLPeInboVnZvqPfMEP3OHOrXHTkA1ONFHNLU5homQBx79G3AdHXIiQ9L2pUgfRf88hau/wA39N5mwRfTlQEPvlpHpmAt8+4iCLkgfZacmc9Ccjw3BxsczwHbdNRfzO2ag6i+/8AFBLAQItABQAAgAIAOCIOVgxQeUkqgAAAPoAAAASAAAAAAAAAAAAAAAAAAAAAABDb25maWcvUGFja2FnZS54bWxQSwECLQAUAAIACADgiDlYD8rpq6QAAADpAAAAEwAAAAAAAAAAAAAAAAD2AAAAW0NvbnRlbnRfVHlwZXNdLnhtbFBLAQItABQAAgAIAOCIOVjQW04HCQEAAJABAAATAAAAAAAAAAAAAAAAAOcBAABGb3JtdWxhcy9TZWN0aW9uMS5tUEsFBgAAAAADAAMAwgAAAD0DAAAAAA==&quot;" command="SELECT * FROM [SelectMonth]"/>
  </connection>
  <connection id="2" name="Запрос — SelectServices" description="Соединение с запросом &quot;SelectServices&quot; в книге." type="5" refreshedVersion="0" background="1">
    <dbPr connection="provider=Microsoft.Mashup.OleDb.1;data source=$EmbeddedMashup(d7540571-a233-4762-89dc-2afa2fa4f3fd)$;location=SelectServices;extended properties=&quot;UEsDBBQAAgAIACt+OlgxQeUkqgAAAPoAAAASABwAQ29uZmlnL1BhY2thZ2UueG1sIKIYACigFAAAAAAAAAAAAAAAAAAAAAAAAAAAAIWPQQ6CMBREr0K657eFYIR8ysKtJEajcdtAhUYohhbhbi48klfQRDHu3M28vMXM43bHbGob76p6qzuTEg6MeMoUXalNlZLBnfwlyQRuZHGWlfJesrHJZMuU1M5dEkrHcYQxhK6vaMAYp8d8vStq1UrylfV/2dfGOmkKRQQe3mNEAFEMEQ8jCBhHOmPMtZkzhwjCIF4AQ/qDcTU0buiV6Ad/u0c6V6SfH+IJUEsDBBQAAgAIACt+OlgPyumrpAAAAOkAAAATABwAW0NvbnRlbnRfVHlwZXNdLnhtbCCiGAAooBQAAAAAAAAAAAAAAAAAAAAAAAAAAABtjksOwjAMRK8SeZ+6sEAINWUB3IALRMH9iOajxkXhbCw4ElcgbXeIpWfmeebzelfHZAfxoDH23inYFCUIcsbfetcqmLiRezjW1fUZKIocdVFBxxwOiNF0ZHUsfCCXncaPVnM+xxaDNnfdEm7LcofGOybHkucfUFdnavQ0sLikLK+1GQdxWnNzlQKmxLjI+JewP3kdwtAbzdnEJG2UdiFxGV5/AVBLAwQUAAIACAArfjpYQToyWT8CAAALBgAAEwAcAEZvcm11bGFzL1NlY3Rpb24xLm0gohgAKKAUAAAAAAAAAAAAAAAAAAAAAAAAAAAApVTLbtNAFN1H6j+MzMaWrArYVkFCoYgVQi0Si8iLaTJSrToeZDslUhSpSaFIJOxYsCuQH0gLUU0ezS/c+SOOx2lsghEl9WZmzp177zlnxhOKWuRKn+2n44OdrdJWKTzkgagD84Dui+DYrYmQlZkZpoisudxjPGSRaEUWKz8qeSIqMXz0WXVVj67Ve5pTTBMk7bZqwtt+JYOjAymPzKeuJ7Yr0o+EH4VmGqw0gwDL1R6rXX3OG6Js0DmN1AmNaEZj1VMnqm84neoy22nf71TpXJ0iMmDoRTGav6Nr+kFz1acZw2QEHnrhWDbzm55nsyhoCsvWdO8Z9DWpi5wJxUx1GS2wipN+SBzfJDP1FuBUDZabZwaEveQHkJKatCffhOa6eJsJXjtkphbjIAPdaJGw1P2GGKfqlL4bVkbnE0QCQvqYYZIImK54ANINAF2oM5ixxqIivWbDD83NZdlt4wmPuNHJMULgAjQuUyIolRBQA7rCeInz6QFOanSTZvSTJfvVB4AT1csYPq7XU3rmf6u0mdaTIrgIZ8bS2bTyi0A2ZCSeCV4XQWhWEwFOztLhrV3cEw15LHIu3k17gZlfUOwKmWP4Pdc3t48s9VHX16ejemxN7Irebus19+t6nln5T3VF7rWN7PZRrLd8A/8FDiMHd269MROoo6qfi+ftlQGOKOfvJnbA1SIOCbVhMafN/oWHhf94scSb+4jnUL9t3IW+ap6PY7P842mtOfa7FjS+A239LP5Z1Sm5vu75l6Y7vwBQSwECLQAUAAIACAArfjpYMUHlJKoAAAD6AAAAEgAAAAAAAAAAAAAAAAAAAAAAQ29uZmlnL1BhY2thZ2UueG1sUEsBAi0AFAACAAgAK346WA/K6aukAAAA6QAAABMAAAAAAAAAAAAAAAAA9gAAAFtDb250ZW50X1R5cGVzXS54bWxQSwECLQAUAAIACAArfjpYQToyWT8CAAALBgAAEwAAAAAAAAAAAAAAAADnAQAARm9ybXVsYXMvU2VjdGlvbjEubVBLBQYAAAAAAwADAMIAAABzBAAAAAA=&quot;" command="SELECT * FROM [SelectServices]"/>
  </connection>
  <connection id="3" name="Запрос — ГодДанные" description="Соединение с запросом &quot;ГодДанные&quot; в книге." type="5" refreshedVersion="5">
    <dbPr connection="provider=Microsoft.Mashup.OleDb.1;data source=$EmbeddedMashup(d7540571-a233-4762-89dc-2afa2fa4f3fd)$;location=ГодДанные;extended properties=&quot;UEsDBBQAAgAIAOCIOVgxQeUkqgAAAPoAAAASABwAQ29uZmlnL1BhY2thZ2UueG1sIKIYACigFAAAAAAAAAAAAAAAAAAAAAAAAAAAAIWPQQ6CMBREr0K657eFYIR8ysKtJEajcdtAhUYohhbhbi48klfQRDHu3M28vMXM43bHbGob76p6qzuTEg6MeMoUXalNlZLBnfwlyQRuZHGWlfJesrHJZMuU1M5dEkrHcYQxhK6vaMAYp8d8vStq1UrylfV/2dfGOmkKRQQe3mNEAFEMEQ8jCBhHOmPMtZkzhwjCIF4AQ/qDcTU0buiV6Ad/u0c6V6SfH+IJUEsDBBQAAgAIAOCIOVgPyumrpAAAAOkAAAATABwAW0NvbnRlbnRfVHlwZXNdLnhtbCCiGAAooBQAAAAAAAAAAAAAAAAAAAAAAAAAAABtjksOwjAMRK8SeZ+6sEAINWUB3IALRMH9iOajxkXhbCw4ElcgbXeIpWfmeebzelfHZAfxoDH23inYFCUIcsbfetcqmLiRezjW1fUZKIocdVFBxxwOiNF0ZHUsfCCXncaPVnM+xxaDNnfdEm7LcofGOybHkucfUFdnavQ0sLikLK+1GQdxWnNzlQKmxLjI+JewP3kdwtAbzdnEJG2UdiFxGV5/AVBLAwQUAAIACADgiDlYqZks8hMEAAD0EAAAEwAcAEZvcm11bGFzL1NlY3Rpb24xLm0gohgAKKAUAAAAAAAAAAAAAAAAAAAAAAAAAAAAvVddTxNBFH0n4T9M1pc2WRurPkl4MPjxoNEEND40jSl0DI3tLtkPP9I0ERBNBMUoicQoSPDdAlYLlPIXZv6R587u0m0ju90WhQd2d+7cOefec+8dbD7jlEyDTXl/s2OjI6Mj9mzB4kUmPoq2+CnWRF0ciSO5LBpsnJW5M8LwI9blvFwQbfkai01xgKXrz2Z4OfPAtB5Pm+bj1I1SmWcmTMPhhmOnvMUJ17LwemKTrubuFCp8XBOboi5f4KSWaMgF+UIua/lazt+dr16o5cSmXMTKCsNZoonDlxQ6wtVieAhAtvJpnRluuawzx3J5Wldwz2lii/xiz4FoMjnPxDHemnQeNjaCzUy+xMdDueIbtzQQu1eYBpUpXkaQJs2ndqqXvM54YWaWpXK3SkYxjx2a2qKlWcEo4jNxVJ/Fe7Er9kCEtocCqzHTYl1mhK5BQKLM1mBygOUdBCzScF2+i/NFJkfRJl+wtB9jACSRzL4iaqvxgDfEATLQh+EW5a4/0+8w3VUiiwnFDyzsKirdZumOmNawuCj2kPwGwwPJ7/BERfik5IFPO/IVpNyjoQmz7FYMOzW4KPWqdq3gFLRaB9E3QPgN2A2YHKlSWRb7TL5VuFpelJjadILm+rM56FM9e5BSiZnpzAOi+y49PxRKO7kzKnPyRhV8pu46UdruO1WTvGI+4aFU9R9gZAfdihL5G8fU0bBg/poam6hTykYDNB/U4XU49RC1rzDSgs/S+9YkfQagrhaLnUzFctH9Qup157erO25lmluZSdM1iqmcEiP1nJ9Keg30WXJ1HuDahH8eAoQbRoxYFkqlVeKVYWKbVjNaXmeXkDrn+RxHBybnIa5xaC9FhL7fOFHghyURzs+mSnbjpCLb1Bb6UI4BwYbgx1PXq9XTUnUGjEJdYg3LO51IBvYrUKoiB1hq6mAnWhL0TfbyDc0ZuZA9RYiJwkSMPqv3pqoJWiUu6iCPzS94Ig8oK7kslwK9ZkOzHEOUQnWM36bqib0nBl21A/mmZbpzqeFjoDNSGcbYK4SYmsIOnhe8i4BWw2pV65oaPvqHfmE4BCackjh1ZCMKI0Ec9CjUZySQiwN2KgqqNuHajlkJwuV5uW/MlZ6Yzl1nllsB7Vw4uvkoWiS1zaAeAugYtLgJrIsN5ErzSsSbKRpeP1EZkSzJg1wNFZiWYIhcjMjYkPHVe8SV9ALgBzn6ChDPL5yuwRNAy10JYJEZqP3PswbpNdm/NJskWTlLfn4jiqDoF9rtku1kptwK6up043z3WK+Fh+RQij6lYSSJua7+eSF57tEYOe6ai/QfZcC09IjlwjHyLvsJZxFDKzIwaHnZ5iwmZH3ffS7/q4ah+kW0zAe67GSHuO1c9m47cSmLxl1Lj5SMwZCP/QFQSwECLQAUAAIACADgiDlYMUHlJKoAAAD6AAAAEgAAAAAAAAAAAAAAAAAAAAAAQ29uZmlnL1BhY2thZ2UueG1sUEsBAi0AFAACAAgA4Ig5WA/K6aukAAAA6QAAABMAAAAAAAAAAAAAAAAA9gAAAFtDb250ZW50X1R5cGVzXS54bWxQSwECLQAUAAIACADgiDlYqZks8hMEAAD0EAAAEwAAAAAAAAAAAAAAAADnAQAARm9ybXVsYXMvU2VjdGlvbjEubVBLBQYAAAAAAwADAMIAAABHBgAAAAA=&quot;" command="SELECT * FROM [ГодДанные]"/>
  </connection>
  <connection id="4" keepAlive="1" name="Запрос — ГодИтоги" description="Соединение с запросом &quot;ГодИтоги&quot; в книге." type="5" refreshedVersion="5" background="1" saveData="1">
    <dbPr connection="provider=Microsoft.Mashup.OleDb.1;data source=$EmbeddedMashup(d7540571-a233-4762-89dc-2afa2fa4f3fd)$;location=ГодИтоги;extended properties=&quot;UEsDBBQAAgAIAOCIOVgxQeUkqgAAAPoAAAASABwAQ29uZmlnL1BhY2thZ2UueG1sIKIYACigFAAAAAAAAAAAAAAAAAAAAAAAAAAAAIWPQQ6CMBREr0K657eFYIR8ysKtJEajcdtAhUYohhbhbi48klfQRDHu3M28vMXM43bHbGob76p6qzuTEg6MeMoUXalNlZLBnfwlyQRuZHGWlfJesrHJZMuU1M5dEkrHcYQxhK6vaMAYp8d8vStq1UrylfV/2dfGOmkKRQQe3mNEAFEMEQ8jCBhHOmPMtZkzhwjCIF4AQ/qDcTU0buiV6Ad/u0c6V6SfH+IJUEsDBBQAAgAIAOCIOVgPyumrpAAAAOkAAAATABwAW0NvbnRlbnRfVHlwZXNdLnhtbCCiGAAooBQAAAAAAAAAAAAAAAAAAAAAAAAAAABtjksOwjAMRK8SeZ+6sEAINWUB3IALRMH9iOajxkXhbCw4ElcgbXeIpWfmeebzelfHZAfxoDH23inYFCUIcsbfetcqmLiRezjW1fUZKIocdVFBxxwOiNF0ZHUsfCCXncaPVnM+xxaDNnfdEm7LcofGOybHkucfUFdnavQ0sLikLK+1GQdxWnNzlQKmxLjI+JewP3kdwtAbzdnEJG2UdiFxGV5/AVBLAwQUAAIACADgiDlYsuVR5nIFAABEHAAAEwAcAEZvcm11bGFzL1NlY3Rpb24xLm0gohgAKKAUAAAAAAAAAAAAAAAAAAAAAAAAAAAAvVlNbxtFGL5H6n8YbS62tBjWaXqpekChUKBqUQLiEFnIiQfFqr0brdellWUpH5BKJBAEkcgBEkK54zix6qax8xdm/xHvO7v2ztrr2VmvQ3Kwd+edmef9euaZpEbXnbJlkhXv07h/Z+7OXG2jaNMSYb+xPrtkx+4OfF6wLnlAKtSZI/ADL7fxtfuK9ViXXcHQwxfrtJL72rKfrVnWs8zH5QrNLVmmQ02nlvEGl+q2DY9Dm2xj9UmxSh9o7JS13C3WYtes4+64W+6+Vmiu+rMLjQ+aq+zU3YWRAwJ7sS5s/gPH1nP32TWBLy3AwR8KWZ2Y9UpFJ45dp1mdw53X2BmuC3OuwA93m7AbeOrifjCxM5hM3O/h5Tv3wDe+1sCxL4tr4MoKrUCIlq3vaplR53VCi+sbJLP6edksFWCGxqdoWVI0S/AafeSv2S+szS7AEZx+NMTc0Yhlk5AZousgEJnZEZhcwfA5BExqeOz+HLcWmvTkJn/A0NsYA0Ai9exPiNphPOATdgUZUDA8w9ypmf4Dpm1eZDGh+BcG2tyVsFk2KKbXvOLeDQunQ7yKgFfn7h5U77BslmnVek6XrEq9atYy09eh3tAQoaYT7VOHVvETqw0/H5VLJWpqzQDeXwDuDfjQgck93jf77C1xf+KIr72QkY+KTjHA+fDFJhQr/+6Bzai4CbvzZXR/FW8qAq0pzcfOxgWwadOuoJ4dQ5Ie9dBBRoCUMHlvYJ8W8BKYv0L+Yi0MzJA3+/zpjHf0Jc9yB1gM4bwHG/Vx2jbkepddEFyIGFAUOIrL5Qh7jaM5Mb1nwCFbYH8Dv11eH+2gTLmvgwoLHP3EtuqbKhE1AG0D9+i7e7A7xuMcvu94VKc1YbShhfrCp79vgHFfblLi4H7Npno68rJuUXdVl6EO0ByB+TkMtz1Eg1gfQBb54jCHEy9EHVaF3KO9+yNSrbsjVM6HpZJ6o+SxBJbqNceqDsLlrfKVuVl+bjlPnQ1qD9xeFaNbkLmFdXU6KJUBdOAV4LpjdgK50rzqwdrCCGnsd6wwrFJcwT0Uai8JvS1IMpYyvvpIcSVlNT/I6XhtIZSu6ROAw6EEEGkGmv/nXtPQiRHBJ0myMkv/fCKSuOg32uNyzcmt1KvQV5ON8QDi7GXWq2vUTkJfd2dCX4aUv+IaPUD7K3jUwUOHN57gIYrrKY6Du17SIiIvHm/pA+27F00TLffQAOjz2qjy1lLKeyNa38dhmU7wizGUCH6JWVjwSwwHgj/GpCc38QS/3IALfomJKPglZmHBLzEcFfwS07DglxiKgl80S3AiLs5c8Ru3JPmNlGfjYlrRv5he9S9Gyv7g7xRq1JcgZJM48Px92ArE+RgDzgdjAeNZJvWO+IlzIiaoEmT+VghyYSqCzA8JUmxcPAK3OYJhJMUWO+InJQQX072rfMH2YKVutwVsN17Ws7or5CfcFZL56V0d/TdQqnvh+8MXtlW1HPqIFkvUhqtD0qvwvdtS8vmoeCp13Ii76djqXmQAG+NS+W/w4EbkjK4vx1UMAw/5qLsvylAhwJZdCq55U8YDZWIEhjF5rEgbCx5tyGXj0L0TP8GXAKAnBB1Wb/FG60P4heZ8QmsOLX1mlXmyIoKjj/FqLODxKVrsHE1HDHh65h7Tb52ndYfaScsydg95pSqGLlD6Mm9ISH83R5/Fv3rvggfXrDXLM1ER4ISWagjVFnF1GLohuZKdcnwdpHXsd+4i1JXUxWVqwlkUOidkodEbin0mwFJLsTGpPeT6ZbzskwUium3Up8+igZJnLUUrGX4vqbtIQqXZHH0eqz9+se/DcX4IUPr+dTfu3wHTnQEpEo1REBtOVK2+4mxm58rm1M7d/w9QSwECLQAUAAIACADgiDlYMUHlJKoAAAD6AAAAEgAAAAAAAAAAAAAAAAAAAAAAQ29uZmlnL1BhY2thZ2UueG1sUEsBAi0AFAACAAgA4Ig5WA/K6aukAAAA6QAAABMAAAAAAAAAAAAAAAAA9gAAAFtDb250ZW50X1R5cGVzXS54bWxQSwECLQAUAAIACADgiDlYsuVR5nIFAABEHAAAEwAAAAAAAAAAAAAAAADnAQAARm9ybXVsYXMvU2VjdGlvbjEubVBLBQYAAAAAAwADAMIAAACmBwAAAAA=&quot;" command="SELECT * FROM [ГодИтоги]"/>
  </connection>
  <connection id="5" name="Запрос — МесяцыДанные" description="Соединение с запросом &quot;МесяцыДанные&quot; в книге." type="5" refreshedVersion="5">
    <dbPr connection="provider=Microsoft.Mashup.OleDb.1;data source=$EmbeddedMashup(d7540571-a233-4762-89dc-2afa2fa4f3fd)$;location=МесяцыДанные;extended properties=UEsDBBQAAgAIAOCIOVgxQeUkqgAAAPoAAAASABwAQ29uZmlnL1BhY2thZ2UueG1sIKIYACigFAAAAAAAAAAAAAAAAAAAAAAAAAAAAIWPQQ6CMBREr0K657eFYIR8ysKtJEajcdtAhUYohhbhbi48klfQRDHu3M28vMXM43bHbGob76p6qzuTEg6MeMoUXalNlZLBnfwlyQRuZHGWlfJesrHJZMuU1M5dEkrHcYQxhK6vaMAYp8d8vStq1UrylfV/2dfGOmkKRQQe3mNEAFEMEQ8jCBhHOmPMtZkzhwjCIF4AQ/qDcTU0buiV6Ad/u0c6V6SfH+IJUEsDBBQAAgAIAOCIOVgPyumrpAAAAOkAAAATABwAW0NvbnRlbnRfVHlwZXNdLnhtbCCiGAAooBQAAAAAAAAAAAAAAAAAAAAAAAAAAABtjksOwjAMRK8SeZ+6sEAINWUB3IALRMH9iOajxkXhbCw4ElcgbXeIpWfmeebzelfHZAfxoDH23inYFCUIcsbfetcqmLiRezjW1fUZKIocdVFBxxwOiNF0ZHUsfCCXncaPVnM+xxaDNnfdEm7LcofGOybHkucfUFdnavQ0sLikLK+1GQdxWnNzlQKmxLjI+JewP3kdwtAbzdnEJG2UdiFxGV5/AVBLAwQUAAIACADgiDlYtBu+G7gCAAAZCAAAEwAcAEZvcm11bGFzL1NlY3Rpb24xLm0gohgAKKAUAAAAAAAAAAAAAAAAAAAAAAAAAAAAzVTfa9NQGH0v7H+4xJcGQnF7HX2QOkUUBZ34UMrI1gsNS5OSpmNSAlvKNrCTgQgOEavou52zrm5t9y989z/yfEn6Y2PW6SbYl6T3++45557z3VTlim+5jngSP2fnZ1IzqWrJ9GRR0DvqqE21p7ZVk15Tm/rUx1tHZIUt/ZTAr2j65qJc97GkTbZoxqj8wHJWUV5YX5F2JlfzPOn4z1xvddl1V9N6Pf/QLMusRq+w7YAGamMMo7a0QpDPuY6PLYX6zSA/VlQYEzAACFhGJueWly1HputDZmMkMdDjLWumZ5mOn+y6Hlkt1Lt0hHqbjoVqqB3oDKmdqKR9iA6BsoOOLjqGvCPCO5YtMwlkNf07US1qg7BNPWZRG6p5gaAGKrsCXNQF+RYN6FsUTU/gZZhTr6AbwqnZtiF8ryYTh+gLyl+ZQ+1Ohrq0aC7bbNr589Tz93xZzg7DMO5bTjGrRd2s7DbWEydu8JQM4GgbBCfUob6gUyycgOkIT2YNsYz/apOOAf5DcL96gcVjFc5qnDQDZ24ViznXrpWd9HS9BibzLVPAiJ1ofEI0D2LYTTA16Dt4sB8UvSheQ0hzpSRm9ZHoj3QI9Aa0ngJmI1Y6ug+MGS1C8FjgXc+tVdJXP7Eh6ixgoLYzgj4Ah+cxjJ3XAlTr565erH4JmT6vSOGzmCAYn+VTNACRlAn9kUMHfNUnPH4sy+6ajG2upv/MB2Oaav16xmHuonG41BExFbla1XfLQ7tilKdOxVpz/Ud+SXrDY+cn3S1MOxaPWiuSz1+ARDp1BX2mfXofl3/xpUCQkJ3M4yHbp9Eb7uIGhld73J3UNf3ycc5NifOK5hvnJm8iVrbmCBAdnLcffYya2K5eRkQ9JlOhSBIY6VtYr5hOMXq/fJZzZ7L8R+lw8Uw6Ymo8wX8jRE9Zzt9kMv8TUEsBAi0AFAACAAgA4Ig5WDFB5SSqAAAA+gAAABIAAAAAAAAAAAAAAAAAAAAAAENvbmZpZy9QYWNrYWdlLnhtbFBLAQItABQAAgAIAOCIOVgPyumrpAAAAOkAAAATAAAAAAAAAAAAAAAAAPYAAABbQ29udGVudF9UeXBlc10ueG1sUEsBAi0AFAACAAgA4Ig5WLQbvhu4AgAAGQgAABMAAAAAAAAAAAAAAAAA5wEAAEZvcm11bGFzL1NlY3Rpb24xLm1QSwUGAAAAAAMAAwDCAAAA7AQAAAAA" command="SELECT * FROM [МесяцыДанные]"/>
  </connection>
  <connection id="6" keepAlive="1" name="Запрос — МесяцыИтоги" description="Соединение с запросом &quot;МесяцыИтоги&quot; в книге." type="5" refreshedVersion="5" background="1" saveData="1">
    <dbPr connection="provider=Microsoft.Mashup.OleDb.1;data source=$EmbeddedMashup(d7540571-a233-4762-89dc-2afa2fa4f3fd)$;location=МесяцыИтоги;extended properties=&quot;UEsDBBQAAgAIAOCIOVgxQeUkqgAAAPoAAAASABwAQ29uZmlnL1BhY2thZ2UueG1sIKIYACigFAAAAAAAAAAAAAAAAAAAAAAAAAAAAIWPQQ6CMBREr0K657eFYIR8ysKtJEajcdtAhUYohhbhbi48klfQRDHu3M28vMXM43bHbGob76p6qzuTEg6MeMoUXalNlZLBnfwlyQRuZHGWlfJesrHJZMuU1M5dEkrHcYQxhK6vaMAYp8d8vStq1UrylfV/2dfGOmkKRQQe3mNEAFEMEQ8jCBhHOmPMtZkzhwjCIF4AQ/qDcTU0buiV6Ad/u0c6V6SfH+IJUEsDBBQAAgAIAOCIOVgPyumrpAAAAOkAAAATABwAW0NvbnRlbnRfVHlwZXNdLnhtbCCiGAAooBQAAAAAAAAAAAAAAAAAAAAAAAAAAABtjksOwjAMRK8SeZ+6sEAINWUB3IALRMH9iOajxkXhbCw4ElcgbXeIpWfmeebzelfHZAfxoDH23inYFCUIcsbfetcqmLiRezjW1fUZKIocdVFBxxwOiNF0ZHUsfCCXncaPVnM+xxaDNnfdEm7LcofGOybHkucfUFdnavQ0sLikLK+1GQdxWnNzlQKmxLjI+JewP3kdwtAbzdnEJG2UdiFxGV5/AVBLAwQUAAIACADgiDlYpHJwmc8EAAAAFQAAEwAcAEZvcm11bGFzL1NlY3Rpb24xLm0gohgAKKAUAAAAAAAAAAAAAAAAAAAAAAAAAAAAvVhLTxtXFN4j5T9cTTe2NHVrk6wiFpWbNm1RUoVEXVhWNDC3YsR4Bo1nKJVlCUyTSoUIKYqULKpQmu5rSCwo2OYv3PuPes6dxx1sz8PGCQts38c533ce3xm7Sddcw7bIiv9avntr4dZCc11zqE7Yn6zHd/khf8732RveYUP2np2TJWJSd4HAn6652mO67cKSwl6xLhuwARztKWq0vWxYG7B9b3uNmqWq5zjUcn+ynY1V294oFFu1B1qDLinsJVw7YUO+I83wZ0q9XavalgtX6q0v2zWJpy4doAFwgDBKVbuxali00Ao9qxHEdtG/4tCmZ7oR6Hd8l13yPeSlxA9kWJVWQrtbmmNoVnhvPnSPYP+cncF+l10Qvsd/B/4d1g3YQ0p2MSmwPIBzF5HfyOE3hklLgclmIQvUEeuCwy7roxe+w/cnANqDnQMCvtg5OH8GFfFBpLxP4E2Y/369qBLLM02VuI5Hgwixf2H7FH3wg3ixPH2srZoYtFE+rdp3Lm0shUlWfzAsfUkRpxHZ17AeROIzSKTwf8l6oVniG4OlE6xfBbOJV0uPaMPeolXb9BpWs5COSm0piVlQVKifsCuG4tMxHO1hROB/D6KE7j8H60O8FhQaQUOkTNgV7qK5EvHLsKSExQR8jtl7gLQHp64g1Dtw9lSCE9zE4gXUbcTsW8f2Ngt5gqGSFroY8ufg/C84i8XY8cOutGG3NdLPhGpr6+QpJPTXTUpcdNeOoX0Ftk/g/KnvNCR3AGETwMF2Dz8DTUDM/iN4nv8Bixe8U5YMvtJ1PzGF6UIAwa96TdduhEh9c0+sTWPLdh+669QJE16LE6urKXHAjB6FSQo5gP6xf9gb9hbCNCIfCnuNucX6QAv8MJZ1pVjMXarlpFq9eaDVsbymlIFEjFtnYL4HAR8IDdgH0/yFANFHILxDggRE2O9tb2qWLt7LnGZzj6dy9uSoo9pOUrPT/pS+8ldCJaUSpsnJTapcopVPAFh1MUo4M2ZQoYqf4XjoAumJq6po52Wj6ZZWvAZ0b3JkceoIebK8xip1In0K6E3ukS4/LAN0Qe/a9FGkFEuhAQZAXgwEEeKIW5/w32ARrfqH+7EuXqEmPF09sn+BcZOFJSBcEEO5Lp5RjoX+7QoE72YRlMWUMpqVHJQUIsTywSmNrzif8fW+oevUUuY1HioJ4yGbdcJU+NGxG7ZL71NNpw4MBPEgMUU4b38sfa5gVBHNjNpbvqH43h4V31FV+xsgX8Ub/zxQzjwHJaXXgMIf7WdY9QQwwHF8I1UyFmLb0eX4njYiKH0T0Ixqdl6tqIRakSaFEdG3QW4/AIBBLOxgvSs6bQgJiD2aPqBNl+rf24ZIV54wqWMCmslg/IqSeUdRERQ2eGmZ/uw+9FzqTFmi2T7SizdnLOU4S2NDrg2Z9uhnSe0lXOrhYs6ZN6dQCEAJ3daKoZowHyMaSeMwixV+tQsjEetCC9Q+1oTpgVFbOdsub98tfpQZXZlpRi+OzWj5m8EUY+TO3KdyZbqpLJ/6xLMUApygvzNNkjvoUUwyNTDj30VwzXwG8AcHfzLPwURxSkkuJ2ly7s4ZV9msiCfrctKFeWnyTCWQN5DXv19MooFad/IFxPOyJE6LN+2E5eKCYc2R493/AVBLAQItABQAAgAIAOCIOVgxQeUkqgAAAPoAAAASAAAAAAAAAAAAAAAAAAAAAABDb25maWcvUGFja2FnZS54bWxQSwECLQAUAAIACADgiDlYD8rpq6QAAADpAAAAEwAAAAAAAAAAAAAAAAD2AAAAW0NvbnRlbnRfVHlwZXNdLnhtbFBLAQItABQAAgAIAOCIOVikcnCZzwQAAAAVAAATAAAAAAAAAAAAAAAAAOcBAABGb3JtdWxhcy9TZWN0aW9uMS5tUEsFBgAAAAADAAMAwgAAAAMHAAAAAA==&quot;" command="SELECT * FROM [МесяцыИтоги]"/>
  </connection>
  <connection id="7" name="Запрос — ПериодДанные" description="Соединение с запросом &quot;ПериодДанные&quot; в книге." type="5" refreshedVersion="5">
    <dbPr connection="provider=Microsoft.Mashup.OleDb.1;data source=$EmbeddedMashup(d7540571-a233-4762-89dc-2afa2fa4f3fd)$;location=ПериодДанные;extended properties=UEsDBBQAAgAIAINcPlgxQeUkqgAAAPoAAAASABwAQ29uZmlnL1BhY2thZ2UueG1sIKIYACigFAAAAAAAAAAAAAAAAAAAAAAAAAAAAIWPQQ6CMBREr0K657eFYIR8ysKtJEajcdtAhUYohhbhbi48klfQRDHu3M28vMXM43bHbGob76p6qzuTEg6MeMoUXalNlZLBnfwlyQRuZHGWlfJesrHJZMuU1M5dEkrHcYQxhK6vaMAYp8d8vStq1UrylfV/2dfGOmkKRQQe3mNEAFEMEQ8jCBhHOmPMtZkzhwjCIF4AQ/qDcTU0buiV6Ad/u0c6V6SfH+IJUEsDBBQAAgAIAINcPlgPyumrpAAAAOkAAAATABwAW0NvbnRlbnRfVHlwZXNdLnhtbCCiGAAooBQAAAAAAAAAAAAAAAAAAAAAAAAAAABtjksOwjAMRK8SeZ+6sEAINWUB3IALRMH9iOajxkXhbCw4ElcgbXeIpWfmeebzelfHZAfxoDH23inYFCUIcsbfetcqmLiRezjW1fUZKIocdVFBxxwOiNF0ZHUsfCCXncaPVnM+xxaDNnfdEm7LcofGOybHkucfUFdnavQ0sLikLK+1GQdxWnNzlQKmxLjI+JewP3kdwtAbzdnEJG2UdiFxGV5/AVBLAwQUAAIACACDXD5Yd287SdwFAAC9GwAAEwAcAEZvcm11bGFzL1NlY3Rpb24xLm0gohgAKKAUAAAAAAAAAAAAAAAAAAAAAAAAAAAAxVnfaxtHEH6OIP/Dcn2R4Coq2Xlp6kBxk1JoU7BT+iBEOVsXLCLdCd0pcREC22lsqNO6FENNSOKEFPpYWbZq2bHkf2HvP+rM7v3Yk317upPSxsSWd+e+/eab2Znds6Wv2lXTIMv8Z+H2zczNjLWmNfUKjNVg9BvTsNfIAslWNFvjv2gWsfV1O0cW7mRqup25wYYtMLq7vqrX8outZlM37O/N5qMV03yUzbVL97W6vqDQl7TvbDp7zrazq5Q7pUV4DgzLaubGUuMBQAKEQt85m/S985Qe04HCZ56Y/uQ+7dIhHTq7tI+TOA7TMIWf8kt6o6at6gFXlXBglShKDuzvtWo112j8GReKPcEX9B6yQkI80FZqep6Ls2Q+sbLce5Xo2uoayZZEJ8tgLyyZy7U/6ZToX3SALtJROVM1QvCi/PQQcDbogI7oieg2QKLoBP5NrzuiWLbWTO1d3Mr74ECXXsL/U3BkKK7OtHhFu84OzKIaV+Tx+JmN/4veCxwFyO0ocphpEcmJ0/QA2GzREfg4hKXOfUo+l3tVcMhd08rG8T0EuTZglQvgtOVshMPJCB46T2HmOYG1kKrzjOUPcrog8MEjeFHOqcSA1FSJ3WzpOU73I4W+RVx45pwOiLNJ6CXLQVgPdfAeJs5PMPjeee4aXyjXxWbceT9K6EyZKfYb7dFjYIx2onrEbJIIM7E8XDFDtn0kJkcLzCRo+2ByDihHoLMUL2woQTxwfo3j5pnEoAzjUYZylJfw9JkMgxvIEcBhadw8EwnKK8iPvXiNRTMJ2mt6Dik5AV7YUIL4FrN+MsxxUwnqn2DaYzs5Jh/ChhLEvwGhx+SW4olmIlouqAD7MMkGodfAhxNWnft+++F7GoaOWDsZ2/iLZq1VN6xs+kqithWkq0D3/QKKq9IJmP0OT5wifXi6S/AbkmHqDNhwH+C7zh6AAvEhhHgbauBewPHzSoUTzCb2E+jcb9VX9KbiljHheORWNFFDePIIAHscEpxHKNAc2wzqv8XrD0QA5KFnBO2dn7GQOFsRfNN6D8yXscV7xIN+PyO+hSiBpxKB0TYbAWv3FBCQfsc7MUBhxM6EiGHHxm4XWv9DsCwgza+skL7Vh7DhWKqUyZ0FUmKTZWKv6QbrtUSvWTp5qMH31L5ESZ5UEpd9ILNI/jNG3mzEcU+30QvXnhnSSOGfK7grWOjYmYZoRsUdZRFwh1NWuit8py51BVmtSwdZjBI1oauupOyChMdLrQqO8iqn+mfetEpeITm1kkVUMqQg3rrYEv5Sd9cbkA/sc8oeUPTjpLqYHAhlSS5yUcHzOsLhUXy2eEJdmbh/L+l187HuhcLXD4SFOwUG4RRbDlwr4By+g9cP2g33ZsT1dyUdfYqF8tz1gI8N8Dxyfd2aoP2yM9s4nJuovGTll8yWUcmWWB7hCf+EZU0fLkMI9TGQGyF999jDeigpeBUf3MoTXn3yCqT5HITF/rGhwzUJwSfXtBglagKZUPZpfRCiw98l9P2tNHLPEXEpYUAqCuzjPVfb7ahAzcChzoxOLMWINEwkE3r0gv0+YBsCZ9EXthD35p/gZObsOs+8bC0IZR7utSjVJXwNWDEbX9ErhwHlL5tmqzH10QWrGSYZXKy2QeI3eIGFz1v8rq50YLY99kqDs//B3RY2khFDEpcdc5J9kUAHVcZ6Rgkyl7JOzWFWLLbgsFr3eyhD+c5oVB+b9rdwkmp6bpdEdcsytzDVDr394FGHDgnXwwP6GmI19tZUoX+w+8EO3354J/A3mJKgO8xLIjalvupYcgmRe8Nex/XYXhyy11nsGPgLW+iCX7KJK7K8vcf7J4YrfQDU8dfWRBqBzn+5VppaU7im2CSJyiz9cwuRxEV3o31dtez8cqsO+yrauBxu6jPrKPMRBSOJ5ip7c4fpeYxt5DLUF/Glr3hJEzXir3YS9iJ+qSvwG12MZJPWi1sfql7Ms3oxWZonaeKFKQ47t/hhJy5ictqdHP4NKBXz2/8CUEsBAi0AFAACAAgAg1w+WDFB5SSqAAAA+gAAABIAAAAAAAAAAAAAAAAAAAAAAENvbmZpZy9QYWNrYWdlLnhtbFBLAQItABQAAgAIAINcPlgPyumrpAAAAOkAAAATAAAAAAAAAAAAAAAAAPYAAABbQ29udGVudF9UeXBlc10ueG1sUEsBAi0AFAACAAgAg1w+WHdvO0ncBQAAvRsAABMAAAAAAAAAAAAAAAAA5wEAAEZvcm11bGFzL1NlY3Rpb24xLm1QSwUGAAAAAAMAAwDCAAAAEAgAAAAA" command="SELECT * FROM [ПериодДанные]"/>
  </connection>
  <connection id="8" keepAlive="1" name="Запрос — ПериодИтоги" description="Соединение с запросом &quot;ПериодИтоги&quot; в книге." type="5" refreshedVersion="5" background="1" saveData="1">
    <dbPr connection="provider=Microsoft.Mashup.OleDb.1;data source=$EmbeddedMashup(d7540571-a233-4762-89dc-2afa2fa4f3fd)$;location=ПериодИтоги;extended properties=&quot;UEsDBBQAAgAIAAiCOlgxQeUkqgAAAPoAAAASABwAQ29uZmlnL1BhY2thZ2UueG1sIKIYACigFAAAAAAAAAAAAAAAAAAAAAAAAAAAAIWPQQ6CMBREr0K657eFYIR8ysKtJEajcdtAhUYohhbhbi48klfQRDHu3M28vMXM43bHbGob76p6qzuTEg6MeMoUXalNlZLBnfwlyQRuZHGWlfJesrHJZMuU1M5dEkrHcYQxhK6vaMAYp8d8vStq1UrylfV/2dfGOmkKRQQe3mNEAFEMEQ8jCBhHOmPMtZkzhwjCIF4AQ/qDcTU0buiV6Ad/u0c6V6SfH+IJUEsDBBQAAgAIAAiCOlgPyumrpAAAAOkAAAATABwAW0NvbnRlbnRfVHlwZXNdLnhtbCCiGAAooBQAAAAAAAAAAAAAAAAAAAAAAAAAAABtjksOwjAMRK8SeZ+6sEAINWUB3IALRMH9iOajxkXhbCw4ElcgbXeIpWfmeebzelfHZAfxoDH23inYFCUIcsbfetcqmLiRezjW1fUZKIocdVFBxxwOiNF0ZHUsfCCXncaPVnM+xxaDNnfdEm7LcofGOybHkucfUFdnavQ0sLikLK+1GQdxWnNzlQKmxLjI+JewP3kdwtAbzdnEJG2UdiFxGV5/AVBLAwQUAAIACAAIgjpYQVrKxi4HAAA+JwAAEwAcAEZvcm11bGFzL1NlY3Rpb24xLm0gohgAKKAUAAAAAAAAAAAAAAAAAAAAAAAAAAAA7VpbbxNHFH4mEv9hZF5saevWCTzRIFUp9EahSqj6YFnVEg+Khe21dtdAFVkioU2khjZVFalRBaQplfpYJ2BhIHb+wuw/6jkzu97Z+8VO24fmIbFnz5w55ztzrhuDrpoNrU1WxN/K5fNz5+eMNVWndVhrwurnWttcI4ukWFdNVXxRDWLSB2aJLF6Za1Jz7hxfNoDo6oNV2iwvdXWdts2vNP3ubU27WyytV2+oLbpYYE/YwNqwdq0ta6dQ61WXYB8Q1pS5c8udW8ASWBTYc2uDvbUesRdsWBBP7muTh3usz0ZsZO2wAT7EdXgMj/BTeZl2muoqdWVViGCskEKhBPTXus2mTeTfY7PiO8SBzibDA8Qt9XaTlgU4y9p9oyi0VwhVV9dIsSorWQN66chSaf29XpX9yYaoIhvX5hptD/sg/CtUv9dYpQhuURCuaKsNtRkwAoEftg8Hb7KxtQ0YDdmbiUUmprjWANlt2I1ikrkOWN96CICfgEab1kOv0bgqB9YjePKYwFmolPUdG7OX3DwnBD44tjqplRTSBiAUYupdCqCiuBcK7BD5wp43bEisDcJO4dsQz4ONA2czsb6FxbfWY5v4pBBmBr/yE4OgMjV+eQ7ZKYcez5vcskLJFWcPlOQXjw0IfEAF3k7kgCV+ACwd8Rvsk2JJa3ZbbaOYXy1lvfAh3NxCT5IIHhyBGMdCEGCFAliP2Sv4ewz22YRl5LGBh7HXBOmt72HxjbXpSvhBvS7EK2bWUiFcH7ECF2GrYCMrOH+hay3NpB9TtU51o1hFBWoSpM9To7hMW9o9KqE4ne4hYP4GzF7BzgHgPeI3dwd2WT9w/tw61ibxKTsR7+qDjtqu888ulInahaG37otxQPI7yH8KxpCWe6kJXQX5U2tHei7Dq+lgIgnfPHAAqmEyKL643ZvWxedDfTxcRec+YjTH6KQ2QL+qLE9NIXLwLPkQ8+oCB08hNg+LQa481JPoQ+XID3F3wE/DWLrP4QcSEMuJ89PnW+RimKqeO6slnbwH4vfBYfvcWUeBxPEU3Hebu864FkiLjnxa598S71dcxQsfJRxWGBFFCT7WqdFtmhElzf+pOjlV/wRx6QV6CNDJ8BJNJxFkMsgBMpSWJ4t4bi5ZDLc9zDDA5QhwjuXnJYzhuG/9mCSbQ5LAZZTMZRTP5Qnsfh3HQxDEcwCFY+3mkMRweQr3YzcZY5kshtszrAnS8PMSxnA8FAkyDU8/aQzXP4D0mHtywn3wEsZw/As4HHO4Y/nJZDK3/1R1jOJireEv7H6GHVjJoHZ9gr9QGI7OkC9jPdO3doEpCD4CE29BDNydVX18o9u6TXWnDpH6Zjuilc62ns+rPUi+gjWAI7hbEMxI3koUwNMV9ii21nGltssEqecQqRpYjURJuyHXsJjtPOefhZQVFPMTw4Nv4w44HL8qNXJlkVT5wxox12ib51pCmwYld1T4nVuXKMizQmJL78IsC/8+F17rJMmez9ErUaV/ZigmdYVQBQMdr2kINHL2KreAvZwz0gXknTrUVeJi3Yz7qYyqhvdaPMopk6I4L5IBIadGcj4wBsBxHD8ivrHPKLdjJ8XmKRghLNlBFj2kmKPMml/6uUwlajAzARBHAQfcCq8w50BfAYX4NvYfrM8HAk7rOranIFhav+TmGkAXgke9A746lhphnrxIxQm1wK5MhNuXPS4ANT8CcMrneQ9FOPbo4VwVV4mPdK3bSTOyqYgJzSHUlVtwOg5JjuDzpmhV+Fhm3dfyCZ/4GjqmbzqUmHher5ce6vmYGVgGVZU4qWeU0eej0ksaD1nqQq5ueceHX7Y7jXuaeRMSyWQ0VZXRrcWphffqwLkqjugQIKA63mfPwFa+1rvAfuHl0TYXdIglkTtGyuAcC2c1teTxynO5so4vbZCnG1sueMyV3wD+sSB+j7FA7588K084qYTEkyxWmaV+diCKUdF2tOsNwyyvdFvgV9HEmGp49GrzGi9L+Lo4k/BViY1fSY4ut4Ib8AySDnc8ecjal6dRqdPBxeDA3kZeTm8zATpnHxdV8scjEfEywdPDOi8ffcN0KVCKSfWAW3gMlt7FItzWO+ltj/91RG71U76T8JYkufx/PuQCZYaA36eIFz7rktlCrtVE/JhbZMszKY6D2oSbow3FZS7PxZyV8q2QI6bty+E5EUxcEe9gsvYm07VIC+Gz6iRRYzsi9z1Ahuri0szboIXcb0NxU2XKauJSUnuUzCCxI8rCwoXAfbmWLllkgCwqaxy9C0dBOxNw7gvuM9e7tTYVRVHknpANab1sXnhZpoAxge6ZXbS+hH0jCXY4rM9v5Rh2SgHmBjVMWv9Ua/ArEw+8EoAus5gBDlkZoKSfNdr18nV6x7zZNaleUs5n+0eCfJE41MVSoi3KpCxqEk/G6fm/SzpnzXOVuFx/BgD6TY5YyLlUdj3bbXol5618Lv0u/w1QSwECLQAUAAIACAAIgjpYMUHlJKoAAAD6AAAAEgAAAAAAAAAAAAAAAAAAAAAAQ29uZmlnL1BhY2thZ2UueG1sUEsBAi0AFAACAAgACII6WA/K6aukAAAA6QAAABMAAAAAAAAAAAAAAAAA9gAAAFtDb250ZW50X1R5cGVzXS54bWxQSwECLQAUAAIACAAIgjpYQVrKxi4HAAA+JwAAEwAAAAAAAAAAAAAAAADnAQAARm9ybXVsYXMvU2VjdGlvbjEubVBLBQYAAAAAAwADAMIAAABiCQAAAAA=&quot;" command="SELECT * FROM [ПериодИтоги]"/>
  </connection>
</connections>
</file>

<file path=xl/sharedStrings.xml><?xml version="1.0" encoding="utf-8"?>
<sst xmlns="http://schemas.openxmlformats.org/spreadsheetml/2006/main" count="246" uniqueCount="96">
  <si>
    <t>Путь к исходным данным</t>
  </si>
  <si>
    <t>Полный путь к этому документу</t>
  </si>
  <si>
    <t>Услуги</t>
  </si>
  <si>
    <t>Результаты</t>
  </si>
  <si>
    <t>Январь</t>
  </si>
  <si>
    <t>Расширение файла с данными</t>
  </si>
  <si>
    <t>.xlsm</t>
  </si>
  <si>
    <t>Управление</t>
  </si>
  <si>
    <t>Переходы по страницам (все названия кликабельны).</t>
  </si>
  <si>
    <t>Февраль</t>
  </si>
  <si>
    <t>Март</t>
  </si>
  <si>
    <t>Апрель</t>
  </si>
  <si>
    <t>Май</t>
  </si>
  <si>
    <t>Июнь</t>
  </si>
  <si>
    <t>Июль</t>
  </si>
  <si>
    <t>Август</t>
  </si>
  <si>
    <t>Сентябрь</t>
  </si>
  <si>
    <t>Октябрь</t>
  </si>
  <si>
    <t>Ноябрь</t>
  </si>
  <si>
    <t>Декабрь</t>
  </si>
  <si>
    <t>&lt;&lt; Настройки</t>
  </si>
  <si>
    <t>Список выбора файлов для подсчета итогов</t>
  </si>
  <si>
    <t>Выбор файла с данными</t>
  </si>
  <si>
    <t>Месяцы</t>
  </si>
  <si>
    <t>Всего</t>
  </si>
  <si>
    <t>б/пл.</t>
  </si>
  <si>
    <t>пл.</t>
  </si>
  <si>
    <t>Соц-медицинские</t>
  </si>
  <si>
    <t>Месяц</t>
  </si>
  <si>
    <t>Соц. Работник</t>
  </si>
  <si>
    <t>Общий итог</t>
  </si>
  <si>
    <t>Получатели ФИО</t>
  </si>
  <si>
    <t>Итого</t>
  </si>
  <si>
    <t>Количество обслуживаемых</t>
  </si>
  <si>
    <t>Среднее кол-во услуг на 1 получ. Усл.</t>
  </si>
  <si>
    <t xml:space="preserve"> Значения услуг</t>
  </si>
  <si>
    <t>Год</t>
  </si>
  <si>
    <t>Число</t>
  </si>
  <si>
    <t>Начало</t>
  </si>
  <si>
    <t>Конец</t>
  </si>
  <si>
    <t>Сумма</t>
  </si>
  <si>
    <t>Период</t>
  </si>
  <si>
    <t>Всего 2</t>
  </si>
  <si>
    <t>Всего 1</t>
  </si>
  <si>
    <t>Польщикова О.В.</t>
  </si>
  <si>
    <t>D:\Загрузки\Разработка\Social_Develop\social-services-2025\</t>
  </si>
  <si>
    <t>Услуги-Сиделка-2025</t>
  </si>
  <si>
    <t>Смена постельного белья</t>
  </si>
  <si>
    <t>Смена нательного белья</t>
  </si>
  <si>
    <t>Приготовление пищи</t>
  </si>
  <si>
    <t>Помощь при приготовлении пищи</t>
  </si>
  <si>
    <t>Подготовка и подача пищи</t>
  </si>
  <si>
    <t>Помощь при подготовке пищи к приему</t>
  </si>
  <si>
    <t>Кормление</t>
  </si>
  <si>
    <t>Помощь при приеме пищи</t>
  </si>
  <si>
    <t>Умывание</t>
  </si>
  <si>
    <t>Купание в кровати, включая мытье головы</t>
  </si>
  <si>
    <t>Купание в приспособленном помещении (месте), включая мытье головы</t>
  </si>
  <si>
    <t>Помощь при купании в приспособленном помещении (месте), включая мытье головы</t>
  </si>
  <si>
    <t>Гигиеническое обтирание</t>
  </si>
  <si>
    <t>Помощь при мытье головы</t>
  </si>
  <si>
    <t>Подмывание</t>
  </si>
  <si>
    <t>Гигиеническая обработка рук и ногтей</t>
  </si>
  <si>
    <t>Помощь при гигиенической обработке рук и ногтей</t>
  </si>
  <si>
    <t>Мытье ног</t>
  </si>
  <si>
    <t>Помощь при мытье ног</t>
  </si>
  <si>
    <t>Гигиеническая обработка ног и ногтей</t>
  </si>
  <si>
    <t>Помощь при гигиенической обработка ног и ногтей</t>
  </si>
  <si>
    <t>Гигиенииеское бритье</t>
  </si>
  <si>
    <t>Гигиеническая стрижка</t>
  </si>
  <si>
    <t>Смена одежды (обуви)</t>
  </si>
  <si>
    <t>Помощь при смене одежды (обуви)</t>
  </si>
  <si>
    <t>Помощь при смене нательного белья</t>
  </si>
  <si>
    <t>Помощь при смене постельного белья</t>
  </si>
  <si>
    <t>Смена абсорбирующего белья, включая гигиеническую обработку</t>
  </si>
  <si>
    <t>Помощь при смене абсорбирующего белья</t>
  </si>
  <si>
    <t>Помощь при пользовании туалетом, включая гигиеническую обработку</t>
  </si>
  <si>
    <t>Замена мочеприемника и (или) калоприемника, включая гигиеническую обработку</t>
  </si>
  <si>
    <t>Помощь при замене мочеприемника и (или) калоприемника</t>
  </si>
  <si>
    <t>Позиционирование</t>
  </si>
  <si>
    <t>Помощь при позиционировании</t>
  </si>
  <si>
    <t>Пересаживание</t>
  </si>
  <si>
    <t>Помощь при пересаживании.</t>
  </si>
  <si>
    <t>Помощь при передвижении по помещению, пересаживании</t>
  </si>
  <si>
    <t>Измерение температуры тела, артериального давления, пульса, сатурации</t>
  </si>
  <si>
    <t>Помощь в соблюдении медицинских рекомендаций</t>
  </si>
  <si>
    <t>Подготовка лекарственных препаратов к приему</t>
  </si>
  <si>
    <t>Помощь в соблюдении приема лекарственных препаратов</t>
  </si>
  <si>
    <t>Помощь в использовании очков и (или) слуховых аппаратов</t>
  </si>
  <si>
    <t>Помощь в использовании протезов или ортезов</t>
  </si>
  <si>
    <t>Помощь в поддержании посильной социальной активности</t>
  </si>
  <si>
    <t>Помощь в поддержании  посильной физической активности, включая прогулки</t>
  </si>
  <si>
    <t>Помощь в поддержании посильной бытовой активности</t>
  </si>
  <si>
    <t>Помощь в соблюдении питьевого режима.</t>
  </si>
  <si>
    <t>Помощь при умывании</t>
  </si>
  <si>
    <t>Мытье головы, в том числе в кровати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</si>
</sst>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00;[Red]0.000"/>
  </numFmts>
  <fonts count="12" x14ac:knownFonts="1">
    <font>
      <sz val="11"/>
      <color theme="1"/>
      <name val="Calibri"/>
      <family val="2"/>
      <scheme val="minor"/>
    </font>
    <font>
      <sz val="12"/>
      <color theme="1"/>
      <name val="Times New Roman"/>
      <family val="1"/>
      <charset val="204"/>
    </font>
    <font>
      <b/>
      <sz val="12"/>
      <color theme="1"/>
      <name val="Times New Roman"/>
      <family val="1"/>
      <charset val="204"/>
    </font>
    <font>
      <b/>
      <sz val="20"/>
      <color rgb="FFFF0000"/>
      <name val="Times New Roman"/>
      <family val="1"/>
      <charset val="204"/>
    </font>
    <font>
      <b/>
      <sz val="14"/>
      <color rgb="FFFF0000"/>
      <name val="Times New Roman"/>
      <family val="1"/>
      <charset val="204"/>
    </font>
    <font>
      <u/>
      <sz val="11"/>
      <color theme="10"/>
      <name val="Calibri"/>
      <family val="2"/>
      <charset val="204"/>
      <scheme val="minor"/>
    </font>
    <font>
      <sz val="16"/>
      <color rgb="FFFF0000"/>
      <name val="Times New Roman"/>
      <family val="1"/>
      <charset val="204"/>
    </font>
    <font>
      <sz val="14"/>
      <color theme="1"/>
      <name val="Times New Roman"/>
      <family val="1"/>
      <charset val="204"/>
    </font>
    <font>
      <b/>
      <sz val="18"/>
      <color rgb="FFFF0000"/>
      <name val="Times New Roman"/>
      <family val="1"/>
      <charset val="204"/>
    </font>
    <font>
      <sz val="14"/>
      <color theme="10"/>
      <name val="Times New Roman"/>
      <family val="1"/>
      <charset val="204"/>
    </font>
    <font>
      <sz val="12"/>
      <color theme="1"/>
      <name val="Times New Roman"/>
    </font>
    <font>
      <b/>
      <sz val="12"/>
      <color theme="1"/>
      <name val="Times New Roman"/>
    </font>
  </fonts>
  <fills count="4">
    <fill>
      <patternFill patternType="none"/>
    </fill>
    <fill>
      <patternFill patternType="gray125"/>
    </fill>
    <fill>
      <patternFill patternType="solid">
        <fgColor theme="2" tint="-9.9978637043366805E-2"/>
        <bgColor indexed="64"/>
      </patternFill>
    </fill>
    <fill>
      <patternFill patternType="solid">
        <fgColor theme="0" tint="-0.14999847407452621"/>
        <bgColor indexed="64"/>
      </patternFill>
    </fill>
  </fills>
  <borders count="15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5" fillId="0" borderId="0" applyNumberFormat="0" applyFill="0" applyBorder="0" applyAlignment="0" applyProtection="0"/>
  </cellStyleXfs>
  <cellXfs count="55">
    <xf numFmtId="0" fontId="0" fillId="0" borderId="0" xfId="0"/>
    <xf numFmtId="0" fontId="1" fillId="0" borderId="0" xfId="0" applyFont="1"/>
    <xf numFmtId="0" fontId="2" fillId="0" borderId="1" xfId="0" applyFont="1" applyBorder="1"/>
    <xf numFmtId="0" fontId="1" fillId="0" borderId="2" xfId="0" applyFont="1" applyBorder="1"/>
    <xf numFmtId="0" fontId="1" fillId="0" borderId="0" xfId="0" applyFont="1" applyAlignment="1">
      <alignment horizontal="left" vertical="center"/>
    </xf>
    <xf numFmtId="0" fontId="1" fillId="0" borderId="2" xfId="0" applyFont="1" applyBorder="1" applyAlignment="1">
      <alignment wrapText="1" shrinkToFit="1"/>
    </xf>
    <xf numFmtId="0" fontId="1" fillId="0" borderId="0" xfId="0" applyFont="1" applyAlignment="1">
      <alignment wrapText="1" shrinkToFit="1"/>
    </xf>
    <xf numFmtId="0" fontId="2" fillId="0" borderId="3" xfId="0" applyFont="1" applyBorder="1" applyAlignment="1">
      <alignment horizontal="left" vertical="center" wrapText="1" shrinkToFit="1"/>
    </xf>
    <xf numFmtId="0" fontId="1" fillId="0" borderId="0" xfId="0" applyFont="1" applyAlignment="1">
      <alignment horizontal="left" vertical="center" wrapText="1" shrinkToFit="1"/>
    </xf>
    <xf numFmtId="0" fontId="1" fillId="0" borderId="0" xfId="0" applyFont="1" applyAlignment="1">
      <alignment horizontal="center" vertical="center" wrapText="1" shrinkToFit="1"/>
    </xf>
    <xf numFmtId="0" fontId="2" fillId="0" borderId="1" xfId="0" applyFont="1" applyBorder="1" applyAlignment="1">
      <alignment horizontal="left" vertical="center" wrapText="1" shrinkToFit="1"/>
    </xf>
    <xf numFmtId="0" fontId="2" fillId="0" borderId="1" xfId="0" applyFont="1" applyBorder="1" applyAlignment="1">
      <alignment horizontal="left" vertical="center"/>
    </xf>
    <xf numFmtId="0" fontId="2" fillId="0" borderId="0" xfId="0" applyFont="1" applyBorder="1" applyAlignment="1">
      <alignment wrapText="1" shrinkToFit="1"/>
    </xf>
    <xf numFmtId="0" fontId="0" fillId="0" borderId="0" xfId="0" applyBorder="1" applyAlignment="1">
      <alignment wrapText="1" shrinkToFit="1"/>
    </xf>
    <xf numFmtId="0" fontId="1" fillId="0" borderId="0" xfId="0" applyFont="1" applyBorder="1" applyAlignment="1">
      <alignment wrapText="1" shrinkToFit="1"/>
    </xf>
    <xf numFmtId="0" fontId="9" fillId="0" borderId="0" xfId="1" applyFont="1" applyAlignment="1">
      <alignment horizontal="left" vertical="center"/>
    </xf>
    <xf numFmtId="0" fontId="8" fillId="0" borderId="0" xfId="0" applyFont="1" applyFill="1"/>
    <xf numFmtId="0" fontId="7" fillId="0" borderId="4" xfId="0" applyFont="1" applyFill="1" applyBorder="1"/>
    <xf numFmtId="0" fontId="1" fillId="0" borderId="0" xfId="0" applyFont="1" applyFill="1"/>
    <xf numFmtId="0" fontId="6" fillId="0" borderId="5" xfId="0" applyFont="1" applyFill="1" applyBorder="1"/>
    <xf numFmtId="0" fontId="1" fillId="0" borderId="0" xfId="0" applyNumberFormat="1" applyFont="1" applyFill="1" applyAlignment="1"/>
    <xf numFmtId="0" fontId="1" fillId="0" borderId="0" xfId="0" quotePrefix="1" applyNumberFormat="1" applyFont="1" applyFill="1" applyAlignment="1"/>
    <xf numFmtId="0" fontId="0" fillId="0" borderId="0" xfId="0" applyFill="1"/>
    <xf numFmtId="0" fontId="7" fillId="0" borderId="0" xfId="0" applyFont="1" applyFill="1"/>
    <xf numFmtId="0" fontId="6" fillId="0" borderId="0" xfId="0" applyFont="1" applyFill="1"/>
    <xf numFmtId="0" fontId="10" fillId="0" borderId="0" xfId="0" applyFont="1" applyFill="1" applyAlignment="1">
      <alignment horizontal="left" vertical="center" wrapText="1" shrinkToFit="1"/>
    </xf>
    <xf numFmtId="0" fontId="10" fillId="0" borderId="0" xfId="0" applyFont="1" applyFill="1" applyAlignment="1">
      <alignment horizontal="center" vertical="center" wrapText="1" shrinkToFit="1"/>
    </xf>
    <xf numFmtId="0" fontId="10" fillId="0" borderId="0" xfId="0" applyFont="1" applyFill="1" applyAlignment="1">
      <alignment horizontal="left" wrapText="1" shrinkToFit="1"/>
    </xf>
    <xf numFmtId="0" fontId="10" fillId="0" borderId="0" xfId="0" applyFont="1" applyFill="1" applyAlignment="1">
      <alignment horizontal="center" textRotation="90" wrapText="1" shrinkToFit="1"/>
    </xf>
    <xf numFmtId="164" fontId="10" fillId="0" borderId="0" xfId="0" applyNumberFormat="1" applyFont="1" applyFill="1" applyAlignment="1">
      <alignment horizontal="center" textRotation="90" wrapText="1" shrinkToFit="1"/>
    </xf>
    <xf numFmtId="0" fontId="10" fillId="0" borderId="0" xfId="0" applyNumberFormat="1" applyFont="1" applyFill="1" applyAlignment="1">
      <alignment horizontal="center" vertical="center" wrapText="1" shrinkToFit="1"/>
    </xf>
    <xf numFmtId="164" fontId="10" fillId="0" borderId="0" xfId="0" applyNumberFormat="1" applyFont="1" applyFill="1" applyAlignment="1">
      <alignment horizontal="center" vertical="center" wrapText="1" shrinkToFit="1"/>
    </xf>
    <xf numFmtId="0" fontId="10" fillId="0" borderId="0" xfId="0" applyFont="1"/>
    <xf numFmtId="0" fontId="10" fillId="0" borderId="0" xfId="0" applyFont="1" applyAlignment="1">
      <alignment horizontal="left" vertical="center"/>
    </xf>
    <xf numFmtId="0" fontId="1" fillId="0" borderId="0" xfId="0" applyFont="1" applyFill="1" applyBorder="1"/>
    <xf numFmtId="0" fontId="1" fillId="0" borderId="0" xfId="0" applyFont="1" applyFill="1" applyAlignment="1">
      <alignment horizontal="left" vertical="center"/>
    </xf>
    <xf numFmtId="0" fontId="1" fillId="0" borderId="0" xfId="0" applyFont="1" applyFill="1" applyAlignment="1">
      <alignment horizontal="center" vertical="center" wrapText="1" shrinkToFit="1"/>
    </xf>
    <xf numFmtId="0" fontId="6" fillId="0" borderId="0" xfId="0" applyFont="1" applyFill="1" applyBorder="1"/>
    <xf numFmtId="0" fontId="10" fillId="0" borderId="0" xfId="0" applyFont="1" applyFill="1" applyAlignment="1">
      <alignment horizontal="left"/>
    </xf>
    <xf numFmtId="0" fontId="10" fillId="0" borderId="0" xfId="0" applyFont="1" applyFill="1"/>
    <xf numFmtId="0" fontId="10" fillId="0" borderId="0" xfId="0" applyFont="1" applyFill="1" applyAlignment="1">
      <alignment horizontal="center" vertical="center"/>
    </xf>
    <xf numFmtId="0" fontId="11" fillId="0" borderId="0" xfId="0" applyFont="1" applyFill="1" applyAlignment="1">
      <alignment horizontal="center" textRotation="90" wrapText="1" shrinkToFit="1"/>
    </xf>
    <xf numFmtId="0" fontId="11" fillId="0" borderId="0" xfId="0" applyFont="1" applyFill="1" applyAlignment="1">
      <alignment horizontal="center" vertical="center" wrapText="1" shrinkToFit="1"/>
    </xf>
    <xf numFmtId="0" fontId="10" fillId="0" borderId="0" xfId="0" applyNumberFormat="1" applyFont="1" applyFill="1"/>
    <xf numFmtId="0" fontId="3" fillId="0" borderId="0" xfId="0" applyFont="1" applyAlignment="1">
      <alignment horizontal="center" vertical="center" wrapText="1" shrinkToFit="1"/>
    </xf>
    <xf numFmtId="0" fontId="4" fillId="0" borderId="0" xfId="0" applyFont="1" applyAlignment="1">
      <alignment horizontal="center" vertical="center" wrapText="1" shrinkToFit="1"/>
    </xf>
    <xf numFmtId="0" fontId="9" fillId="2" borderId="6" xfId="1" applyFont="1" applyFill="1" applyBorder="1" applyAlignment="1">
      <alignment horizontal="center" vertical="center" wrapText="1" shrinkToFit="1"/>
    </xf>
    <xf numFmtId="0" fontId="9" fillId="2" borderId="7" xfId="1" applyFont="1" applyFill="1" applyBorder="1" applyAlignment="1">
      <alignment horizontal="center" vertical="center" wrapText="1" shrinkToFit="1"/>
    </xf>
    <xf numFmtId="0" fontId="9" fillId="2" borderId="8" xfId="1" applyFont="1" applyFill="1" applyBorder="1" applyAlignment="1">
      <alignment horizontal="center" vertical="center" wrapText="1" shrinkToFit="1"/>
    </xf>
    <xf numFmtId="0" fontId="9" fillId="3" borderId="9" xfId="1" applyFont="1" applyFill="1" applyBorder="1" applyAlignment="1">
      <alignment horizontal="center" vertical="center"/>
    </xf>
    <xf numFmtId="0" fontId="9" fillId="3" borderId="10" xfId="1" applyFont="1" applyFill="1" applyBorder="1" applyAlignment="1">
      <alignment horizontal="center" vertical="center"/>
    </xf>
    <xf numFmtId="0" fontId="9" fillId="3" borderId="11" xfId="1" applyFont="1" applyFill="1" applyBorder="1" applyAlignment="1">
      <alignment horizontal="center" vertical="center"/>
    </xf>
    <xf numFmtId="0" fontId="9" fillId="2" borderId="12" xfId="1" applyFont="1" applyFill="1" applyBorder="1" applyAlignment="1">
      <alignment horizontal="center" vertical="center" wrapText="1" shrinkToFit="1"/>
    </xf>
    <xf numFmtId="0" fontId="9" fillId="0" borderId="13" xfId="1" applyFont="1" applyBorder="1" applyAlignment="1">
      <alignment horizontal="center" vertical="center" wrapText="1" shrinkToFit="1"/>
    </xf>
    <xf numFmtId="0" fontId="9" fillId="0" borderId="14" xfId="1" applyFont="1" applyBorder="1" applyAlignment="1">
      <alignment horizontal="center" vertical="center" wrapText="1" shrinkToFit="1"/>
    </xf>
  </cellXfs>
  <cellStyles count="2">
    <cellStyle name="Гиперссылка" xfId="1" builtinId="8"/>
    <cellStyle name="Обычный" xfId="0" builtinId="0"/>
  </cellStyles>
  <dxfs count="1546"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indexed="51"/>
        </patternFill>
      </fill>
    </dxf>
    <dxf>
      <fill>
        <patternFill patternType="solid">
          <bgColor indexed="13"/>
        </patternFill>
      </fill>
    </dxf>
    <dxf>
      <fill>
        <patternFill patternType="solid">
          <bgColor indexed="13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indexed="51"/>
        </patternFill>
      </fill>
    </dxf>
    <dxf>
      <fill>
        <patternFill patternType="solid">
          <bgColor indexed="13"/>
        </patternFill>
      </fill>
    </dxf>
    <dxf>
      <fill>
        <patternFill patternType="solid">
          <bgColor indexed="13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indexed="51"/>
        </patternFill>
      </fill>
    </dxf>
    <dxf>
      <fill>
        <patternFill patternType="solid">
          <bgColor indexed="13"/>
        </patternFill>
      </fill>
    </dxf>
    <dxf>
      <fill>
        <patternFill patternType="solid">
          <bgColor indexed="13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indexed="51"/>
        </patternFill>
      </fill>
    </dxf>
    <dxf>
      <fill>
        <patternFill patternType="solid">
          <bgColor indexed="13"/>
        </patternFill>
      </fill>
    </dxf>
    <dxf>
      <fill>
        <patternFill patternType="solid">
          <bgColor indexed="13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indexed="51"/>
        </patternFill>
      </fill>
    </dxf>
    <dxf>
      <fill>
        <patternFill patternType="solid">
          <bgColor indexed="13"/>
        </patternFill>
      </fill>
    </dxf>
    <dxf>
      <fill>
        <patternFill patternType="solid">
          <bgColor indexed="13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indexed="51"/>
        </patternFill>
      </fill>
    </dxf>
    <dxf>
      <fill>
        <patternFill patternType="solid">
          <bgColor indexed="13"/>
        </patternFill>
      </fill>
    </dxf>
    <dxf>
      <fill>
        <patternFill patternType="solid">
          <bgColor indexed="13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alignment vertical="center" readingOrder="0"/>
    </dxf>
    <dxf>
      <alignment textRotation="0" readingOrder="0"/>
    </dxf>
    <dxf>
      <alignment vertical="bottom" readingOrder="0"/>
    </dxf>
    <dxf>
      <numFmt numFmtId="164" formatCode="0.000;[Red]0.000"/>
    </dxf>
    <dxf>
      <alignment textRotation="90" readingOrder="0"/>
    </dxf>
    <dxf>
      <alignment wrapText="1" shrinkToFit="1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vertical="bottom" readingOrder="0"/>
    </dxf>
    <dxf>
      <alignment vertical="bottom" readingOrder="0"/>
    </dxf>
    <dxf>
      <alignment vertical="bottom" readingOrder="0"/>
    </dxf>
    <dxf>
      <alignment vertical="bottom" readingOrder="0"/>
    </dxf>
    <dxf>
      <alignment horizontal="left" readingOrder="0"/>
    </dxf>
    <dxf>
      <alignment vertical="bottom" readingOrder="0"/>
    </dxf>
    <dxf>
      <alignment horizontal="left" readingOrder="0"/>
    </dxf>
    <dxf>
      <alignment vertical="bottom" readingOrder="0"/>
    </dxf>
    <dxf>
      <alignment horizontal="left" readingOrder="0"/>
    </dxf>
    <dxf>
      <alignment horizontal="center" readingOrder="0"/>
    </dxf>
    <dxf>
      <alignment vertical="center" readingOrder="0"/>
    </dxf>
    <dxf>
      <font>
        <name val="Times New Roman"/>
        <scheme val="none"/>
      </font>
    </dxf>
    <dxf>
      <font>
        <name val="Times New Roman"/>
        <scheme val="none"/>
      </font>
    </dxf>
    <dxf>
      <font>
        <name val="Times New Roman"/>
        <scheme val="none"/>
      </font>
    </dxf>
    <dxf>
      <font>
        <name val="Times New Roman"/>
        <scheme val="none"/>
      </font>
    </dxf>
    <dxf>
      <font>
        <name val="Times New Roman"/>
        <scheme val="none"/>
      </font>
    </dxf>
    <dxf>
      <font>
        <name val="Times New Roman"/>
        <scheme val="none"/>
      </font>
    </dxf>
    <dxf>
      <font>
        <name val="Times New Roman"/>
        <scheme val="none"/>
      </font>
    </dxf>
    <dxf>
      <font>
        <sz val="12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rgb="FFFF0000"/>
        <name val="Times New Roman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rgb="FFFF0000"/>
        <name val="Times New Roman"/>
        <scheme val="none"/>
      </font>
      <fill>
        <patternFill patternType="none">
          <fgColor indexed="64"/>
          <bgColor indexed="65"/>
        </patternFill>
      </fill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rgb="FFFF0000"/>
        <name val="Times New Roman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fill>
        <patternFill patternType="none">
          <fgColor indexed="64"/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indexed="51"/>
        </patternFill>
      </fill>
    </dxf>
    <dxf>
      <fill>
        <patternFill patternType="solid">
          <bgColor indexed="13"/>
        </patternFill>
      </fill>
    </dxf>
    <dxf>
      <fill>
        <patternFill patternType="solid">
          <bgColor indexed="13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indexed="51"/>
        </patternFill>
      </fill>
    </dxf>
    <dxf>
      <fill>
        <patternFill patternType="solid">
          <bgColor indexed="13"/>
        </patternFill>
      </fill>
    </dxf>
    <dxf>
      <fill>
        <patternFill patternType="solid">
          <bgColor indexed="13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indexed="51"/>
        </patternFill>
      </fill>
    </dxf>
    <dxf>
      <fill>
        <patternFill patternType="solid">
          <bgColor indexed="13"/>
        </patternFill>
      </fill>
    </dxf>
    <dxf>
      <fill>
        <patternFill patternType="solid">
          <bgColor indexed="13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indexed="51"/>
        </patternFill>
      </fill>
    </dxf>
    <dxf>
      <fill>
        <patternFill patternType="solid">
          <bgColor indexed="13"/>
        </patternFill>
      </fill>
    </dxf>
    <dxf>
      <fill>
        <patternFill patternType="solid">
          <bgColor indexed="13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alignment textRotation="90" readingOrder="0"/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solid">
          <bgColor indexed="13"/>
        </patternFill>
      </fill>
    </dxf>
    <dxf>
      <fill>
        <patternFill patternType="solid">
          <bgColor indexed="13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solid">
          <bgColor indexed="13"/>
        </patternFill>
      </fill>
    </dxf>
    <dxf>
      <fill>
        <patternFill patternType="solid">
          <bgColor indexed="13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solid">
          <bgColor indexed="13"/>
        </patternFill>
      </fill>
    </dxf>
    <dxf>
      <fill>
        <patternFill patternType="solid">
          <bgColor indexed="13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solid">
          <bgColor indexed="13"/>
        </patternFill>
      </fill>
    </dxf>
    <dxf>
      <fill>
        <patternFill patternType="solid">
          <bgColor indexed="13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solid">
          <bgColor indexed="13"/>
        </patternFill>
      </fill>
    </dxf>
    <dxf>
      <fill>
        <patternFill patternType="solid">
          <bgColor indexed="13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solid">
          <bgColor indexed="13"/>
        </patternFill>
      </fill>
    </dxf>
    <dxf>
      <fill>
        <patternFill patternType="solid">
          <bgColor indexed="13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solid">
          <bgColor indexed="13"/>
        </patternFill>
      </fill>
    </dxf>
    <dxf>
      <fill>
        <patternFill patternType="solid">
          <bgColor indexed="13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solid">
          <bgColor indexed="13"/>
        </patternFill>
      </fill>
    </dxf>
    <dxf>
      <fill>
        <patternFill patternType="solid">
          <bgColor indexed="13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solid">
          <bgColor indexed="13"/>
        </patternFill>
      </fill>
    </dxf>
    <dxf>
      <fill>
        <patternFill patternType="solid">
          <bgColor indexed="13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solid">
          <bgColor indexed="13"/>
        </patternFill>
      </fill>
    </dxf>
    <dxf>
      <fill>
        <patternFill patternType="solid">
          <bgColor indexed="13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solid">
          <bgColor indexed="13"/>
        </patternFill>
      </fill>
    </dxf>
    <dxf>
      <fill>
        <patternFill patternType="solid">
          <bgColor indexed="13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solid">
          <bgColor indexed="13"/>
        </patternFill>
      </fill>
    </dxf>
    <dxf>
      <fill>
        <patternFill patternType="solid">
          <bgColor indexed="13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solid">
          <bgColor indexed="13"/>
        </patternFill>
      </fill>
    </dxf>
    <dxf>
      <fill>
        <patternFill patternType="solid">
          <bgColor indexed="13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solid">
          <bgColor indexed="13"/>
        </patternFill>
      </fill>
    </dxf>
    <dxf>
      <fill>
        <patternFill patternType="solid">
          <bgColor indexed="13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indexed="51"/>
        </patternFill>
      </fill>
    </dxf>
    <dxf>
      <fill>
        <patternFill patternType="solid">
          <bgColor indexed="13"/>
        </patternFill>
      </fill>
    </dxf>
    <dxf>
      <fill>
        <patternFill patternType="solid">
          <bgColor indexed="13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indexed="51"/>
        </patternFill>
      </fill>
    </dxf>
    <dxf>
      <fill>
        <patternFill patternType="solid">
          <bgColor indexed="13"/>
        </patternFill>
      </fill>
    </dxf>
    <dxf>
      <fill>
        <patternFill patternType="solid">
          <bgColor indexed="13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solid">
          <bgColor indexed="13"/>
        </patternFill>
      </fill>
    </dxf>
    <dxf>
      <fill>
        <patternFill patternType="solid">
          <bgColor indexed="13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solid">
          <bgColor indexed="13"/>
        </patternFill>
      </fill>
    </dxf>
    <dxf>
      <fill>
        <patternFill patternType="solid">
          <bgColor indexed="13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solid">
          <bgColor indexed="13"/>
        </patternFill>
      </fill>
    </dxf>
    <dxf>
      <fill>
        <patternFill patternType="solid">
          <bgColor indexed="13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solid">
          <bgColor indexed="13"/>
        </patternFill>
      </fill>
    </dxf>
    <dxf>
      <fill>
        <patternFill patternType="solid">
          <bgColor indexed="13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solid">
          <bgColor indexed="13"/>
        </patternFill>
      </fill>
    </dxf>
    <dxf>
      <fill>
        <patternFill patternType="solid">
          <bgColor indexed="13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solid">
          <bgColor indexed="13"/>
        </patternFill>
      </fill>
    </dxf>
    <dxf>
      <fill>
        <patternFill patternType="solid">
          <bgColor indexed="13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solid">
          <bgColor indexed="13"/>
        </patternFill>
      </fill>
    </dxf>
    <dxf>
      <fill>
        <patternFill patternType="solid">
          <bgColor indexed="13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solid">
          <bgColor indexed="13"/>
        </patternFill>
      </fill>
    </dxf>
    <dxf>
      <fill>
        <patternFill patternType="solid">
          <bgColor indexed="13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solid">
          <bgColor indexed="13"/>
        </patternFill>
      </fill>
    </dxf>
    <dxf>
      <fill>
        <patternFill patternType="solid">
          <bgColor indexed="13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solid">
          <bgColor indexed="13"/>
        </patternFill>
      </fill>
    </dxf>
    <dxf>
      <fill>
        <patternFill patternType="solid">
          <bgColor indexed="13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solid">
          <bgColor indexed="13"/>
        </patternFill>
      </fill>
    </dxf>
    <dxf>
      <fill>
        <patternFill patternType="solid">
          <bgColor indexed="13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indexed="51"/>
        </patternFill>
      </fill>
    </dxf>
    <dxf>
      <fill>
        <patternFill patternType="solid">
          <bgColor indexed="13"/>
        </patternFill>
      </fill>
    </dxf>
    <dxf>
      <fill>
        <patternFill patternType="solid">
          <bgColor indexed="13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solid">
          <bgColor indexed="13"/>
        </patternFill>
      </fill>
    </dxf>
    <dxf>
      <fill>
        <patternFill patternType="solid">
          <bgColor indexed="13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solid">
          <bgColor indexed="13"/>
        </patternFill>
      </fill>
    </dxf>
    <dxf>
      <fill>
        <patternFill patternType="solid">
          <bgColor indexed="13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indexed="51"/>
        </patternFill>
      </fill>
    </dxf>
    <dxf>
      <fill>
        <patternFill patternType="solid">
          <bgColor indexed="13"/>
        </patternFill>
      </fill>
    </dxf>
    <dxf>
      <fill>
        <patternFill patternType="solid">
          <bgColor indexed="13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indexed="51"/>
        </patternFill>
      </fill>
    </dxf>
    <dxf>
      <fill>
        <patternFill patternType="solid">
          <bgColor indexed="13"/>
        </patternFill>
      </fill>
    </dxf>
    <dxf>
      <fill>
        <patternFill patternType="solid">
          <bgColor indexed="13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indexed="51"/>
        </patternFill>
      </fill>
    </dxf>
    <dxf>
      <fill>
        <patternFill patternType="solid">
          <bgColor indexed="13"/>
        </patternFill>
      </fill>
    </dxf>
    <dxf>
      <fill>
        <patternFill patternType="solid">
          <bgColor indexed="13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indexed="51"/>
        </patternFill>
      </fill>
    </dxf>
    <dxf>
      <fill>
        <patternFill patternType="solid">
          <bgColor indexed="13"/>
        </patternFill>
      </fill>
    </dxf>
    <dxf>
      <fill>
        <patternFill patternType="solid">
          <bgColor indexed="13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indexed="51"/>
        </patternFill>
      </fill>
    </dxf>
    <dxf>
      <fill>
        <patternFill patternType="solid">
          <bgColor indexed="13"/>
        </patternFill>
      </fill>
    </dxf>
    <dxf>
      <fill>
        <patternFill patternType="solid">
          <bgColor indexed="13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solid">
          <bgColor indexed="13"/>
        </patternFill>
      </fill>
    </dxf>
    <dxf>
      <fill>
        <patternFill patternType="solid">
          <bgColor indexed="13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indexed="51"/>
        </patternFill>
      </fill>
    </dxf>
    <dxf>
      <fill>
        <patternFill patternType="solid">
          <bgColor indexed="13"/>
        </patternFill>
      </fill>
    </dxf>
    <dxf>
      <fill>
        <patternFill patternType="solid">
          <bgColor indexed="13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indexed="51"/>
        </patternFill>
      </fill>
    </dxf>
    <dxf>
      <fill>
        <patternFill patternType="solid">
          <bgColor indexed="13"/>
        </patternFill>
      </fill>
    </dxf>
    <dxf>
      <fill>
        <patternFill patternType="solid">
          <bgColor indexed="13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ont>
        <b val="0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name val="Times New Roman"/>
        <scheme val="none"/>
      </font>
    </dxf>
    <dxf>
      <font>
        <name val="Times New Roman"/>
        <scheme val="none"/>
      </font>
    </dxf>
    <dxf>
      <font>
        <name val="Times New Roman"/>
        <scheme val="none"/>
      </font>
    </dxf>
    <dxf>
      <font>
        <name val="Times New Roman"/>
        <scheme val="none"/>
      </font>
    </dxf>
    <dxf>
      <font>
        <b/>
      </font>
    </dxf>
    <dxf>
      <alignment vertical="center" readingOrder="0"/>
    </dxf>
    <dxf>
      <alignment textRotation="0" readingOrder="0"/>
    </dxf>
    <dxf>
      <alignment horizontal="center" readingOrder="0"/>
    </dxf>
    <dxf>
      <alignment vertical="center" readingOrder="0"/>
    </dxf>
    <dxf>
      <alignment vertical="bottom" readingOrder="0"/>
    </dxf>
    <dxf>
      <alignment horizontal="center" readingOrder="0"/>
    </dxf>
    <dxf>
      <alignment vertical="center" readingOrder="0"/>
    </dxf>
    <dxf>
      <alignment horizontal="center" readingOrder="0"/>
    </dxf>
    <dxf>
      <alignment textRotation="90" readingOrder="0"/>
    </dxf>
    <dxf>
      <alignment textRotation="90" readingOrder="0"/>
    </dxf>
    <dxf>
      <alignment wrapText="1" shrinkToFit="1" readingOrder="0"/>
    </dxf>
    <dxf>
      <alignment wrapText="1" shrinkToFit="1" readingOrder="0"/>
    </dxf>
    <dxf>
      <alignment wrapText="1" shrinkToFit="1" readingOrder="0"/>
    </dxf>
    <dxf>
      <alignment horizontal="left" readingOrder="0"/>
    </dxf>
    <dxf>
      <alignment horizontal="center" readingOrder="0"/>
    </dxf>
    <dxf>
      <alignment vertical="center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rgb="FFFF0000"/>
        <name val="Times New Roman"/>
        <scheme val="none"/>
      </font>
      <fill>
        <patternFill patternType="none">
          <fgColor indexed="64"/>
          <bgColor indexed="65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strike val="0"/>
        <outline val="0"/>
        <shadow val="0"/>
        <u val="none"/>
        <vertAlign val="baseline"/>
        <sz val="14"/>
        <color rgb="FFFF0000"/>
        <name val="Times New Roman"/>
        <scheme val="none"/>
      </font>
      <fill>
        <patternFill patternType="none">
          <fgColor indexed="64"/>
          <bgColor indexed="65"/>
        </patternFill>
      </fill>
    </dxf>
    <dxf>
      <border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Times New Roman"/>
        <scheme val="none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indexed="51"/>
        </patternFill>
      </fill>
    </dxf>
    <dxf>
      <fill>
        <patternFill patternType="solid">
          <bgColor indexed="13"/>
        </patternFill>
      </fill>
    </dxf>
    <dxf>
      <fill>
        <patternFill patternType="solid">
          <bgColor indexed="13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indexed="51"/>
        </patternFill>
      </fill>
    </dxf>
    <dxf>
      <fill>
        <patternFill patternType="solid">
          <bgColor indexed="13"/>
        </patternFill>
      </fill>
    </dxf>
    <dxf>
      <fill>
        <patternFill patternType="solid">
          <bgColor indexed="13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indexed="51"/>
        </patternFill>
      </fill>
    </dxf>
    <dxf>
      <fill>
        <patternFill patternType="solid">
          <bgColor indexed="13"/>
        </patternFill>
      </fill>
    </dxf>
    <dxf>
      <fill>
        <patternFill patternType="solid">
          <bgColor indexed="13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indexed="51"/>
        </patternFill>
      </fill>
    </dxf>
    <dxf>
      <fill>
        <patternFill patternType="solid">
          <bgColor indexed="13"/>
        </patternFill>
      </fill>
    </dxf>
    <dxf>
      <fill>
        <patternFill patternType="solid">
          <bgColor indexed="13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indexed="51"/>
        </patternFill>
      </fill>
    </dxf>
    <dxf>
      <fill>
        <patternFill patternType="solid">
          <bgColor indexed="13"/>
        </patternFill>
      </fill>
    </dxf>
    <dxf>
      <fill>
        <patternFill patternType="solid">
          <bgColor indexed="13"/>
        </patternFill>
      </fill>
    </dxf>
    <dxf>
      <fill>
        <patternFill patternType="solid">
          <bgColor indexed="13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indexed="51"/>
        </patternFill>
      </fill>
    </dxf>
    <dxf>
      <fill>
        <patternFill patternType="solid">
          <bgColor indexed="13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solid">
          <bgColor indexed="13"/>
        </patternFill>
      </fill>
    </dxf>
    <dxf>
      <fill>
        <patternFill patternType="solid">
          <bgColor indexed="13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solid">
          <bgColor indexed="13"/>
        </patternFill>
      </fill>
    </dxf>
    <dxf>
      <fill>
        <patternFill patternType="solid">
          <bgColor indexed="13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solid">
          <bgColor indexed="13"/>
        </patternFill>
      </fill>
    </dxf>
    <dxf>
      <fill>
        <patternFill patternType="solid">
          <bgColor indexed="13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solid">
          <bgColor indexed="13"/>
        </patternFill>
      </fill>
    </dxf>
    <dxf>
      <fill>
        <patternFill patternType="solid">
          <bgColor indexed="13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solid">
          <bgColor indexed="13"/>
        </patternFill>
      </fill>
    </dxf>
    <dxf>
      <fill>
        <patternFill patternType="solid">
          <bgColor indexed="13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indexed="51"/>
        </patternFill>
      </fill>
    </dxf>
    <dxf>
      <fill>
        <patternFill patternType="solid">
          <bgColor indexed="13"/>
        </patternFill>
      </fill>
    </dxf>
    <dxf>
      <fill>
        <patternFill patternType="solid">
          <bgColor indexed="13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indexed="51"/>
        </patternFill>
      </fill>
    </dxf>
    <dxf>
      <fill>
        <patternFill patternType="solid">
          <bgColor indexed="13"/>
        </patternFill>
      </fill>
    </dxf>
    <dxf>
      <fill>
        <patternFill patternType="solid">
          <bgColor indexed="13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indexed="51"/>
        </patternFill>
      </fill>
    </dxf>
    <dxf>
      <fill>
        <patternFill patternType="solid">
          <bgColor indexed="13"/>
        </patternFill>
      </fill>
    </dxf>
    <dxf>
      <fill>
        <patternFill patternType="solid">
          <bgColor indexed="13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indexed="51"/>
        </patternFill>
      </fill>
    </dxf>
    <dxf>
      <fill>
        <patternFill patternType="solid">
          <bgColor indexed="13"/>
        </patternFill>
      </fill>
    </dxf>
    <dxf>
      <fill>
        <patternFill patternType="solid">
          <bgColor indexed="13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indexed="51"/>
        </patternFill>
      </fill>
    </dxf>
    <dxf>
      <fill>
        <patternFill patternType="solid">
          <bgColor indexed="13"/>
        </patternFill>
      </fill>
    </dxf>
    <dxf>
      <fill>
        <patternFill patternType="solid">
          <bgColor indexed="13"/>
        </patternFill>
      </fill>
    </dxf>
    <dxf>
      <fill>
        <patternFill patternType="solid">
          <bgColor indexed="13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indexed="51"/>
        </patternFill>
      </fill>
    </dxf>
    <dxf>
      <fill>
        <patternFill patternType="solid">
          <bgColor indexed="13"/>
        </patternFill>
      </fill>
    </dxf>
    <dxf>
      <fill>
        <patternFill patternType="solid">
          <bgColor indexed="13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indexed="51"/>
        </patternFill>
      </fill>
    </dxf>
    <dxf>
      <fill>
        <patternFill patternType="solid">
          <bgColor indexed="13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indexed="51"/>
        </patternFill>
      </fill>
    </dxf>
    <dxf>
      <fill>
        <patternFill patternType="solid">
          <bgColor indexed="13"/>
        </patternFill>
      </fill>
    </dxf>
    <dxf>
      <fill>
        <patternFill patternType="solid">
          <bgColor indexed="13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indexed="51"/>
        </patternFill>
      </fill>
    </dxf>
    <dxf>
      <fill>
        <patternFill patternType="solid">
          <bgColor indexed="13"/>
        </patternFill>
      </fill>
    </dxf>
    <dxf>
      <fill>
        <patternFill patternType="solid">
          <bgColor indexed="13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alignment horizontal="left" readingOrder="0"/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indexed="51"/>
        </patternFill>
      </fill>
    </dxf>
    <dxf>
      <fill>
        <patternFill patternType="solid">
          <bgColor indexed="13"/>
        </patternFill>
      </fill>
    </dxf>
    <dxf>
      <fill>
        <patternFill patternType="solid">
          <bgColor indexed="13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indexed="51"/>
        </patternFill>
      </fill>
    </dxf>
    <dxf>
      <fill>
        <patternFill patternType="solid">
          <bgColor indexed="13"/>
        </patternFill>
      </fill>
    </dxf>
    <dxf>
      <fill>
        <patternFill patternType="solid">
          <bgColor indexed="13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indexed="51"/>
        </patternFill>
      </fill>
    </dxf>
    <dxf>
      <fill>
        <patternFill patternType="solid">
          <bgColor indexed="13"/>
        </patternFill>
      </fill>
    </dxf>
    <dxf>
      <fill>
        <patternFill patternType="solid">
          <bgColor indexed="13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indexed="51"/>
        </patternFill>
      </fill>
    </dxf>
    <dxf>
      <fill>
        <patternFill patternType="solid">
          <bgColor indexed="13"/>
        </patternFill>
      </fill>
    </dxf>
    <dxf>
      <fill>
        <patternFill patternType="solid">
          <bgColor indexed="13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indexed="51"/>
        </patternFill>
      </fill>
    </dxf>
    <dxf>
      <fill>
        <patternFill patternType="solid">
          <bgColor indexed="13"/>
        </patternFill>
      </fill>
    </dxf>
    <dxf>
      <fill>
        <patternFill patternType="solid">
          <bgColor indexed="13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alignment vertical="center" readingOrder="0"/>
    </dxf>
    <dxf>
      <alignment horizontal="left" readingOrder="0"/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alignment horizontal="left" readingOrder="0"/>
    </dxf>
    <dxf>
      <alignment vertical="center" readingOrder="0"/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solid">
          <bgColor indexed="13"/>
        </patternFill>
      </fill>
    </dxf>
    <dxf>
      <fill>
        <patternFill patternType="solid">
          <bgColor indexed="13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solid">
          <bgColor indexed="13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solid">
          <bgColor indexed="13"/>
        </patternFill>
      </fill>
    </dxf>
    <dxf>
      <fill>
        <patternFill patternType="solid">
          <bgColor indexed="13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alignment vertical="center" readingOrder="0"/>
    </dxf>
    <dxf>
      <alignment textRotation="0" readingOrder="0"/>
    </dxf>
    <dxf>
      <alignment vertical="bottom" readingOrder="0"/>
    </dxf>
    <dxf>
      <numFmt numFmtId="164" formatCode="0.000;[Red]0.000"/>
    </dxf>
    <dxf>
      <alignment textRotation="90" readingOrder="0"/>
    </dxf>
    <dxf>
      <alignment wrapText="1" shrinkToFit="1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vertical="bottom" readingOrder="0"/>
    </dxf>
    <dxf>
      <alignment vertical="bottom" readingOrder="0"/>
    </dxf>
    <dxf>
      <alignment vertical="bottom" readingOrder="0"/>
    </dxf>
    <dxf>
      <font>
        <sz val="12"/>
      </font>
    </dxf>
    <dxf>
      <font>
        <name val="Times New Roman"/>
        <scheme val="none"/>
      </font>
    </dxf>
    <dxf>
      <alignment horizontal="center" readingOrder="0"/>
    </dxf>
    <dxf>
      <alignment vertical="center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general" vertical="bottom" textRotation="0" wrapText="1" indent="0" justifyLastLine="0" shrinkToFit="1" readingOrder="0"/>
    </dxf>
    <dxf>
      <font>
        <strike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general" vertical="bottom" textRotation="0" wrapText="1" indent="0" justifyLastLine="0" shrinkToFit="1" readingOrder="0"/>
    </dxf>
    <dxf>
      <font>
        <strike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general" vertical="bottom" textRotation="0" wrapText="1" indent="0" justifyLastLine="0" shrinkToFit="1" readingOrder="0"/>
    </dxf>
    <dxf>
      <fill>
        <patternFill>
          <bgColor rgb="FFE2EFDA"/>
        </patternFill>
      </fill>
    </dxf>
    <dxf>
      <font>
        <b/>
        <i val="0"/>
        <color rgb="FFFFFFFF"/>
      </font>
      <fill>
        <patternFill>
          <bgColor rgb="FF70AD47"/>
        </patternFill>
      </fill>
    </dxf>
    <dxf>
      <border>
        <left style="thin">
          <color rgb="FFA9D08E"/>
        </left>
        <right style="thin">
          <color rgb="FFA9D08E"/>
        </right>
        <top style="thin">
          <color rgb="FFA9D08E"/>
        </top>
        <bottom style="thin">
          <color rgb="FFA9D08E"/>
        </bottom>
        <horizontal style="thin">
          <color rgb="FFA9D08E"/>
        </horizontal>
      </border>
    </dxf>
    <dxf>
      <fill>
        <patternFill>
          <bgColor rgb="FFF0F0F0"/>
        </patternFill>
      </fill>
    </dxf>
    <dxf>
      <font>
        <b/>
        <i val="0"/>
        <color rgb="FFFFFFFF"/>
      </font>
      <fill>
        <patternFill>
          <bgColor rgb="FFABABAB"/>
        </patternFill>
      </fill>
    </dxf>
    <dxf>
      <border>
        <left style="thin">
          <color rgb="FFC6C6C6"/>
        </left>
        <right style="thin">
          <color rgb="FFC6C6C6"/>
        </right>
        <top style="thin">
          <color rgb="FFC6C6C6"/>
        </top>
        <bottom style="thin">
          <color rgb="FFC6C6C6"/>
        </bottom>
        <horizontal style="thin">
          <color rgb="FFC6C6C6"/>
        </horizontal>
      </border>
    </dxf>
    <dxf>
      <fill>
        <patternFill patternType="solid">
          <fgColor theme="0" tint="-0.14999847407452621"/>
          <bgColor theme="0" tint="-0.14999847407452621"/>
        </patternFill>
      </fill>
    </dxf>
    <dxf>
      <fill>
        <patternFill patternType="solid">
          <fgColor theme="0" tint="-0.14990691854609822"/>
          <bgColor theme="6" tint="0.39994506668294322"/>
        </patternFill>
      </fill>
    </dxf>
    <dxf>
      <font>
        <b/>
        <color theme="1"/>
      </font>
    </dxf>
    <dxf>
      <font>
        <b/>
        <color theme="1"/>
      </font>
    </dxf>
    <dxf>
      <font>
        <b/>
        <color theme="1"/>
      </font>
      <border>
        <top style="double">
          <color theme="1"/>
        </top>
      </border>
    </dxf>
    <dxf>
      <font>
        <b/>
        <color theme="1"/>
      </font>
      <fill>
        <patternFill>
          <bgColor theme="3" tint="0.59996337778862885"/>
        </patternFill>
      </fill>
      <border>
        <bottom style="medium">
          <color theme="1"/>
        </bottom>
      </border>
    </dxf>
    <dxf>
      <font>
        <color theme="1"/>
      </font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 style="thin">
          <color theme="1"/>
        </vertical>
        <horizontal style="thin">
          <color theme="1"/>
        </horizontal>
      </border>
    </dxf>
  </dxfs>
  <tableStyles count="3" defaultTableStyle="TableStyleMedium2" defaultPivotStyle="PivotStyleMedium9">
    <tableStyle name="TableStyleLight15 3" pivot="0" count="7">
      <tableStyleElement type="wholeTable" dxfId="1545"/>
      <tableStyleElement type="headerRow" dxfId="1544"/>
      <tableStyleElement type="totalRow" dxfId="1543"/>
      <tableStyleElement type="firstColumn" dxfId="1542"/>
      <tableStyleElement type="lastColumn" dxfId="1541"/>
      <tableStyleElement type="firstRowStripe" dxfId="1540"/>
      <tableStyleElement type="firstColumnStripe" dxfId="1539"/>
    </tableStyle>
    <tableStyle name="TableStyleQueryPreview" pivot="0" count="3">
      <tableStyleElement type="wholeTable" dxfId="1538"/>
      <tableStyleElement type="headerRow" dxfId="1537"/>
      <tableStyleElement type="firstRowStripe" dxfId="1536"/>
    </tableStyle>
    <tableStyle name="TableStyleQueryResult" pivot="0" count="3">
      <tableStyleElement type="wholeTable" dxfId="1535"/>
      <tableStyleElement type="headerRow" dxfId="1534"/>
      <tableStyleElement type="firstRowStripe" dxfId="1533"/>
    </tableStyle>
  </tableStyles>
  <colors>
    <mruColors>
      <color rgb="FFFFFFCC"/>
      <color rgb="FFCDC800"/>
      <color rgb="FF004D8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3.xml"/><Relationship Id="rId13" Type="http://schemas.openxmlformats.org/officeDocument/2006/relationships/theme" Target="theme/theme1.xml"/><Relationship Id="rId1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2.xml"/><Relationship Id="rId12" Type="http://schemas.microsoft.com/office/2007/relationships/slicerCache" Target="slicerCaches/slicerCache4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microsoft.com/office/2007/relationships/slicerCache" Target="slicerCaches/slicerCache3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microsoft.com/office/2007/relationships/slicerCache" Target="slicerCaches/slicerCache2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microsoft.com/office/2007/relationships/slicerCache" Target="slicerCaches/slicerCache1.xml"/><Relationship Id="rId14" Type="http://schemas.openxmlformats.org/officeDocument/2006/relationships/connections" Target="connection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27892</xdr:colOff>
      <xdr:row>1</xdr:row>
      <xdr:rowOff>2040</xdr:rowOff>
    </xdr:from>
    <xdr:to>
      <xdr:col>16</xdr:col>
      <xdr:colOff>245005</xdr:colOff>
      <xdr:row>7</xdr:row>
      <xdr:rowOff>379298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" name="Соц. Работник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Соц. Работник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8818106" y="287790"/>
              <a:ext cx="2570242" cy="1683544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ru-RU" sz="1100"/>
                <a:t>Эта фигура представляет срез. Срезы поддерживаются только в Excel 2010 и более поздних версиях.
Если фигура была изменена в более ранней версии Excel или книга была сохранена в Excel 2003 или более ранней версии, использование среза невозможно.</a:t>
              </a:r>
            </a:p>
          </xdr:txBody>
        </xdr:sp>
      </mc:Fallback>
    </mc:AlternateContent>
    <xdr:clientData/>
  </xdr:twoCellAnchor>
  <xdr:twoCellAnchor editAs="oneCell">
    <xdr:from>
      <xdr:col>19</xdr:col>
      <xdr:colOff>18368</xdr:colOff>
      <xdr:row>0</xdr:row>
      <xdr:rowOff>279287</xdr:rowOff>
    </xdr:from>
    <xdr:to>
      <xdr:col>24</xdr:col>
      <xdr:colOff>100572</xdr:colOff>
      <xdr:row>7</xdr:row>
      <xdr:rowOff>176894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" name="Признак учета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Признак учета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1706904" y="279287"/>
              <a:ext cx="2037097" cy="1489643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ru-RU" sz="1100"/>
                <a:t>Эта фигура представляет срез. Срезы поддерживаются только в Excel 2010 и более поздних версиях.
Если фигура была изменена в более ранней версии Excel или книга была сохранена в Excel 2003 или более ранней версии, использование среза невозможно.</a:t>
              </a:r>
            </a:p>
          </xdr:txBody>
        </xdr:sp>
      </mc:Fallback>
    </mc:AlternateContent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17689</xdr:colOff>
      <xdr:row>1</xdr:row>
      <xdr:rowOff>19050</xdr:rowOff>
    </xdr:from>
    <xdr:to>
      <xdr:col>16</xdr:col>
      <xdr:colOff>531811</xdr:colOff>
      <xdr:row>7</xdr:row>
      <xdr:rowOff>540884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" name="Соц. Работник 1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Соц. Работник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8794296" y="304800"/>
              <a:ext cx="2798990" cy="1831521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ru-RU" sz="1100"/>
                <a:t>Эта фигура представляет срез. Срезы поддерживаются только в Excel 2010 и более поздних версиях.
Если фигура была изменена в более ранней версии Excel или книга была сохранена в Excel 2003 или более ранней версии, использование среза невозможно.</a:t>
              </a:r>
            </a:p>
          </xdr:txBody>
        </xdr:sp>
      </mc:Fallback>
    </mc:AlternateContent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0</xdr:colOff>
      <xdr:row>1</xdr:row>
      <xdr:rowOff>5443</xdr:rowOff>
    </xdr:from>
    <xdr:to>
      <xdr:col>16</xdr:col>
      <xdr:colOff>86743</xdr:colOff>
      <xdr:row>7</xdr:row>
      <xdr:rowOff>420120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" name="Соц. Работник 5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Соц. Работник 5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8776607" y="291193"/>
              <a:ext cx="2331923" cy="1720963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ru-RU" sz="1100"/>
                <a:t>Эта фигура представляет срез. Срезы поддерживаются только в Excel 2010 и более поздних версиях.
Если фигура была изменена в более ранней версии Excel или книга была сохранена в Excel 2003 или более ранней версии, использование среза невозможно.</a:t>
              </a:r>
            </a:p>
          </xdr:txBody>
        </xdr:sp>
      </mc:Fallback>
    </mc:AlternateContent>
    <xdr:clientData/>
  </xdr:twoCellAnchor>
</xdr:wsDr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saveData="0" refreshedBy="utv2" refreshedDate="45757.632999074071" missingItemsLimit="0" createdVersion="5" refreshedVersion="5" minRefreshableVersion="3" recordCount="52">
  <cacheSource type="external" connectionId="5"/>
  <cacheFields count="5">
    <cacheField name="Соц. Работник" numFmtId="0">
      <sharedItems count="1">
        <s v="Польщикова О.В."/>
      </sharedItems>
    </cacheField>
    <cacheField name="Получатели ФИО" numFmtId="0">
      <sharedItems count="1">
        <s v="Готовцева Н.А."/>
      </sharedItems>
    </cacheField>
    <cacheField name="Признак учета" numFmtId="0">
      <sharedItems count="1">
        <s v="На учете"/>
      </sharedItems>
    </cacheField>
    <cacheField name="Услуги" numFmtId="0">
      <sharedItems count="52">
        <s v="Итого"/>
        <s v="Среднее кол-во услуг на 1 получ. Усл."/>
        <s v="Приготовление пищи"/>
        <s v="Помощь при приготовлении пищи"/>
        <s v="Подготовка и подача пищи"/>
        <s v="Помощь при подготовке пищи к приему"/>
        <s v="Кормление"/>
        <s v="Помощь при приеме пищи"/>
        <s v="Помощь в соблюдении питьевого режима."/>
        <s v="Умывание"/>
        <s v="Помощь при умывании"/>
        <s v="Купание в кровати, включая мытье головы"/>
        <s v="Купание в приспособленном помещении (месте), включая мытье головы"/>
        <s v="Помощь при купании в приспособленном помещении (месте), включая мытье головы"/>
        <s v="Гигиеническое обтирание"/>
        <s v="Мытье головы, в том числе в кровати"/>
        <s v="Помощь при мытье головы"/>
        <s v="Подмывание"/>
        <s v="Гигиеническая обработка рук и ногтей"/>
        <s v="Помощь при гигиенической обработке рук и ногтей"/>
        <s v="Мытье ног"/>
        <s v="Помощь при мытье ног"/>
        <s v="Гигиеническая обработка ног и ногтей"/>
        <s v="Помощь при гигиенической обработка ног и ногтей"/>
        <s v="Гигиенииеское бритье"/>
        <s v="Гигиеническая стрижка"/>
        <s v="Смена одежды (обуви)"/>
        <s v="Помощь при смене одежды (обуви)"/>
        <s v="Смена нательного белья"/>
        <s v="Помощь при смене нательного белья"/>
        <s v="Смена постельного белья"/>
        <s v="Помощь при смене постельного белья"/>
        <s v="Смена абсорбирующего белья, включая гигиеническую обработку"/>
        <s v="Помощь при смене абсорбирующего белья"/>
        <s v="Помощь при пользовании туалетом, включая гигиеническую обработку"/>
        <s v="Замена мочеприемника и (или) калоприемника, включая гигиеническую обработку"/>
        <s v="Помощь при замене мочеприемника и (или) калоприемника"/>
        <s v="Позиционирование"/>
        <s v="Помощь при позиционировании"/>
        <s v="Пересаживание"/>
        <s v="Помощь при пересаживании."/>
        <s v="Помощь при передвижении по помещению, пересаживании"/>
        <s v="Измерение температуры тела, артериального давления, пульса, сатурации"/>
        <s v="Помощь в соблюдении медицинских рекомендаций"/>
        <s v="Подготовка лекарственных препаратов к приему"/>
        <s v="Помощь в соблюдении приема лекарственных препаратов"/>
        <s v="Помощь в использовании очков и (или) слуховых аппаратов"/>
        <s v="Помощь в использовании протезов или ортезов"/>
        <s v="Помощь в поддержании посильной социальной активности"/>
        <s v="Помощь в поддержании  посильной физической активности, включая прогулки"/>
        <s v="Помощь в поддержании посильной бытовой активности"/>
        <s v="Количество обслуживаемых"/>
      </sharedItems>
    </cacheField>
    <cacheField name="Значения услуг" numFmtId="0">
      <sharedItems containsSemiMixedTypes="0" containsString="0" containsNumber="1" containsInteger="1" minValue="0" maxValue="1" count="2">
        <n v="0"/>
        <n v="1"/>
      </sharedItems>
    </cacheField>
  </cacheFields>
  <extLst>
    <ext xmlns:x14="http://schemas.microsoft.com/office/spreadsheetml/2009/9/main" uri="{725AE2AE-9491-48be-B2B4-4EB974FC3084}">
      <x14:pivotCacheDefinition pivotCacheId="1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utv2" refreshedDate="45757.659769444443" missingItemsLimit="0" createdVersion="5" refreshedVersion="5" minRefreshableVersion="3" recordCount="52">
  <cacheSource type="external" connectionId="7"/>
  <cacheFields count="4">
    <cacheField name="Соц. Работник" numFmtId="0">
      <sharedItems count="1">
        <s v="Польщикова О.В."/>
      </sharedItems>
    </cacheField>
    <cacheField name="Получатели ФИО" numFmtId="0">
      <sharedItems count="1">
        <s v="Готовцева Н.А."/>
      </sharedItems>
    </cacheField>
    <cacheField name="Услуги" numFmtId="0">
      <sharedItems count="52">
        <s v="Итого"/>
        <s v="Приготовление пищи"/>
        <s v="Помощь при приготовлении пищи"/>
        <s v="Подготовка и подача пищи"/>
        <s v="Помощь при подготовке пищи к приему"/>
        <s v="Кормление"/>
        <s v="Помощь при приеме пищи"/>
        <s v="Помощь в соблюдении питьевого режима."/>
        <s v="Умывание"/>
        <s v="Помощь при умывании"/>
        <s v="Купание в кровати, включая мытье головы"/>
        <s v="Купание в приспособленном помещении (месте), включая мытье головы"/>
        <s v="Помощь при купании в приспособленном помещении (месте), включая мытье головы"/>
        <s v="Гигиеническое обтирание"/>
        <s v="Мытье головы, в том числе в кровати"/>
        <s v="Помощь при мытье головы"/>
        <s v="Подмывание"/>
        <s v="Гигиеническая обработка рук и ногтей"/>
        <s v="Помощь при гигиенической обработке рук и ногтей"/>
        <s v="Мытье ног"/>
        <s v="Помощь при мытье ног"/>
        <s v="Гигиеническая обработка ног и ногтей"/>
        <s v="Помощь при гигиенической обработка ног и ногтей"/>
        <s v="Гигиенииеское бритье"/>
        <s v="Гигиеническая стрижка"/>
        <s v="Смена одежды (обуви)"/>
        <s v="Помощь при смене одежды (обуви)"/>
        <s v="Смена нательного белья"/>
        <s v="Помощь при смене нательного белья"/>
        <s v="Смена постельного белья"/>
        <s v="Помощь при смене постельного белья"/>
        <s v="Смена абсорбирующего белья, включая гигиеническую обработку"/>
        <s v="Помощь при смене абсорбирующего белья"/>
        <s v="Помощь при пользовании туалетом, включая гигиеническую обработку"/>
        <s v="Замена мочеприемника и (или) калоприемника, включая гигиеническую обработку"/>
        <s v="Помощь при замене мочеприемника и (или) калоприемника"/>
        <s v="Позиционирование"/>
        <s v="Помощь при позиционировании"/>
        <s v="Пересаживание"/>
        <s v="Помощь при пересаживании."/>
        <s v="Помощь при передвижении по помещению, пересаживании"/>
        <s v="Измерение температуры тела, артериального давления, пульса, сатурации"/>
        <s v="Помощь в соблюдении медицинских рекомендаций"/>
        <s v="Подготовка лекарственных препаратов к приему"/>
        <s v="Помощь в соблюдении приема лекарственных препаратов"/>
        <s v="Помощь в использовании очков и (или) слуховых аппаратов"/>
        <s v="Помощь в использовании протезов или ортезов"/>
        <s v="Помощь в поддержании посильной социальной активности"/>
        <s v="Помощь в поддержании  посильной физической активности, включая прогулки"/>
        <s v="Помощь в поддержании посильной бытовой активности"/>
        <s v="Среднее кол-во услуг на 1 получ. Усл."/>
        <s v="Количество обслуживаемых"/>
      </sharedItems>
    </cacheField>
    <cacheField name="Значения услуг" numFmtId="0">
      <sharedItems containsSemiMixedTypes="0" containsString="0" containsNumber="1" containsInteger="1" minValue="0" maxValue="1" count="2">
        <n v="0"/>
        <n v="1"/>
      </sharedItems>
    </cacheField>
  </cacheFields>
  <extLst>
    <ext xmlns:x14="http://schemas.microsoft.com/office/spreadsheetml/2009/9/main" uri="{725AE2AE-9491-48be-B2B4-4EB974FC3084}">
      <x14:pivotCacheDefinition pivotCacheId="7"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r:id="rId1" refreshedBy="utv2" refreshedDate="45757.674181712966" missingItemsLimit="0" createdVersion="5" refreshedVersion="5" minRefreshableVersion="3" recordCount="52">
  <cacheSource type="external" connectionId="3"/>
  <cacheFields count="4">
    <cacheField name="Соц. Работник" numFmtId="0">
      <sharedItems count="1">
        <s v="Польщикова О.В."/>
      </sharedItems>
    </cacheField>
    <cacheField name="Получатели ФИО" numFmtId="0">
      <sharedItems count="1">
        <s v="Готовцева Н.А."/>
      </sharedItems>
    </cacheField>
    <cacheField name="Услуги" numFmtId="0">
      <sharedItems count="52">
        <s v="Итого"/>
        <s v="Приготовление пищи"/>
        <s v="Помощь при приготовлении пищи"/>
        <s v="Подготовка и подача пищи"/>
        <s v="Помощь при подготовке пищи к приему"/>
        <s v="Кормление"/>
        <s v="Помощь при приеме пищи"/>
        <s v="Помощь в соблюдении питьевого режима."/>
        <s v="Умывание"/>
        <s v="Помощь при умывании"/>
        <s v="Купание в кровати, включая мытье головы"/>
        <s v="Купание в приспособленном помещении (месте), включая мытье головы"/>
        <s v="Помощь при купании в приспособленном помещении (месте), включая мытье головы"/>
        <s v="Гигиеническое обтирание"/>
        <s v="Мытье головы, в том числе в кровати"/>
        <s v="Помощь при мытье головы"/>
        <s v="Подмывание"/>
        <s v="Гигиеническая обработка рук и ногтей"/>
        <s v="Помощь при гигиенической обработке рук и ногтей"/>
        <s v="Мытье ног"/>
        <s v="Помощь при мытье ног"/>
        <s v="Гигиеническая обработка ног и ногтей"/>
        <s v="Помощь при гигиенической обработка ног и ногтей"/>
        <s v="Гигиенииеское бритье"/>
        <s v="Гигиеническая стрижка"/>
        <s v="Смена одежды (обуви)"/>
        <s v="Помощь при смене одежды (обуви)"/>
        <s v="Смена нательного белья"/>
        <s v="Помощь при смене нательного белья"/>
        <s v="Смена постельного белья"/>
        <s v="Помощь при смене постельного белья"/>
        <s v="Смена абсорбирующего белья, включая гигиеническую обработку"/>
        <s v="Помощь при смене абсорбирующего белья"/>
        <s v="Помощь при пользовании туалетом, включая гигиеническую обработку"/>
        <s v="Замена мочеприемника и (или) калоприемника, включая гигиеническую обработку"/>
        <s v="Помощь при замене мочеприемника и (или) калоприемника"/>
        <s v="Позиционирование"/>
        <s v="Помощь при позиционировании"/>
        <s v="Пересаживание"/>
        <s v="Помощь при пересаживании."/>
        <s v="Помощь при передвижении по помещению, пересаживании"/>
        <s v="Измерение температуры тела, артериального давления, пульса, сатурации"/>
        <s v="Помощь в соблюдении медицинских рекомендаций"/>
        <s v="Подготовка лекарственных препаратов к приему"/>
        <s v="Помощь в соблюдении приема лекарственных препаратов"/>
        <s v="Помощь в использовании очков и (или) слуховых аппаратов"/>
        <s v="Помощь в использовании протезов или ортезов"/>
        <s v="Помощь в поддержании посильной социальной активности"/>
        <s v="Помощь в поддержании  посильной физической активности, включая прогулки"/>
        <s v="Помощь в поддержании посильной бытовой активности"/>
        <s v="Среднее кол-во услуг на 1 получ. Усл."/>
        <s v="Количество обслуживаемых"/>
      </sharedItems>
    </cacheField>
    <cacheField name="Значения услуг" numFmtId="0">
      <sharedItems containsSemiMixedTypes="0" containsString="0" containsNumber="1" containsInteger="1" minValue="0" maxValue="1" count="2">
        <n v="0"/>
        <n v="1"/>
      </sharedItems>
    </cacheField>
  </cacheFields>
  <extLst>
    <ext xmlns:x14="http://schemas.microsoft.com/office/spreadsheetml/2009/9/main" uri="{725AE2AE-9491-48be-B2B4-4EB974FC3084}">
      <x14:pivotCacheDefinition pivotCacheId="6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52">
  <r>
    <x v="0"/>
    <x v="0"/>
    <x v="0"/>
    <x v="0"/>
  </r>
  <r>
    <x v="0"/>
    <x v="0"/>
    <x v="1"/>
    <x v="0"/>
  </r>
  <r>
    <x v="0"/>
    <x v="0"/>
    <x v="2"/>
    <x v="0"/>
  </r>
  <r>
    <x v="0"/>
    <x v="0"/>
    <x v="3"/>
    <x v="0"/>
  </r>
  <r>
    <x v="0"/>
    <x v="0"/>
    <x v="4"/>
    <x v="0"/>
  </r>
  <r>
    <x v="0"/>
    <x v="0"/>
    <x v="5"/>
    <x v="0"/>
  </r>
  <r>
    <x v="0"/>
    <x v="0"/>
    <x v="6"/>
    <x v="0"/>
  </r>
  <r>
    <x v="0"/>
    <x v="0"/>
    <x v="7"/>
    <x v="0"/>
  </r>
  <r>
    <x v="0"/>
    <x v="0"/>
    <x v="8"/>
    <x v="0"/>
  </r>
  <r>
    <x v="0"/>
    <x v="0"/>
    <x v="9"/>
    <x v="0"/>
  </r>
  <r>
    <x v="0"/>
    <x v="0"/>
    <x v="10"/>
    <x v="0"/>
  </r>
  <r>
    <x v="0"/>
    <x v="0"/>
    <x v="11"/>
    <x v="0"/>
  </r>
  <r>
    <x v="0"/>
    <x v="0"/>
    <x v="12"/>
    <x v="0"/>
  </r>
  <r>
    <x v="0"/>
    <x v="0"/>
    <x v="13"/>
    <x v="0"/>
  </r>
  <r>
    <x v="0"/>
    <x v="0"/>
    <x v="14"/>
    <x v="0"/>
  </r>
  <r>
    <x v="0"/>
    <x v="0"/>
    <x v="15"/>
    <x v="0"/>
  </r>
  <r>
    <x v="0"/>
    <x v="0"/>
    <x v="16"/>
    <x v="0"/>
  </r>
  <r>
    <x v="0"/>
    <x v="0"/>
    <x v="17"/>
    <x v="0"/>
  </r>
  <r>
    <x v="0"/>
    <x v="0"/>
    <x v="18"/>
    <x v="0"/>
  </r>
  <r>
    <x v="0"/>
    <x v="0"/>
    <x v="19"/>
    <x v="0"/>
  </r>
  <r>
    <x v="0"/>
    <x v="0"/>
    <x v="20"/>
    <x v="0"/>
  </r>
  <r>
    <x v="0"/>
    <x v="0"/>
    <x v="21"/>
    <x v="0"/>
  </r>
  <r>
    <x v="0"/>
    <x v="0"/>
    <x v="22"/>
    <x v="0"/>
  </r>
  <r>
    <x v="0"/>
    <x v="0"/>
    <x v="23"/>
    <x v="0"/>
  </r>
  <r>
    <x v="0"/>
    <x v="0"/>
    <x v="24"/>
    <x v="0"/>
  </r>
  <r>
    <x v="0"/>
    <x v="0"/>
    <x v="25"/>
    <x v="0"/>
  </r>
  <r>
    <x v="0"/>
    <x v="0"/>
    <x v="26"/>
    <x v="0"/>
  </r>
  <r>
    <x v="0"/>
    <x v="0"/>
    <x v="27"/>
    <x v="0"/>
  </r>
  <r>
    <x v="0"/>
    <x v="0"/>
    <x v="28"/>
    <x v="0"/>
  </r>
  <r>
    <x v="0"/>
    <x v="0"/>
    <x v="29"/>
    <x v="0"/>
  </r>
  <r>
    <x v="0"/>
    <x v="0"/>
    <x v="30"/>
    <x v="0"/>
  </r>
  <r>
    <x v="0"/>
    <x v="0"/>
    <x v="31"/>
    <x v="0"/>
  </r>
  <r>
    <x v="0"/>
    <x v="0"/>
    <x v="32"/>
    <x v="0"/>
  </r>
  <r>
    <x v="0"/>
    <x v="0"/>
    <x v="33"/>
    <x v="0"/>
  </r>
  <r>
    <x v="0"/>
    <x v="0"/>
    <x v="34"/>
    <x v="0"/>
  </r>
  <r>
    <x v="0"/>
    <x v="0"/>
    <x v="35"/>
    <x v="0"/>
  </r>
  <r>
    <x v="0"/>
    <x v="0"/>
    <x v="36"/>
    <x v="0"/>
  </r>
  <r>
    <x v="0"/>
    <x v="0"/>
    <x v="37"/>
    <x v="0"/>
  </r>
  <r>
    <x v="0"/>
    <x v="0"/>
    <x v="38"/>
    <x v="0"/>
  </r>
  <r>
    <x v="0"/>
    <x v="0"/>
    <x v="39"/>
    <x v="0"/>
  </r>
  <r>
    <x v="0"/>
    <x v="0"/>
    <x v="40"/>
    <x v="0"/>
  </r>
  <r>
    <x v="0"/>
    <x v="0"/>
    <x v="41"/>
    <x v="0"/>
  </r>
  <r>
    <x v="0"/>
    <x v="0"/>
    <x v="42"/>
    <x v="0"/>
  </r>
  <r>
    <x v="0"/>
    <x v="0"/>
    <x v="43"/>
    <x v="0"/>
  </r>
  <r>
    <x v="0"/>
    <x v="0"/>
    <x v="44"/>
    <x v="0"/>
  </r>
  <r>
    <x v="0"/>
    <x v="0"/>
    <x v="45"/>
    <x v="0"/>
  </r>
  <r>
    <x v="0"/>
    <x v="0"/>
    <x v="46"/>
    <x v="0"/>
  </r>
  <r>
    <x v="0"/>
    <x v="0"/>
    <x v="47"/>
    <x v="0"/>
  </r>
  <r>
    <x v="0"/>
    <x v="0"/>
    <x v="48"/>
    <x v="0"/>
  </r>
  <r>
    <x v="0"/>
    <x v="0"/>
    <x v="49"/>
    <x v="0"/>
  </r>
  <r>
    <x v="0"/>
    <x v="0"/>
    <x v="50"/>
    <x v="0"/>
  </r>
  <r>
    <x v="0"/>
    <x v="0"/>
    <x v="51"/>
    <x v="1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52">
  <r>
    <x v="0"/>
    <x v="0"/>
    <x v="0"/>
    <x v="0"/>
  </r>
  <r>
    <x v="0"/>
    <x v="0"/>
    <x v="1"/>
    <x v="0"/>
  </r>
  <r>
    <x v="0"/>
    <x v="0"/>
    <x v="2"/>
    <x v="0"/>
  </r>
  <r>
    <x v="0"/>
    <x v="0"/>
    <x v="3"/>
    <x v="0"/>
  </r>
  <r>
    <x v="0"/>
    <x v="0"/>
    <x v="4"/>
    <x v="0"/>
  </r>
  <r>
    <x v="0"/>
    <x v="0"/>
    <x v="5"/>
    <x v="0"/>
  </r>
  <r>
    <x v="0"/>
    <x v="0"/>
    <x v="6"/>
    <x v="0"/>
  </r>
  <r>
    <x v="0"/>
    <x v="0"/>
    <x v="7"/>
    <x v="0"/>
  </r>
  <r>
    <x v="0"/>
    <x v="0"/>
    <x v="8"/>
    <x v="0"/>
  </r>
  <r>
    <x v="0"/>
    <x v="0"/>
    <x v="9"/>
    <x v="0"/>
  </r>
  <r>
    <x v="0"/>
    <x v="0"/>
    <x v="10"/>
    <x v="0"/>
  </r>
  <r>
    <x v="0"/>
    <x v="0"/>
    <x v="11"/>
    <x v="0"/>
  </r>
  <r>
    <x v="0"/>
    <x v="0"/>
    <x v="12"/>
    <x v="0"/>
  </r>
  <r>
    <x v="0"/>
    <x v="0"/>
    <x v="13"/>
    <x v="0"/>
  </r>
  <r>
    <x v="0"/>
    <x v="0"/>
    <x v="14"/>
    <x v="0"/>
  </r>
  <r>
    <x v="0"/>
    <x v="0"/>
    <x v="15"/>
    <x v="0"/>
  </r>
  <r>
    <x v="0"/>
    <x v="0"/>
    <x v="16"/>
    <x v="0"/>
  </r>
  <r>
    <x v="0"/>
    <x v="0"/>
    <x v="17"/>
    <x v="0"/>
  </r>
  <r>
    <x v="0"/>
    <x v="0"/>
    <x v="18"/>
    <x v="0"/>
  </r>
  <r>
    <x v="0"/>
    <x v="0"/>
    <x v="19"/>
    <x v="0"/>
  </r>
  <r>
    <x v="0"/>
    <x v="0"/>
    <x v="20"/>
    <x v="0"/>
  </r>
  <r>
    <x v="0"/>
    <x v="0"/>
    <x v="21"/>
    <x v="0"/>
  </r>
  <r>
    <x v="0"/>
    <x v="0"/>
    <x v="22"/>
    <x v="0"/>
  </r>
  <r>
    <x v="0"/>
    <x v="0"/>
    <x v="23"/>
    <x v="0"/>
  </r>
  <r>
    <x v="0"/>
    <x v="0"/>
    <x v="24"/>
    <x v="0"/>
  </r>
  <r>
    <x v="0"/>
    <x v="0"/>
    <x v="25"/>
    <x v="0"/>
  </r>
  <r>
    <x v="0"/>
    <x v="0"/>
    <x v="26"/>
    <x v="0"/>
  </r>
  <r>
    <x v="0"/>
    <x v="0"/>
    <x v="27"/>
    <x v="0"/>
  </r>
  <r>
    <x v="0"/>
    <x v="0"/>
    <x v="28"/>
    <x v="0"/>
  </r>
  <r>
    <x v="0"/>
    <x v="0"/>
    <x v="29"/>
    <x v="0"/>
  </r>
  <r>
    <x v="0"/>
    <x v="0"/>
    <x v="30"/>
    <x v="0"/>
  </r>
  <r>
    <x v="0"/>
    <x v="0"/>
    <x v="31"/>
    <x v="0"/>
  </r>
  <r>
    <x v="0"/>
    <x v="0"/>
    <x v="32"/>
    <x v="0"/>
  </r>
  <r>
    <x v="0"/>
    <x v="0"/>
    <x v="33"/>
    <x v="0"/>
  </r>
  <r>
    <x v="0"/>
    <x v="0"/>
    <x v="34"/>
    <x v="0"/>
  </r>
  <r>
    <x v="0"/>
    <x v="0"/>
    <x v="35"/>
    <x v="0"/>
  </r>
  <r>
    <x v="0"/>
    <x v="0"/>
    <x v="36"/>
    <x v="0"/>
  </r>
  <r>
    <x v="0"/>
    <x v="0"/>
    <x v="37"/>
    <x v="0"/>
  </r>
  <r>
    <x v="0"/>
    <x v="0"/>
    <x v="38"/>
    <x v="0"/>
  </r>
  <r>
    <x v="0"/>
    <x v="0"/>
    <x v="39"/>
    <x v="0"/>
  </r>
  <r>
    <x v="0"/>
    <x v="0"/>
    <x v="40"/>
    <x v="0"/>
  </r>
  <r>
    <x v="0"/>
    <x v="0"/>
    <x v="41"/>
    <x v="0"/>
  </r>
  <r>
    <x v="0"/>
    <x v="0"/>
    <x v="42"/>
    <x v="0"/>
  </r>
  <r>
    <x v="0"/>
    <x v="0"/>
    <x v="43"/>
    <x v="0"/>
  </r>
  <r>
    <x v="0"/>
    <x v="0"/>
    <x v="44"/>
    <x v="0"/>
  </r>
  <r>
    <x v="0"/>
    <x v="0"/>
    <x v="45"/>
    <x v="0"/>
  </r>
  <r>
    <x v="0"/>
    <x v="0"/>
    <x v="46"/>
    <x v="0"/>
  </r>
  <r>
    <x v="0"/>
    <x v="0"/>
    <x v="47"/>
    <x v="0"/>
  </r>
  <r>
    <x v="0"/>
    <x v="0"/>
    <x v="48"/>
    <x v="0"/>
  </r>
  <r>
    <x v="0"/>
    <x v="0"/>
    <x v="49"/>
    <x v="0"/>
  </r>
  <r>
    <x v="0"/>
    <x v="0"/>
    <x v="50"/>
    <x v="0"/>
  </r>
  <r>
    <x v="0"/>
    <x v="0"/>
    <x v="51"/>
    <x v="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pivotTable1.xml><?xml version="1.0" encoding="utf-8"?>
<pivotTableDefinition xmlns="http://schemas.openxmlformats.org/spreadsheetml/2006/main" name="МесяцыСводная" cacheId="22" applyNumberFormats="0" applyBorderFormats="0" applyFontFormats="0" applyPatternFormats="0" applyAlignmentFormats="0" applyWidthHeightFormats="1" dataCaption="Значения" missingCaption="0" updatedVersion="5" minRefreshableVersion="3" showDataTips="0" enableDrill="0" useAutoFormatting="1" colGrandTotals="0" itemPrintTitles="1" createdVersion="5" indent="0" compact="0" compactData="0" gridDropZones="1" multipleFieldFilters="0">
  <location ref="A7:BB10" firstHeaderRow="1" firstDataRow="2" firstDataCol="2"/>
  <pivotFields count="5">
    <pivotField axis="axisRow" compact="0" outline="0" showAll="0">
      <items count="2">
        <item sd="0" x="0"/>
        <item t="default" sd="0"/>
      </items>
    </pivotField>
    <pivotField axis="axisRow" compact="0" outline="0" showAll="0">
      <items count="2">
        <item x="0"/>
        <item t="default"/>
      </items>
    </pivotField>
    <pivotField compact="0" outline="0" showAll="0" defaultSubtotal="0">
      <items count="1">
        <item x="0"/>
      </items>
    </pivotField>
    <pivotField axis="axisCol" compact="0" outline="0" showAll="0">
      <items count="53">
        <item x="51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t="default"/>
      </items>
    </pivotField>
    <pivotField dataField="1" compact="0" outline="0" showAll="0"/>
  </pivotFields>
  <rowFields count="2">
    <field x="0"/>
    <field x="1"/>
  </rowFields>
  <rowItems count="2">
    <i>
      <x/>
    </i>
    <i t="grand">
      <x/>
    </i>
  </rowItems>
  <colFields count="1">
    <field x="3"/>
  </colFields>
  <colItems count="5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</colItems>
  <dataFields count="1">
    <dataField name=" Значения услуг" fld="4" baseField="1" baseItem="1"/>
  </dataFields>
  <formats count="909">
    <format dxfId="1525">
      <pivotArea type="all" dataOnly="0" outline="0" fieldPosition="0"/>
    </format>
    <format dxfId="1524">
      <pivotArea type="all" dataOnly="0" outline="0" fieldPosition="0"/>
    </format>
    <format dxfId="1523">
      <pivotArea type="all" dataOnly="0" outline="0" fieldPosition="0"/>
    </format>
    <format dxfId="1522">
      <pivotArea type="all" dataOnly="0" outline="0" fieldPosition="0"/>
    </format>
    <format dxfId="1521">
      <pivotArea dataOnly="0" labelOnly="1" outline="0" fieldPosition="0">
        <references count="1">
          <reference field="0" count="0"/>
        </references>
      </pivotArea>
    </format>
    <format dxfId="1520">
      <pivotArea dataOnly="0" labelOnly="1" outline="0" fieldPosition="0">
        <references count="1">
          <reference field="0" count="0" defaultSubtotal="1"/>
        </references>
      </pivotArea>
    </format>
    <format dxfId="1519">
      <pivotArea dataOnly="0" labelOnly="1" grandRow="1" outline="0" fieldPosition="0"/>
    </format>
    <format dxfId="1518">
      <pivotArea dataOnly="0" labelOnly="1" outline="0" fieldPosition="0">
        <references count="1">
          <reference field="0" count="0"/>
        </references>
      </pivotArea>
    </format>
    <format dxfId="1517">
      <pivotArea dataOnly="0" labelOnly="1" outline="0" fieldPosition="0">
        <references count="1">
          <reference field="0" count="0" defaultSubtotal="1"/>
        </references>
      </pivotArea>
    </format>
    <format dxfId="1516">
      <pivotArea dataOnly="0" labelOnly="1" grandRow="1" outline="0" fieldPosition="0"/>
    </format>
    <format dxfId="1515">
      <pivotArea type="all" dataOnly="0" outline="0" fieldPosition="0"/>
    </format>
    <format dxfId="1514">
      <pivotArea dataOnly="0" labelOnly="1" outline="0" fieldPosition="0">
        <references count="1">
          <reference field="3" count="0"/>
        </references>
      </pivotArea>
    </format>
    <format dxfId="1513">
      <pivotArea dataOnly="0" outline="0" fieldPosition="0">
        <references count="1">
          <reference field="3" count="1">
            <x v="2"/>
          </reference>
        </references>
      </pivotArea>
    </format>
    <format dxfId="1512">
      <pivotArea dataOnly="0" labelOnly="1" outline="0" fieldPosition="0">
        <references count="1">
          <reference field="3" count="0"/>
        </references>
      </pivotArea>
    </format>
    <format dxfId="1511">
      <pivotArea dataOnly="0" labelOnly="1" outline="0" fieldPosition="0">
        <references count="1">
          <reference field="3" count="1">
            <x v="1"/>
          </reference>
        </references>
      </pivotArea>
    </format>
    <format dxfId="1510">
      <pivotArea dataOnly="0" labelOnly="1" outline="0" fieldPosition="0">
        <references count="1">
          <reference field="3" count="1">
            <x v="1"/>
          </reference>
        </references>
      </pivotArea>
    </format>
    <format dxfId="1509">
      <pivotArea type="all" dataOnly="0" outline="0" fieldPosition="0"/>
    </format>
    <format dxfId="1508">
      <pivotArea outline="0" collapsedLevelsAreSubtotals="1" fieldPosition="0"/>
    </format>
    <format dxfId="1507">
      <pivotArea dataOnly="0" labelOnly="1" outline="0" fieldPosition="0">
        <references count="1">
          <reference field="0" count="0"/>
        </references>
      </pivotArea>
    </format>
    <format dxfId="1506">
      <pivotArea dataOnly="0" labelOnly="1" grandRow="1" outline="0" fieldPosition="0"/>
    </format>
    <format dxfId="1505">
      <pivotArea dataOnly="0" labelOnly="1" outline="0" fieldPosition="0">
        <references count="1">
          <reference field="3" count="0"/>
        </references>
      </pivotArea>
    </format>
    <format dxfId="1504">
      <pivotArea type="all" dataOnly="0" outline="0" fieldPosition="0"/>
    </format>
    <format dxfId="1503">
      <pivotArea outline="0" collapsedLevelsAreSubtotals="1" fieldPosition="0"/>
    </format>
    <format dxfId="1502">
      <pivotArea dataOnly="0" labelOnly="1" outline="0" fieldPosition="0">
        <references count="1">
          <reference field="0" count="0"/>
        </references>
      </pivotArea>
    </format>
    <format dxfId="1501">
      <pivotArea dataOnly="0" labelOnly="1" grandRow="1" outline="0" fieldPosition="0"/>
    </format>
    <format dxfId="1500">
      <pivotArea dataOnly="0" labelOnly="1" outline="0" fieldPosition="0">
        <references count="1">
          <reference field="3" count="0"/>
        </references>
      </pivotArea>
    </format>
    <format dxfId="1499">
      <pivotArea type="all" dataOnly="0" outline="0" fieldPosition="0"/>
    </format>
    <format dxfId="1498">
      <pivotArea outline="0" collapsedLevelsAreSubtotals="1" fieldPosition="0"/>
    </format>
    <format dxfId="1497">
      <pivotArea dataOnly="0" labelOnly="1" outline="0" fieldPosition="0">
        <references count="1">
          <reference field="0" count="0"/>
        </references>
      </pivotArea>
    </format>
    <format dxfId="1496">
      <pivotArea dataOnly="0" labelOnly="1" grandRow="1" outline="0" fieldPosition="0"/>
    </format>
    <format dxfId="1495">
      <pivotArea dataOnly="0" labelOnly="1" outline="0" fieldPosition="0">
        <references count="1">
          <reference field="3" count="0"/>
        </references>
      </pivotArea>
    </format>
    <format dxfId="1494">
      <pivotArea type="all" dataOnly="0" outline="0" fieldPosition="0"/>
    </format>
    <format dxfId="1493">
      <pivotArea outline="0" collapsedLevelsAreSubtotals="1" fieldPosition="0"/>
    </format>
    <format dxfId="1492">
      <pivotArea dataOnly="0" labelOnly="1" outline="0" fieldPosition="0">
        <references count="1">
          <reference field="0" count="0"/>
        </references>
      </pivotArea>
    </format>
    <format dxfId="1491">
      <pivotArea dataOnly="0" labelOnly="1" grandRow="1" outline="0" fieldPosition="0"/>
    </format>
    <format dxfId="1490">
      <pivotArea dataOnly="0" labelOnly="1" outline="0" fieldPosition="0">
        <references count="1">
          <reference field="3" count="0"/>
        </references>
      </pivotArea>
    </format>
    <format dxfId="1489">
      <pivotArea type="all" dataOnly="0" outline="0" fieldPosition="0"/>
    </format>
    <format dxfId="1488">
      <pivotArea outline="0" collapsedLevelsAreSubtotals="1" fieldPosition="0"/>
    </format>
    <format dxfId="1487">
      <pivotArea dataOnly="0" labelOnly="1" outline="0" fieldPosition="0">
        <references count="1">
          <reference field="0" count="0"/>
        </references>
      </pivotArea>
    </format>
    <format dxfId="1486">
      <pivotArea dataOnly="0" labelOnly="1" grandRow="1" outline="0" fieldPosition="0"/>
    </format>
    <format dxfId="1485">
      <pivotArea dataOnly="0" labelOnly="1" outline="0" fieldPosition="0">
        <references count="1">
          <reference field="3" count="0"/>
        </references>
      </pivotArea>
    </format>
    <format dxfId="1484">
      <pivotArea type="all" dataOnly="0" outline="0" fieldPosition="0"/>
    </format>
    <format dxfId="1483">
      <pivotArea outline="0" collapsedLevelsAreSubtotals="1" fieldPosition="0"/>
    </format>
    <format dxfId="1482">
      <pivotArea dataOnly="0" labelOnly="1" outline="0" fieldPosition="0">
        <references count="1">
          <reference field="0" count="0"/>
        </references>
      </pivotArea>
    </format>
    <format dxfId="1481">
      <pivotArea dataOnly="0" labelOnly="1" grandRow="1" outline="0" fieldPosition="0"/>
    </format>
    <format dxfId="1480">
      <pivotArea dataOnly="0" labelOnly="1" outline="0" fieldPosition="0">
        <references count="1">
          <reference field="3" count="0"/>
        </references>
      </pivotArea>
    </format>
    <format dxfId="1479">
      <pivotArea type="all" dataOnly="0" outline="0" fieldPosition="0"/>
    </format>
    <format dxfId="1478">
      <pivotArea outline="0" collapsedLevelsAreSubtotals="1" fieldPosition="0"/>
    </format>
    <format dxfId="1477">
      <pivotArea dataOnly="0" labelOnly="1" outline="0" fieldPosition="0">
        <references count="1">
          <reference field="0" count="0"/>
        </references>
      </pivotArea>
    </format>
    <format dxfId="1476">
      <pivotArea dataOnly="0" labelOnly="1" grandRow="1" outline="0" fieldPosition="0"/>
    </format>
    <format dxfId="1475">
      <pivotArea dataOnly="0" labelOnly="1" outline="0" fieldPosition="0">
        <references count="1">
          <reference field="3" count="0"/>
        </references>
      </pivotArea>
    </format>
    <format dxfId="1474">
      <pivotArea grandRow="1" outline="0" collapsedLevelsAreSubtotals="1" fieldPosition="0"/>
    </format>
    <format dxfId="1473">
      <pivotArea dataOnly="0" labelOnly="1" grandRow="1" outline="0" fieldPosition="0"/>
    </format>
    <format dxfId="1472">
      <pivotArea type="all" dataOnly="0" outline="0" fieldPosition="0"/>
    </format>
    <format dxfId="1471">
      <pivotArea outline="0" collapsedLevelsAreSubtotals="1" fieldPosition="0"/>
    </format>
    <format dxfId="1470">
      <pivotArea dataOnly="0" labelOnly="1" outline="0" fieldPosition="0">
        <references count="1">
          <reference field="0" count="0"/>
        </references>
      </pivotArea>
    </format>
    <format dxfId="1469">
      <pivotArea dataOnly="0" labelOnly="1" grandRow="1" outline="0" fieldPosition="0"/>
    </format>
    <format dxfId="1468">
      <pivotArea dataOnly="0" labelOnly="1" outline="0" fieldPosition="0">
        <references count="1">
          <reference field="3" count="0"/>
        </references>
      </pivotArea>
    </format>
    <format dxfId="1467">
      <pivotArea type="all" dataOnly="0" outline="0" fieldPosition="0"/>
    </format>
    <format dxfId="1466">
      <pivotArea outline="0" collapsedLevelsAreSubtotals="1" fieldPosition="0"/>
    </format>
    <format dxfId="1465">
      <pivotArea dataOnly="0" labelOnly="1" outline="0" fieldPosition="0">
        <references count="1">
          <reference field="0" count="0"/>
        </references>
      </pivotArea>
    </format>
    <format dxfId="1464">
      <pivotArea dataOnly="0" labelOnly="1" grandRow="1" outline="0" fieldPosition="0"/>
    </format>
    <format dxfId="1463">
      <pivotArea dataOnly="0" labelOnly="1" outline="0" fieldPosition="0">
        <references count="1">
          <reference field="3" count="0"/>
        </references>
      </pivotArea>
    </format>
    <format dxfId="1462">
      <pivotArea dataOnly="0" labelOnly="1" outline="0" fieldPosition="0">
        <references count="1">
          <reference field="3" count="0"/>
        </references>
      </pivotArea>
    </format>
    <format dxfId="1461">
      <pivotArea type="all" dataOnly="0" outline="0" fieldPosition="0"/>
    </format>
    <format dxfId="1460">
      <pivotArea outline="0" collapsedLevelsAreSubtotals="1" fieldPosition="0"/>
    </format>
    <format dxfId="1459">
      <pivotArea dataOnly="0" labelOnly="1" outline="0" fieldPosition="0">
        <references count="1">
          <reference field="0" count="0"/>
        </references>
      </pivotArea>
    </format>
    <format dxfId="1458">
      <pivotArea dataOnly="0" labelOnly="1" grandRow="1" outline="0" fieldPosition="0"/>
    </format>
    <format dxfId="1457">
      <pivotArea dataOnly="0" labelOnly="1" outline="0" fieldPosition="0">
        <references count="1">
          <reference field="3" count="0"/>
        </references>
      </pivotArea>
    </format>
    <format dxfId="1456">
      <pivotArea type="all" dataOnly="0" outline="0" fieldPosition="0"/>
    </format>
    <format dxfId="1455">
      <pivotArea outline="0" collapsedLevelsAreSubtotals="1" fieldPosition="0"/>
    </format>
    <format dxfId="1454">
      <pivotArea dataOnly="0" labelOnly="1" outline="0" fieldPosition="0">
        <references count="1">
          <reference field="0" count="0"/>
        </references>
      </pivotArea>
    </format>
    <format dxfId="1453">
      <pivotArea dataOnly="0" labelOnly="1" grandRow="1" outline="0" fieldPosition="0"/>
    </format>
    <format dxfId="1452">
      <pivotArea dataOnly="0" labelOnly="1" outline="0" fieldPosition="0">
        <references count="1">
          <reference field="3" count="0"/>
        </references>
      </pivotArea>
    </format>
    <format dxfId="1451">
      <pivotArea type="all" dataOnly="0" outline="0" fieldPosition="0"/>
    </format>
    <format dxfId="1450">
      <pivotArea outline="0" collapsedLevelsAreSubtotals="1" fieldPosition="0"/>
    </format>
    <format dxfId="1449">
      <pivotArea dataOnly="0" labelOnly="1" outline="0" fieldPosition="0">
        <references count="1">
          <reference field="0" count="0"/>
        </references>
      </pivotArea>
    </format>
    <format dxfId="1448">
      <pivotArea dataOnly="0" labelOnly="1" grandRow="1" outline="0" fieldPosition="0"/>
    </format>
    <format dxfId="1447">
      <pivotArea dataOnly="0" labelOnly="1" outline="0" fieldPosition="0">
        <references count="1">
          <reference field="3" count="0"/>
        </references>
      </pivotArea>
    </format>
    <format dxfId="1446">
      <pivotArea type="all" dataOnly="0" outline="0" fieldPosition="0"/>
    </format>
    <format dxfId="1445">
      <pivotArea outline="0" collapsedLevelsAreSubtotals="1" fieldPosition="0"/>
    </format>
    <format dxfId="1444">
      <pivotArea dataOnly="0" labelOnly="1" outline="0" fieldPosition="0">
        <references count="1">
          <reference field="0" count="0"/>
        </references>
      </pivotArea>
    </format>
    <format dxfId="1443">
      <pivotArea dataOnly="0" labelOnly="1" grandRow="1" outline="0" fieldPosition="0"/>
    </format>
    <format dxfId="1442">
      <pivotArea dataOnly="0" labelOnly="1" outline="0" fieldPosition="0">
        <references count="1">
          <reference field="3" count="0"/>
        </references>
      </pivotArea>
    </format>
    <format dxfId="1441">
      <pivotArea type="all" dataOnly="0" outline="0" fieldPosition="0"/>
    </format>
    <format dxfId="1440">
      <pivotArea outline="0" collapsedLevelsAreSubtotals="1" fieldPosition="0"/>
    </format>
    <format dxfId="1439">
      <pivotArea dataOnly="0" labelOnly="1" outline="0" fieldPosition="0">
        <references count="1">
          <reference field="0" count="0"/>
        </references>
      </pivotArea>
    </format>
    <format dxfId="1438">
      <pivotArea dataOnly="0" labelOnly="1" grandRow="1" outline="0" fieldPosition="0"/>
    </format>
    <format dxfId="1437">
      <pivotArea dataOnly="0" labelOnly="1" outline="0" fieldPosition="0">
        <references count="1">
          <reference field="3" count="0"/>
        </references>
      </pivotArea>
    </format>
    <format dxfId="1436">
      <pivotArea type="all" dataOnly="0" outline="0" fieldPosition="0"/>
    </format>
    <format dxfId="1435">
      <pivotArea outline="0" collapsedLevelsAreSubtotals="1" fieldPosition="0"/>
    </format>
    <format dxfId="1434">
      <pivotArea dataOnly="0" labelOnly="1" outline="0" fieldPosition="0">
        <references count="1">
          <reference field="0" count="0"/>
        </references>
      </pivotArea>
    </format>
    <format dxfId="1433">
      <pivotArea dataOnly="0" labelOnly="1" grandRow="1" outline="0" fieldPosition="0"/>
    </format>
    <format dxfId="1432">
      <pivotArea dataOnly="0" labelOnly="1" outline="0" fieldPosition="0">
        <references count="1">
          <reference field="3" count="0"/>
        </references>
      </pivotArea>
    </format>
    <format dxfId="1431">
      <pivotArea type="all" dataOnly="0" outline="0" fieldPosition="0"/>
    </format>
    <format dxfId="1430">
      <pivotArea outline="0" collapsedLevelsAreSubtotals="1" fieldPosition="0"/>
    </format>
    <format dxfId="1429">
      <pivotArea dataOnly="0" labelOnly="1" outline="0" fieldPosition="0">
        <references count="1">
          <reference field="0" count="0"/>
        </references>
      </pivotArea>
    </format>
    <format dxfId="1428">
      <pivotArea dataOnly="0" labelOnly="1" grandRow="1" outline="0" fieldPosition="0"/>
    </format>
    <format dxfId="1427">
      <pivotArea dataOnly="0" labelOnly="1" outline="0" fieldPosition="0">
        <references count="1">
          <reference field="3" count="0"/>
        </references>
      </pivotArea>
    </format>
    <format dxfId="1426">
      <pivotArea type="all" dataOnly="0" outline="0" fieldPosition="0"/>
    </format>
    <format dxfId="1425">
      <pivotArea outline="0" collapsedLevelsAreSubtotals="1" fieldPosition="0"/>
    </format>
    <format dxfId="1424">
      <pivotArea dataOnly="0" labelOnly="1" outline="0" fieldPosition="0">
        <references count="1">
          <reference field="0" count="0"/>
        </references>
      </pivotArea>
    </format>
    <format dxfId="1423">
      <pivotArea dataOnly="0" labelOnly="1" grandRow="1" outline="0" fieldPosition="0"/>
    </format>
    <format dxfId="1422">
      <pivotArea dataOnly="0" labelOnly="1" outline="0" fieldPosition="0">
        <references count="1">
          <reference field="3" count="0"/>
        </references>
      </pivotArea>
    </format>
    <format dxfId="1421">
      <pivotArea type="all" dataOnly="0" outline="0" fieldPosition="0"/>
    </format>
    <format dxfId="1420">
      <pivotArea outline="0" collapsedLevelsAreSubtotals="1" fieldPosition="0"/>
    </format>
    <format dxfId="1419">
      <pivotArea dataOnly="0" labelOnly="1" outline="0" fieldPosition="0">
        <references count="1">
          <reference field="0" count="0"/>
        </references>
      </pivotArea>
    </format>
    <format dxfId="1418">
      <pivotArea dataOnly="0" labelOnly="1" grandRow="1" outline="0" fieldPosition="0"/>
    </format>
    <format dxfId="1417">
      <pivotArea dataOnly="0" labelOnly="1" outline="0" fieldPosition="0">
        <references count="1">
          <reference field="3" count="0"/>
        </references>
      </pivotArea>
    </format>
    <format dxfId="1416">
      <pivotArea type="all" dataOnly="0" outline="0" fieldPosition="0"/>
    </format>
    <format dxfId="1415">
      <pivotArea outline="0" collapsedLevelsAreSubtotals="1" fieldPosition="0"/>
    </format>
    <format dxfId="1414">
      <pivotArea dataOnly="0" labelOnly="1" outline="0" fieldPosition="0">
        <references count="1">
          <reference field="0" count="0"/>
        </references>
      </pivotArea>
    </format>
    <format dxfId="1413">
      <pivotArea dataOnly="0" labelOnly="1" grandRow="1" outline="0" fieldPosition="0"/>
    </format>
    <format dxfId="1412">
      <pivotArea dataOnly="0" labelOnly="1" outline="0" fieldPosition="0">
        <references count="1">
          <reference field="3" count="0"/>
        </references>
      </pivotArea>
    </format>
    <format dxfId="1411">
      <pivotArea type="all" dataOnly="0" outline="0" fieldPosition="0"/>
    </format>
    <format dxfId="1410">
      <pivotArea outline="0" collapsedLevelsAreSubtotals="1" fieldPosition="0"/>
    </format>
    <format dxfId="1409">
      <pivotArea dataOnly="0" labelOnly="1" outline="0" fieldPosition="0">
        <references count="1">
          <reference field="0" count="0"/>
        </references>
      </pivotArea>
    </format>
    <format dxfId="1408">
      <pivotArea dataOnly="0" labelOnly="1" grandRow="1" outline="0" fieldPosition="0"/>
    </format>
    <format dxfId="1407">
      <pivotArea dataOnly="0" labelOnly="1" outline="0" fieldPosition="0">
        <references count="1">
          <reference field="3" count="0"/>
        </references>
      </pivotArea>
    </format>
    <format dxfId="1406">
      <pivotArea type="all" dataOnly="0" outline="0" fieldPosition="0"/>
    </format>
    <format dxfId="1405">
      <pivotArea outline="0" collapsedLevelsAreSubtotals="1" fieldPosition="0"/>
    </format>
    <format dxfId="1404">
      <pivotArea dataOnly="0" labelOnly="1" outline="0" fieldPosition="0">
        <references count="1">
          <reference field="0" count="0"/>
        </references>
      </pivotArea>
    </format>
    <format dxfId="1403">
      <pivotArea dataOnly="0" labelOnly="1" grandRow="1" outline="0" fieldPosition="0"/>
    </format>
    <format dxfId="1402">
      <pivotArea dataOnly="0" labelOnly="1" outline="0" fieldPosition="0">
        <references count="1">
          <reference field="3" count="0"/>
        </references>
      </pivotArea>
    </format>
    <format dxfId="1401">
      <pivotArea type="all" dataOnly="0" outline="0" fieldPosition="0"/>
    </format>
    <format dxfId="1400">
      <pivotArea outline="0" collapsedLevelsAreSubtotals="1" fieldPosition="0"/>
    </format>
    <format dxfId="1399">
      <pivotArea dataOnly="0" labelOnly="1" outline="0" fieldPosition="0">
        <references count="1">
          <reference field="0" count="0"/>
        </references>
      </pivotArea>
    </format>
    <format dxfId="1398">
      <pivotArea dataOnly="0" labelOnly="1" grandRow="1" outline="0" fieldPosition="0"/>
    </format>
    <format dxfId="1397">
      <pivotArea dataOnly="0" labelOnly="1" outline="0" fieldPosition="0">
        <references count="1">
          <reference field="3" count="0"/>
        </references>
      </pivotArea>
    </format>
    <format dxfId="1396">
      <pivotArea type="all" dataOnly="0" outline="0" fieldPosition="0"/>
    </format>
    <format dxfId="1395">
      <pivotArea outline="0" collapsedLevelsAreSubtotals="1" fieldPosition="0"/>
    </format>
    <format dxfId="1394">
      <pivotArea dataOnly="0" labelOnly="1" outline="0" fieldPosition="0">
        <references count="1">
          <reference field="0" count="0"/>
        </references>
      </pivotArea>
    </format>
    <format dxfId="1393">
      <pivotArea dataOnly="0" labelOnly="1" grandRow="1" outline="0" fieldPosition="0"/>
    </format>
    <format dxfId="1392">
      <pivotArea dataOnly="0" labelOnly="1" outline="0" fieldPosition="0">
        <references count="1">
          <reference field="3" count="0"/>
        </references>
      </pivotArea>
    </format>
    <format dxfId="1391">
      <pivotArea type="all" dataOnly="0" outline="0" fieldPosition="0"/>
    </format>
    <format dxfId="1390">
      <pivotArea outline="0" collapsedLevelsAreSubtotals="1" fieldPosition="0"/>
    </format>
    <format dxfId="1389">
      <pivotArea dataOnly="0" labelOnly="1" outline="0" fieldPosition="0">
        <references count="1">
          <reference field="0" count="0"/>
        </references>
      </pivotArea>
    </format>
    <format dxfId="1388">
      <pivotArea dataOnly="0" labelOnly="1" grandRow="1" outline="0" fieldPosition="0"/>
    </format>
    <format dxfId="1387">
      <pivotArea dataOnly="0" labelOnly="1" outline="0" fieldPosition="0">
        <references count="1">
          <reference field="3" count="0"/>
        </references>
      </pivotArea>
    </format>
    <format dxfId="1386">
      <pivotArea type="all" dataOnly="0" outline="0" fieldPosition="0"/>
    </format>
    <format dxfId="1385">
      <pivotArea outline="0" collapsedLevelsAreSubtotals="1" fieldPosition="0"/>
    </format>
    <format dxfId="1384">
      <pivotArea dataOnly="0" labelOnly="1" outline="0" fieldPosition="0">
        <references count="1">
          <reference field="0" count="0"/>
        </references>
      </pivotArea>
    </format>
    <format dxfId="1383">
      <pivotArea dataOnly="0" labelOnly="1" grandRow="1" outline="0" fieldPosition="0"/>
    </format>
    <format dxfId="1382">
      <pivotArea dataOnly="0" labelOnly="1" outline="0" fieldPosition="0">
        <references count="1">
          <reference field="3" count="0"/>
        </references>
      </pivotArea>
    </format>
    <format dxfId="1381">
      <pivotArea type="all" dataOnly="0" outline="0" fieldPosition="0"/>
    </format>
    <format dxfId="1380">
      <pivotArea outline="0" collapsedLevelsAreSubtotals="1" fieldPosition="0"/>
    </format>
    <format dxfId="1379">
      <pivotArea dataOnly="0" labelOnly="1" outline="0" fieldPosition="0">
        <references count="1">
          <reference field="0" count="0"/>
        </references>
      </pivotArea>
    </format>
    <format dxfId="1378">
      <pivotArea dataOnly="0" labelOnly="1" grandRow="1" outline="0" fieldPosition="0"/>
    </format>
    <format dxfId="1377">
      <pivotArea dataOnly="0" labelOnly="1" outline="0" fieldPosition="0">
        <references count="1">
          <reference field="3" count="0"/>
        </references>
      </pivotArea>
    </format>
    <format dxfId="1376">
      <pivotArea type="all" dataOnly="0" outline="0" fieldPosition="0"/>
    </format>
    <format dxfId="1375">
      <pivotArea outline="0" collapsedLevelsAreSubtotals="1" fieldPosition="0"/>
    </format>
    <format dxfId="1374">
      <pivotArea dataOnly="0" labelOnly="1" outline="0" fieldPosition="0">
        <references count="1">
          <reference field="0" count="0"/>
        </references>
      </pivotArea>
    </format>
    <format dxfId="1373">
      <pivotArea dataOnly="0" labelOnly="1" grandRow="1" outline="0" fieldPosition="0"/>
    </format>
    <format dxfId="1372">
      <pivotArea dataOnly="0" labelOnly="1" outline="0" fieldPosition="0">
        <references count="1">
          <reference field="3" count="0"/>
        </references>
      </pivotArea>
    </format>
    <format dxfId="1371">
      <pivotArea type="all" dataOnly="0" outline="0" fieldPosition="0"/>
    </format>
    <format dxfId="1370">
      <pivotArea outline="0" collapsedLevelsAreSubtotals="1" fieldPosition="0"/>
    </format>
    <format dxfId="1369">
      <pivotArea dataOnly="0" labelOnly="1" outline="0" fieldPosition="0">
        <references count="1">
          <reference field="0" count="0"/>
        </references>
      </pivotArea>
    </format>
    <format dxfId="1368">
      <pivotArea dataOnly="0" labelOnly="1" grandRow="1" outline="0" fieldPosition="0"/>
    </format>
    <format dxfId="1367">
      <pivotArea dataOnly="0" labelOnly="1" outline="0" fieldPosition="0">
        <references count="1">
          <reference field="3" count="0"/>
        </references>
      </pivotArea>
    </format>
    <format dxfId="1366">
      <pivotArea type="all" dataOnly="0" outline="0" fieldPosition="0"/>
    </format>
    <format dxfId="1365">
      <pivotArea outline="0" collapsedLevelsAreSubtotals="1" fieldPosition="0"/>
    </format>
    <format dxfId="1364">
      <pivotArea dataOnly="0" labelOnly="1" outline="0" fieldPosition="0">
        <references count="1">
          <reference field="0" count="0"/>
        </references>
      </pivotArea>
    </format>
    <format dxfId="1363">
      <pivotArea dataOnly="0" labelOnly="1" grandRow="1" outline="0" fieldPosition="0"/>
    </format>
    <format dxfId="1362">
      <pivotArea dataOnly="0" labelOnly="1" outline="0" fieldPosition="0">
        <references count="1">
          <reference field="3" count="0"/>
        </references>
      </pivotArea>
    </format>
    <format dxfId="1361">
      <pivotArea type="all" dataOnly="0" outline="0" fieldPosition="0"/>
    </format>
    <format dxfId="1360">
      <pivotArea outline="0" collapsedLevelsAreSubtotals="1" fieldPosition="0"/>
    </format>
    <format dxfId="1359">
      <pivotArea dataOnly="0" labelOnly="1" outline="0" fieldPosition="0">
        <references count="1">
          <reference field="0" count="0"/>
        </references>
      </pivotArea>
    </format>
    <format dxfId="1358">
      <pivotArea dataOnly="0" labelOnly="1" grandRow="1" outline="0" fieldPosition="0"/>
    </format>
    <format dxfId="1357">
      <pivotArea dataOnly="0" labelOnly="1" outline="0" fieldPosition="0">
        <references count="1">
          <reference field="3" count="0"/>
        </references>
      </pivotArea>
    </format>
    <format dxfId="1356">
      <pivotArea type="all" dataOnly="0" outline="0" fieldPosition="0"/>
    </format>
    <format dxfId="1355">
      <pivotArea outline="0" collapsedLevelsAreSubtotals="1" fieldPosition="0"/>
    </format>
    <format dxfId="1354">
      <pivotArea dataOnly="0" labelOnly="1" outline="0" fieldPosition="0">
        <references count="1">
          <reference field="0" count="0"/>
        </references>
      </pivotArea>
    </format>
    <format dxfId="1353">
      <pivotArea dataOnly="0" labelOnly="1" grandRow="1" outline="0" fieldPosition="0"/>
    </format>
    <format dxfId="1352">
      <pivotArea dataOnly="0" labelOnly="1" outline="0" fieldPosition="0">
        <references count="1">
          <reference field="3" count="0"/>
        </references>
      </pivotArea>
    </format>
    <format dxfId="1351">
      <pivotArea type="all" dataOnly="0" outline="0" fieldPosition="0"/>
    </format>
    <format dxfId="1350">
      <pivotArea outline="0" collapsedLevelsAreSubtotals="1" fieldPosition="0"/>
    </format>
    <format dxfId="1349">
      <pivotArea dataOnly="0" labelOnly="1" outline="0" fieldPosition="0">
        <references count="1">
          <reference field="0" count="0"/>
        </references>
      </pivotArea>
    </format>
    <format dxfId="1348">
      <pivotArea dataOnly="0" labelOnly="1" grandRow="1" outline="0" fieldPosition="0"/>
    </format>
    <format dxfId="1347">
      <pivotArea dataOnly="0" labelOnly="1" outline="0" fieldPosition="0">
        <references count="1">
          <reference field="3" count="0"/>
        </references>
      </pivotArea>
    </format>
    <format dxfId="1346">
      <pivotArea grandRow="1" outline="0" collapsedLevelsAreSubtotals="1" fieldPosition="0"/>
    </format>
    <format dxfId="1345">
      <pivotArea dataOnly="0" labelOnly="1" grandRow="1" outline="0" fieldPosition="0"/>
    </format>
    <format dxfId="1344">
      <pivotArea type="all" dataOnly="0" outline="0" fieldPosition="0"/>
    </format>
    <format dxfId="1343">
      <pivotArea outline="0" collapsedLevelsAreSubtotals="1" fieldPosition="0"/>
    </format>
    <format dxfId="1342">
      <pivotArea dataOnly="0" labelOnly="1" outline="0" fieldPosition="0">
        <references count="1">
          <reference field="0" count="0"/>
        </references>
      </pivotArea>
    </format>
    <format dxfId="1341">
      <pivotArea dataOnly="0" labelOnly="1" grandRow="1" outline="0" fieldPosition="0"/>
    </format>
    <format dxfId="1340">
      <pivotArea dataOnly="0" labelOnly="1" outline="0" fieldPosition="0">
        <references count="1">
          <reference field="3" count="0"/>
        </references>
      </pivotArea>
    </format>
    <format dxfId="1339">
      <pivotArea type="all" dataOnly="0" outline="0" fieldPosition="0"/>
    </format>
    <format dxfId="1338">
      <pivotArea outline="0" collapsedLevelsAreSubtotals="1" fieldPosition="0"/>
    </format>
    <format dxfId="1337">
      <pivotArea dataOnly="0" labelOnly="1" outline="0" fieldPosition="0">
        <references count="1">
          <reference field="0" count="0"/>
        </references>
      </pivotArea>
    </format>
    <format dxfId="1336">
      <pivotArea dataOnly="0" labelOnly="1" grandRow="1" outline="0" fieldPosition="0"/>
    </format>
    <format dxfId="1335">
      <pivotArea dataOnly="0" labelOnly="1" outline="0" fieldPosition="0">
        <references count="1">
          <reference field="3" count="0"/>
        </references>
      </pivotArea>
    </format>
    <format dxfId="1334">
      <pivotArea type="all" dataOnly="0" outline="0" fieldPosition="0"/>
    </format>
    <format dxfId="1333">
      <pivotArea outline="0" collapsedLevelsAreSubtotals="1" fieldPosition="0"/>
    </format>
    <format dxfId="1332">
      <pivotArea dataOnly="0" labelOnly="1" outline="0" fieldPosition="0">
        <references count="1">
          <reference field="0" count="0"/>
        </references>
      </pivotArea>
    </format>
    <format dxfId="1331">
      <pivotArea dataOnly="0" labelOnly="1" grandRow="1" outline="0" fieldPosition="0"/>
    </format>
    <format dxfId="1330">
      <pivotArea dataOnly="0" labelOnly="1" outline="0" fieldPosition="0">
        <references count="1">
          <reference field="3" count="0"/>
        </references>
      </pivotArea>
    </format>
    <format dxfId="1329">
      <pivotArea type="all" dataOnly="0" outline="0" fieldPosition="0"/>
    </format>
    <format dxfId="1328">
      <pivotArea outline="0" collapsedLevelsAreSubtotals="1" fieldPosition="0"/>
    </format>
    <format dxfId="1327">
      <pivotArea dataOnly="0" labelOnly="1" outline="0" fieldPosition="0">
        <references count="1">
          <reference field="0" count="0"/>
        </references>
      </pivotArea>
    </format>
    <format dxfId="1326">
      <pivotArea dataOnly="0" labelOnly="1" grandRow="1" outline="0" fieldPosition="0"/>
    </format>
    <format dxfId="1325">
      <pivotArea dataOnly="0" labelOnly="1" outline="0" fieldPosition="0">
        <references count="1">
          <reference field="3" count="0"/>
        </references>
      </pivotArea>
    </format>
    <format dxfId="1324">
      <pivotArea type="all" dataOnly="0" outline="0" fieldPosition="0"/>
    </format>
    <format dxfId="1323">
      <pivotArea outline="0" collapsedLevelsAreSubtotals="1" fieldPosition="0"/>
    </format>
    <format dxfId="1322">
      <pivotArea dataOnly="0" labelOnly="1" grandRow="1" outline="0" fieldPosition="0"/>
    </format>
    <format dxfId="1321">
      <pivotArea dataOnly="0" labelOnly="1" outline="0" fieldPosition="0">
        <references count="1">
          <reference field="3" count="0"/>
        </references>
      </pivotArea>
    </format>
    <format dxfId="1320">
      <pivotArea type="all" dataOnly="0" outline="0" fieldPosition="0"/>
    </format>
    <format dxfId="1319">
      <pivotArea outline="0" collapsedLevelsAreSubtotals="1" fieldPosition="0"/>
    </format>
    <format dxfId="1318">
      <pivotArea dataOnly="0" labelOnly="1" grandRow="1" outline="0" fieldPosition="0"/>
    </format>
    <format dxfId="1317">
      <pivotArea dataOnly="0" labelOnly="1" outline="0" fieldPosition="0">
        <references count="1">
          <reference field="3" count="0"/>
        </references>
      </pivotArea>
    </format>
    <format dxfId="1316">
      <pivotArea type="all" dataOnly="0" outline="0" fieldPosition="0"/>
    </format>
    <format dxfId="1315">
      <pivotArea outline="0" collapsedLevelsAreSubtotals="1" fieldPosition="0"/>
    </format>
    <format dxfId="1314">
      <pivotArea dataOnly="0" labelOnly="1" grandRow="1" outline="0" fieldPosition="0"/>
    </format>
    <format dxfId="1313">
      <pivotArea dataOnly="0" labelOnly="1" outline="0" fieldPosition="0">
        <references count="1">
          <reference field="3" count="0"/>
        </references>
      </pivotArea>
    </format>
    <format dxfId="1312">
      <pivotArea type="all" dataOnly="0" outline="0" fieldPosition="0"/>
    </format>
    <format dxfId="1311">
      <pivotArea outline="0" collapsedLevelsAreSubtotals="1" fieldPosition="0"/>
    </format>
    <format dxfId="1310">
      <pivotArea dataOnly="0" labelOnly="1" grandRow="1" outline="0" fieldPosition="0"/>
    </format>
    <format dxfId="1309">
      <pivotArea dataOnly="0" labelOnly="1" outline="0" fieldPosition="0">
        <references count="1">
          <reference field="3" count="0"/>
        </references>
      </pivotArea>
    </format>
    <format dxfId="1308">
      <pivotArea type="all" dataOnly="0" outline="0" fieldPosition="0"/>
    </format>
    <format dxfId="1307">
      <pivotArea outline="0" collapsedLevelsAreSubtotals="1" fieldPosition="0"/>
    </format>
    <format dxfId="1306">
      <pivotArea dataOnly="0" labelOnly="1" grandRow="1" outline="0" fieldPosition="0"/>
    </format>
    <format dxfId="1305">
      <pivotArea dataOnly="0" labelOnly="1" outline="0" fieldPosition="0">
        <references count="1">
          <reference field="3" count="0"/>
        </references>
      </pivotArea>
    </format>
    <format dxfId="1304">
      <pivotArea dataOnly="0" labelOnly="1" outline="0" fieldPosition="0">
        <references count="1">
          <reference field="1" count="0"/>
        </references>
      </pivotArea>
    </format>
    <format dxfId="1303">
      <pivotArea dataOnly="0" labelOnly="1" outline="0" fieldPosition="0">
        <references count="1">
          <reference field="1" count="0"/>
        </references>
      </pivotArea>
    </format>
    <format dxfId="1302">
      <pivotArea type="all" dataOnly="0" outline="0" fieldPosition="0"/>
    </format>
    <format dxfId="1301">
      <pivotArea outline="0" collapsedLevelsAreSubtotals="1" fieldPosition="0"/>
    </format>
    <format dxfId="1300">
      <pivotArea dataOnly="0" labelOnly="1" grandRow="1" outline="0" fieldPosition="0"/>
    </format>
    <format dxfId="1299">
      <pivotArea dataOnly="0" labelOnly="1" outline="0" fieldPosition="0">
        <references count="1">
          <reference field="3" count="0"/>
        </references>
      </pivotArea>
    </format>
    <format dxfId="1298">
      <pivotArea dataOnly="0" labelOnly="1" outline="0" fieldPosition="0">
        <references count="1">
          <reference field="0" count="0"/>
        </references>
      </pivotArea>
    </format>
    <format dxfId="1297">
      <pivotArea dataOnly="0" labelOnly="1" outline="0" fieldPosition="0">
        <references count="1">
          <reference field="0" count="0"/>
        </references>
      </pivotArea>
    </format>
    <format dxfId="1296">
      <pivotArea type="all" dataOnly="0" outline="0" fieldPosition="0"/>
    </format>
    <format dxfId="1295">
      <pivotArea outline="0" collapsedLevelsAreSubtotals="1" fieldPosition="0"/>
    </format>
    <format dxfId="1294">
      <pivotArea dataOnly="0" labelOnly="1" grandRow="1" outline="0" fieldPosition="0"/>
    </format>
    <format dxfId="1293">
      <pivotArea dataOnly="0" labelOnly="1" outline="0" fieldPosition="0">
        <references count="1">
          <reference field="3" count="0"/>
        </references>
      </pivotArea>
    </format>
    <format dxfId="1292">
      <pivotArea type="all" dataOnly="0" outline="0" fieldPosition="0"/>
    </format>
    <format dxfId="1291">
      <pivotArea outline="0" collapsedLevelsAreSubtotals="1" fieldPosition="0"/>
    </format>
    <format dxfId="1290">
      <pivotArea dataOnly="0" labelOnly="1" outline="0" fieldPosition="0">
        <references count="1">
          <reference field="0" count="0"/>
        </references>
      </pivotArea>
    </format>
    <format dxfId="1289">
      <pivotArea dataOnly="0" labelOnly="1" grandRow="1" outline="0" fieldPosition="0"/>
    </format>
    <format dxfId="1288">
      <pivotArea dataOnly="0" labelOnly="1" outline="0" fieldPosition="0">
        <references count="1">
          <reference field="3" count="0"/>
        </references>
      </pivotArea>
    </format>
    <format dxfId="1287">
      <pivotArea type="all" dataOnly="0" outline="0" fieldPosition="0"/>
    </format>
    <format dxfId="1286">
      <pivotArea outline="0" collapsedLevelsAreSubtotals="1" fieldPosition="0"/>
    </format>
    <format dxfId="1285">
      <pivotArea dataOnly="0" labelOnly="1" outline="0" fieldPosition="0">
        <references count="1">
          <reference field="0" count="0"/>
        </references>
      </pivotArea>
    </format>
    <format dxfId="1284">
      <pivotArea dataOnly="0" labelOnly="1" grandRow="1" outline="0" fieldPosition="0"/>
    </format>
    <format dxfId="1283">
      <pivotArea dataOnly="0" labelOnly="1" outline="0" fieldPosition="0">
        <references count="1">
          <reference field="3" count="0"/>
        </references>
      </pivotArea>
    </format>
    <format dxfId="1282">
      <pivotArea type="all" dataOnly="0" outline="0" fieldPosition="0"/>
    </format>
    <format dxfId="1281">
      <pivotArea outline="0" collapsedLevelsAreSubtotals="1" fieldPosition="0"/>
    </format>
    <format dxfId="1280">
      <pivotArea dataOnly="0" labelOnly="1" outline="0" fieldPosition="0">
        <references count="1">
          <reference field="0" count="0"/>
        </references>
      </pivotArea>
    </format>
    <format dxfId="1279">
      <pivotArea dataOnly="0" labelOnly="1" grandRow="1" outline="0" fieldPosition="0"/>
    </format>
    <format dxfId="1278">
      <pivotArea dataOnly="0" labelOnly="1" outline="0" fieldPosition="0">
        <references count="1">
          <reference field="3" count="0"/>
        </references>
      </pivotArea>
    </format>
    <format dxfId="1277">
      <pivotArea type="all" dataOnly="0" outline="0" fieldPosition="0"/>
    </format>
    <format dxfId="1276">
      <pivotArea outline="0" collapsedLevelsAreSubtotals="1" fieldPosition="0"/>
    </format>
    <format dxfId="1275">
      <pivotArea dataOnly="0" labelOnly="1" outline="0" fieldPosition="0">
        <references count="1">
          <reference field="0" count="0"/>
        </references>
      </pivotArea>
    </format>
    <format dxfId="1274">
      <pivotArea dataOnly="0" labelOnly="1" grandRow="1" outline="0" fieldPosition="0"/>
    </format>
    <format dxfId="1273">
      <pivotArea dataOnly="0" labelOnly="1" outline="0" fieldPosition="0">
        <references count="1">
          <reference field="3" count="0"/>
        </references>
      </pivotArea>
    </format>
    <format dxfId="1272">
      <pivotArea type="all" dataOnly="0" outline="0" fieldPosition="0"/>
    </format>
    <format dxfId="1271">
      <pivotArea outline="0" collapsedLevelsAreSubtotals="1" fieldPosition="0"/>
    </format>
    <format dxfId="1270">
      <pivotArea dataOnly="0" labelOnly="1" outline="0" fieldPosition="0">
        <references count="1">
          <reference field="0" count="0"/>
        </references>
      </pivotArea>
    </format>
    <format dxfId="1269">
      <pivotArea dataOnly="0" labelOnly="1" grandRow="1" outline="0" fieldPosition="0"/>
    </format>
    <format dxfId="1268">
      <pivotArea dataOnly="0" labelOnly="1" outline="0" fieldPosition="0">
        <references count="1">
          <reference field="3" count="0"/>
        </references>
      </pivotArea>
    </format>
    <format dxfId="1267">
      <pivotArea type="all" dataOnly="0" outline="0" fieldPosition="0"/>
    </format>
    <format dxfId="1266">
      <pivotArea outline="0" collapsedLevelsAreSubtotals="1" fieldPosition="0"/>
    </format>
    <format dxfId="1265">
      <pivotArea dataOnly="0" labelOnly="1" outline="0" fieldPosition="0">
        <references count="1">
          <reference field="0" count="0"/>
        </references>
      </pivotArea>
    </format>
    <format dxfId="1264">
      <pivotArea dataOnly="0" labelOnly="1" grandRow="1" outline="0" fieldPosition="0"/>
    </format>
    <format dxfId="1263">
      <pivotArea dataOnly="0" labelOnly="1" outline="0" fieldPosition="0">
        <references count="1">
          <reference field="3" count="0"/>
        </references>
      </pivotArea>
    </format>
    <format dxfId="1262">
      <pivotArea type="all" dataOnly="0" outline="0" fieldPosition="0"/>
    </format>
    <format dxfId="1261">
      <pivotArea outline="0" collapsedLevelsAreSubtotals="1" fieldPosition="0"/>
    </format>
    <format dxfId="1260">
      <pivotArea dataOnly="0" labelOnly="1" outline="0" fieldPosition="0">
        <references count="1">
          <reference field="0" count="0"/>
        </references>
      </pivotArea>
    </format>
    <format dxfId="1259">
      <pivotArea dataOnly="0" labelOnly="1" grandRow="1" outline="0" fieldPosition="0"/>
    </format>
    <format dxfId="1258">
      <pivotArea dataOnly="0" labelOnly="1" outline="0" fieldPosition="0">
        <references count="1">
          <reference field="3" count="0"/>
        </references>
      </pivotArea>
    </format>
    <format dxfId="1257">
      <pivotArea type="all" dataOnly="0" outline="0" fieldPosition="0"/>
    </format>
    <format dxfId="1256">
      <pivotArea outline="0" collapsedLevelsAreSubtotals="1" fieldPosition="0"/>
    </format>
    <format dxfId="1255">
      <pivotArea dataOnly="0" labelOnly="1" outline="0" fieldPosition="0">
        <references count="1">
          <reference field="0" count="0"/>
        </references>
      </pivotArea>
    </format>
    <format dxfId="1254">
      <pivotArea dataOnly="0" labelOnly="1" grandRow="1" outline="0" fieldPosition="0"/>
    </format>
    <format dxfId="1253">
      <pivotArea dataOnly="0" labelOnly="1" outline="0" fieldPosition="0">
        <references count="1">
          <reference field="3" count="0"/>
        </references>
      </pivotArea>
    </format>
    <format dxfId="1252">
      <pivotArea type="all" dataOnly="0" outline="0" fieldPosition="0"/>
    </format>
    <format dxfId="1251">
      <pivotArea outline="0" collapsedLevelsAreSubtotals="1" fieldPosition="0"/>
    </format>
    <format dxfId="1250">
      <pivotArea dataOnly="0" labelOnly="1" grandRow="1" outline="0" fieldPosition="0"/>
    </format>
    <format dxfId="1249">
      <pivotArea dataOnly="0" labelOnly="1" outline="0" fieldPosition="0">
        <references count="1">
          <reference field="3" count="0"/>
        </references>
      </pivotArea>
    </format>
    <format dxfId="1248">
      <pivotArea type="all" dataOnly="0" outline="0" fieldPosition="0"/>
    </format>
    <format dxfId="1247">
      <pivotArea outline="0" collapsedLevelsAreSubtotals="1" fieldPosition="0"/>
    </format>
    <format dxfId="1246">
      <pivotArea dataOnly="0" labelOnly="1" grandRow="1" outline="0" fieldPosition="0"/>
    </format>
    <format dxfId="1245">
      <pivotArea dataOnly="0" labelOnly="1" outline="0" fieldPosition="0">
        <references count="1">
          <reference field="3" count="0"/>
        </references>
      </pivotArea>
    </format>
    <format dxfId="1244">
      <pivotArea type="all" dataOnly="0" outline="0" fieldPosition="0"/>
    </format>
    <format dxfId="1243">
      <pivotArea outline="0" collapsedLevelsAreSubtotals="1" fieldPosition="0"/>
    </format>
    <format dxfId="1242">
      <pivotArea dataOnly="0" labelOnly="1" grandRow="1" outline="0" fieldPosition="0"/>
    </format>
    <format dxfId="1241">
      <pivotArea dataOnly="0" labelOnly="1" outline="0" fieldPosition="0">
        <references count="1">
          <reference field="3" count="0"/>
        </references>
      </pivotArea>
    </format>
    <format dxfId="1240">
      <pivotArea type="all" dataOnly="0" outline="0" fieldPosition="0"/>
    </format>
    <format dxfId="1239">
      <pivotArea outline="0" collapsedLevelsAreSubtotals="1" fieldPosition="0"/>
    </format>
    <format dxfId="1238">
      <pivotArea dataOnly="0" labelOnly="1" grandRow="1" outline="0" fieldPosition="0"/>
    </format>
    <format dxfId="1237">
      <pivotArea dataOnly="0" labelOnly="1" outline="0" fieldPosition="0">
        <references count="1">
          <reference field="3" count="0"/>
        </references>
      </pivotArea>
    </format>
    <format dxfId="1236">
      <pivotArea type="all" dataOnly="0" outline="0" fieldPosition="0"/>
    </format>
    <format dxfId="1235">
      <pivotArea outline="0" collapsedLevelsAreSubtotals="1" fieldPosition="0"/>
    </format>
    <format dxfId="1234">
      <pivotArea dataOnly="0" labelOnly="1" grandRow="1" outline="0" fieldPosition="0"/>
    </format>
    <format dxfId="1233">
      <pivotArea dataOnly="0" labelOnly="1" outline="0" fieldPosition="0">
        <references count="1">
          <reference field="3" count="0"/>
        </references>
      </pivotArea>
    </format>
    <format dxfId="1232">
      <pivotArea type="all" dataOnly="0" outline="0" fieldPosition="0"/>
    </format>
    <format dxfId="1231">
      <pivotArea outline="0" collapsedLevelsAreSubtotals="1" fieldPosition="0"/>
    </format>
    <format dxfId="1230">
      <pivotArea dataOnly="0" labelOnly="1" grandRow="1" outline="0" fieldPosition="0"/>
    </format>
    <format dxfId="1229">
      <pivotArea dataOnly="0" labelOnly="1" outline="0" fieldPosition="0">
        <references count="1">
          <reference field="3" count="0"/>
        </references>
      </pivotArea>
    </format>
    <format dxfId="1228">
      <pivotArea grandRow="1" outline="0" collapsedLevelsAreSubtotals="1" fieldPosition="0"/>
    </format>
    <format dxfId="1227">
      <pivotArea dataOnly="0" labelOnly="1" grandRow="1" outline="0" fieldPosition="0"/>
    </format>
    <format dxfId="1226">
      <pivotArea field="3" grandRow="1" outline="0" collapsedLevelsAreSubtotals="1" axis="axisCol" fieldPosition="0">
        <references count="1">
          <reference field="3" count="1" selected="0">
            <x v="1"/>
          </reference>
        </references>
      </pivotArea>
    </format>
    <format dxfId="1225">
      <pivotArea type="all" dataOnly="0" outline="0" fieldPosition="0"/>
    </format>
    <format dxfId="1224">
      <pivotArea outline="0" collapsedLevelsAreSubtotals="1" fieldPosition="0"/>
    </format>
    <format dxfId="1223">
      <pivotArea dataOnly="0" labelOnly="1" grandRow="1" outline="0" fieldPosition="0"/>
    </format>
    <format dxfId="1222">
      <pivotArea dataOnly="0" labelOnly="1" outline="0" fieldPosition="0">
        <references count="1">
          <reference field="3" count="0"/>
        </references>
      </pivotArea>
    </format>
    <format dxfId="1221">
      <pivotArea grandRow="1" outline="0" collapsedLevelsAreSubtotals="1" fieldPosition="0"/>
    </format>
    <format dxfId="1220">
      <pivotArea dataOnly="0" labelOnly="1" grandRow="1" outline="0" fieldPosition="0"/>
    </format>
    <format dxfId="1219">
      <pivotArea field="3" grandRow="1" outline="0" collapsedLevelsAreSubtotals="1" axis="axisCol" fieldPosition="0">
        <references count="1">
          <reference field="3" count="1" selected="0">
            <x v="1"/>
          </reference>
        </references>
      </pivotArea>
    </format>
    <format dxfId="1218">
      <pivotArea type="all" dataOnly="0" outline="0" fieldPosition="0"/>
    </format>
    <format dxfId="1217">
      <pivotArea outline="0" collapsedLevelsAreSubtotals="1" fieldPosition="0"/>
    </format>
    <format dxfId="1216">
      <pivotArea dataOnly="0" labelOnly="1" grandRow="1" outline="0" fieldPosition="0"/>
    </format>
    <format dxfId="1215">
      <pivotArea dataOnly="0" labelOnly="1" outline="0" fieldPosition="0">
        <references count="1">
          <reference field="3" count="0"/>
        </references>
      </pivotArea>
    </format>
    <format dxfId="1214">
      <pivotArea grandRow="1" outline="0" collapsedLevelsAreSubtotals="1" fieldPosition="0"/>
    </format>
    <format dxfId="1213">
      <pivotArea dataOnly="0" labelOnly="1" grandRow="1" outline="0" fieldPosition="0"/>
    </format>
    <format dxfId="1212">
      <pivotArea field="3" grandRow="1" outline="0" collapsedLevelsAreSubtotals="1" axis="axisCol" fieldPosition="0">
        <references count="1">
          <reference field="3" count="1" selected="0">
            <x v="1"/>
          </reference>
        </references>
      </pivotArea>
    </format>
    <format dxfId="1211">
      <pivotArea type="all" dataOnly="0" outline="0" fieldPosition="0"/>
    </format>
    <format dxfId="1210">
      <pivotArea outline="0" collapsedLevelsAreSubtotals="1" fieldPosition="0"/>
    </format>
    <format dxfId="1209">
      <pivotArea dataOnly="0" labelOnly="1" outline="0" fieldPosition="0">
        <references count="1">
          <reference field="0" count="0"/>
        </references>
      </pivotArea>
    </format>
    <format dxfId="1208">
      <pivotArea dataOnly="0" labelOnly="1" grandRow="1" outline="0" fieldPosition="0"/>
    </format>
    <format dxfId="1207">
      <pivotArea dataOnly="0" labelOnly="1" outline="0" fieldPosition="0">
        <references count="1">
          <reference field="3" count="0"/>
        </references>
      </pivotArea>
    </format>
    <format dxfId="1206">
      <pivotArea grandRow="1" outline="0" collapsedLevelsAreSubtotals="1" fieldPosition="0"/>
    </format>
    <format dxfId="1205">
      <pivotArea dataOnly="0" labelOnly="1" grandRow="1" outline="0" fieldPosition="0"/>
    </format>
    <format dxfId="1204">
      <pivotArea field="3" grandRow="1" outline="0" collapsedLevelsAreSubtotals="1" axis="axisCol" fieldPosition="0">
        <references count="1">
          <reference field="3" count="1" selected="0">
            <x v="1"/>
          </reference>
        </references>
      </pivotArea>
    </format>
    <format dxfId="1203">
      <pivotArea type="all" dataOnly="0" outline="0" fieldPosition="0"/>
    </format>
    <format dxfId="1202">
      <pivotArea outline="0" collapsedLevelsAreSubtotals="1" fieldPosition="0"/>
    </format>
    <format dxfId="1201">
      <pivotArea dataOnly="0" labelOnly="1" outline="0" fieldPosition="0">
        <references count="1">
          <reference field="0" count="0"/>
        </references>
      </pivotArea>
    </format>
    <format dxfId="1200">
      <pivotArea dataOnly="0" labelOnly="1" grandRow="1" outline="0" fieldPosition="0"/>
    </format>
    <format dxfId="1199">
      <pivotArea dataOnly="0" labelOnly="1" outline="0" fieldPosition="0">
        <references count="1">
          <reference field="3" count="0"/>
        </references>
      </pivotArea>
    </format>
    <format dxfId="1198">
      <pivotArea grandRow="1" outline="0" collapsedLevelsAreSubtotals="1" fieldPosition="0"/>
    </format>
    <format dxfId="1197">
      <pivotArea dataOnly="0" labelOnly="1" grandRow="1" outline="0" fieldPosition="0"/>
    </format>
    <format dxfId="1196">
      <pivotArea field="3" grandRow="1" outline="0" collapsedLevelsAreSubtotals="1" axis="axisCol" fieldPosition="0">
        <references count="1">
          <reference field="3" count="1" selected="0">
            <x v="1"/>
          </reference>
        </references>
      </pivotArea>
    </format>
    <format dxfId="1195">
      <pivotArea type="all" dataOnly="0" outline="0" fieldPosition="0"/>
    </format>
    <format dxfId="1194">
      <pivotArea outline="0" collapsedLevelsAreSubtotals="1" fieldPosition="0"/>
    </format>
    <format dxfId="1193">
      <pivotArea dataOnly="0" labelOnly="1" outline="0" fieldPosition="0">
        <references count="1">
          <reference field="0" count="0"/>
        </references>
      </pivotArea>
    </format>
    <format dxfId="1192">
      <pivotArea dataOnly="0" labelOnly="1" grandRow="1" outline="0" fieldPosition="0"/>
    </format>
    <format dxfId="1191">
      <pivotArea dataOnly="0" labelOnly="1" outline="0" fieldPosition="0">
        <references count="1">
          <reference field="3" count="0"/>
        </references>
      </pivotArea>
    </format>
    <format dxfId="1190">
      <pivotArea type="all" dataOnly="0" outline="0" fieldPosition="0"/>
    </format>
    <format dxfId="1189">
      <pivotArea outline="0" collapsedLevelsAreSubtotals="1" fieldPosition="0"/>
    </format>
    <format dxfId="1188">
      <pivotArea dataOnly="0" labelOnly="1" outline="0" fieldPosition="0">
        <references count="1">
          <reference field="0" count="0"/>
        </references>
      </pivotArea>
    </format>
    <format dxfId="1187">
      <pivotArea dataOnly="0" labelOnly="1" grandRow="1" outline="0" fieldPosition="0"/>
    </format>
    <format dxfId="1186">
      <pivotArea dataOnly="0" labelOnly="1" outline="0" fieldPosition="0">
        <references count="1">
          <reference field="3" count="0"/>
        </references>
      </pivotArea>
    </format>
    <format dxfId="1185">
      <pivotArea type="all" dataOnly="0" outline="0" fieldPosition="0"/>
    </format>
    <format dxfId="1184">
      <pivotArea outline="0" collapsedLevelsAreSubtotals="1" fieldPosition="0"/>
    </format>
    <format dxfId="1183">
      <pivotArea dataOnly="0" labelOnly="1" grandRow="1" outline="0" fieldPosition="0"/>
    </format>
    <format dxfId="1182">
      <pivotArea dataOnly="0" labelOnly="1" outline="0" fieldPosition="0">
        <references count="1">
          <reference field="3" count="0"/>
        </references>
      </pivotArea>
    </format>
    <format dxfId="1181">
      <pivotArea type="all" dataOnly="0" outline="0" fieldPosition="0"/>
    </format>
    <format dxfId="1180">
      <pivotArea outline="0" collapsedLevelsAreSubtotals="1" fieldPosition="0"/>
    </format>
    <format dxfId="1179">
      <pivotArea dataOnly="0" labelOnly="1" grandRow="1" outline="0" fieldPosition="0"/>
    </format>
    <format dxfId="1178">
      <pivotArea dataOnly="0" labelOnly="1" outline="0" fieldPosition="0">
        <references count="1">
          <reference field="3" count="0"/>
        </references>
      </pivotArea>
    </format>
    <format dxfId="1177">
      <pivotArea type="all" dataOnly="0" outline="0" fieldPosition="0"/>
    </format>
    <format dxfId="1176">
      <pivotArea outline="0" collapsedLevelsAreSubtotals="1" fieldPosition="0"/>
    </format>
    <format dxfId="1175">
      <pivotArea dataOnly="0" labelOnly="1" grandRow="1" outline="0" fieldPosition="0"/>
    </format>
    <format dxfId="1174">
      <pivotArea dataOnly="0" labelOnly="1" outline="0" fieldPosition="0">
        <references count="1">
          <reference field="3" count="0"/>
        </references>
      </pivotArea>
    </format>
    <format dxfId="1173">
      <pivotArea type="all" dataOnly="0" outline="0" fieldPosition="0"/>
    </format>
    <format dxfId="1172">
      <pivotArea outline="0" collapsedLevelsAreSubtotals="1" fieldPosition="0"/>
    </format>
    <format dxfId="1171">
      <pivotArea dataOnly="0" labelOnly="1" grandRow="1" outline="0" fieldPosition="0"/>
    </format>
    <format dxfId="1170">
      <pivotArea dataOnly="0" labelOnly="1" outline="0" fieldPosition="0">
        <references count="1">
          <reference field="3" count="0"/>
        </references>
      </pivotArea>
    </format>
    <format dxfId="1169">
      <pivotArea type="all" dataOnly="0" outline="0" fieldPosition="0"/>
    </format>
    <format dxfId="1168">
      <pivotArea outline="0" collapsedLevelsAreSubtotals="1" fieldPosition="0"/>
    </format>
    <format dxfId="1167">
      <pivotArea dataOnly="0" labelOnly="1" grandRow="1" outline="0" fieldPosition="0"/>
    </format>
    <format dxfId="1166">
      <pivotArea dataOnly="0" labelOnly="1" outline="0" fieldPosition="0">
        <references count="1">
          <reference field="3" count="0"/>
        </references>
      </pivotArea>
    </format>
    <format dxfId="1165">
      <pivotArea type="all" dataOnly="0" outline="0" fieldPosition="0"/>
    </format>
    <format dxfId="1164">
      <pivotArea outline="0" collapsedLevelsAreSubtotals="1" fieldPosition="0"/>
    </format>
    <format dxfId="1163">
      <pivotArea dataOnly="0" labelOnly="1" grandRow="1" outline="0" fieldPosition="0"/>
    </format>
    <format dxfId="1162">
      <pivotArea dataOnly="0" labelOnly="1" outline="0" fieldPosition="0">
        <references count="1">
          <reference field="3" count="0"/>
        </references>
      </pivotArea>
    </format>
    <format dxfId="1161">
      <pivotArea type="all" dataOnly="0" outline="0" fieldPosition="0"/>
    </format>
    <format dxfId="1160">
      <pivotArea outline="0" collapsedLevelsAreSubtotals="1" fieldPosition="0"/>
    </format>
    <format dxfId="1159">
      <pivotArea dataOnly="0" labelOnly="1" outline="0" fieldPosition="0">
        <references count="1">
          <reference field="0" count="0"/>
        </references>
      </pivotArea>
    </format>
    <format dxfId="1158">
      <pivotArea dataOnly="0" labelOnly="1" grandRow="1" outline="0" fieldPosition="0"/>
    </format>
    <format dxfId="1157">
      <pivotArea dataOnly="0" labelOnly="1" outline="0" fieldPosition="0">
        <references count="1">
          <reference field="3" count="0"/>
        </references>
      </pivotArea>
    </format>
    <format dxfId="1156">
      <pivotArea type="all" dataOnly="0" outline="0" fieldPosition="0"/>
    </format>
    <format dxfId="1155">
      <pivotArea outline="0" collapsedLevelsAreSubtotals="1" fieldPosition="0"/>
    </format>
    <format dxfId="1154">
      <pivotArea dataOnly="0" labelOnly="1" outline="0" fieldPosition="0">
        <references count="1">
          <reference field="0" count="0"/>
        </references>
      </pivotArea>
    </format>
    <format dxfId="1153">
      <pivotArea dataOnly="0" labelOnly="1" grandRow="1" outline="0" fieldPosition="0"/>
    </format>
    <format dxfId="1152">
      <pivotArea dataOnly="0" labelOnly="1" outline="0" fieldPosition="0">
        <references count="1">
          <reference field="3" count="0"/>
        </references>
      </pivotArea>
    </format>
    <format dxfId="1151">
      <pivotArea type="origin" dataOnly="0" labelOnly="1" outline="0" fieldPosition="0"/>
    </format>
    <format dxfId="1150">
      <pivotArea type="all" dataOnly="0" outline="0" fieldPosition="0"/>
    </format>
    <format dxfId="1149">
      <pivotArea outline="0" collapsedLevelsAreSubtotals="1" fieldPosition="0"/>
    </format>
    <format dxfId="1148">
      <pivotArea dataOnly="0" labelOnly="1" grandRow="1" outline="0" fieldPosition="0"/>
    </format>
    <format dxfId="1147">
      <pivotArea dataOnly="0" labelOnly="1" outline="0" fieldPosition="0">
        <references count="1">
          <reference field="3" count="0"/>
        </references>
      </pivotArea>
    </format>
    <format dxfId="1146">
      <pivotArea type="all" dataOnly="0" outline="0" fieldPosition="0"/>
    </format>
    <format dxfId="1145">
      <pivotArea outline="0" collapsedLevelsAreSubtotals="1" fieldPosition="0"/>
    </format>
    <format dxfId="1144">
      <pivotArea dataOnly="0" labelOnly="1" grandRow="1" outline="0" fieldPosition="0"/>
    </format>
    <format dxfId="1143">
      <pivotArea dataOnly="0" labelOnly="1" outline="0" fieldPosition="0">
        <references count="1">
          <reference field="3" count="0"/>
        </references>
      </pivotArea>
    </format>
    <format dxfId="1142">
      <pivotArea type="all" dataOnly="0" outline="0" fieldPosition="0"/>
    </format>
    <format dxfId="1141">
      <pivotArea outline="0" collapsedLevelsAreSubtotals="1" fieldPosition="0"/>
    </format>
    <format dxfId="1140">
      <pivotArea dataOnly="0" labelOnly="1" grandRow="1" outline="0" fieldPosition="0"/>
    </format>
    <format dxfId="1139">
      <pivotArea dataOnly="0" labelOnly="1" outline="0" fieldPosition="0">
        <references count="1">
          <reference field="3" count="0"/>
        </references>
      </pivotArea>
    </format>
    <format dxfId="1138">
      <pivotArea type="all" dataOnly="0" outline="0" fieldPosition="0"/>
    </format>
    <format dxfId="1137">
      <pivotArea outline="0" collapsedLevelsAreSubtotals="1" fieldPosition="0"/>
    </format>
    <format dxfId="1136">
      <pivotArea dataOnly="0" labelOnly="1" grandRow="1" outline="0" fieldPosition="0"/>
    </format>
    <format dxfId="1135">
      <pivotArea dataOnly="0" labelOnly="1" outline="0" fieldPosition="0">
        <references count="1">
          <reference field="3" count="0"/>
        </references>
      </pivotArea>
    </format>
    <format dxfId="1134">
      <pivotArea type="all" dataOnly="0" outline="0" fieldPosition="0"/>
    </format>
    <format dxfId="1133">
      <pivotArea outline="0" collapsedLevelsAreSubtotals="1" fieldPosition="0"/>
    </format>
    <format dxfId="1132">
      <pivotArea dataOnly="0" labelOnly="1" grandRow="1" outline="0" fieldPosition="0"/>
    </format>
    <format dxfId="1131">
      <pivotArea dataOnly="0" labelOnly="1" outline="0" fieldPosition="0">
        <references count="1">
          <reference field="3" count="0"/>
        </references>
      </pivotArea>
    </format>
    <format dxfId="1130">
      <pivotArea outline="0" collapsedLevelsAreSubtotals="1" fieldPosition="0">
        <references count="1">
          <reference field="0" count="0" selected="0"/>
        </references>
      </pivotArea>
    </format>
    <format dxfId="1129">
      <pivotArea dataOnly="0" labelOnly="1" outline="0" fieldPosition="0">
        <references count="1">
          <reference field="0" count="0"/>
        </references>
      </pivotArea>
    </format>
    <format dxfId="1128">
      <pivotArea dataOnly="0" labelOnly="1" outline="0" offset="IV256" fieldPosition="0">
        <references count="1">
          <reference field="0" count="0"/>
        </references>
      </pivotArea>
    </format>
    <format dxfId="1127">
      <pivotArea type="all" dataOnly="0" outline="0" fieldPosition="0"/>
    </format>
    <format dxfId="1126">
      <pivotArea outline="0" collapsedLevelsAreSubtotals="1" fieldPosition="0"/>
    </format>
    <format dxfId="1125">
      <pivotArea dataOnly="0" labelOnly="1" outline="0" fieldPosition="0">
        <references count="1">
          <reference field="0" count="0"/>
        </references>
      </pivotArea>
    </format>
    <format dxfId="1124">
      <pivotArea dataOnly="0" labelOnly="1" grandRow="1" outline="0" fieldPosition="0"/>
    </format>
    <format dxfId="1123">
      <pivotArea dataOnly="0" labelOnly="1" outline="0" fieldPosition="0">
        <references count="1">
          <reference field="3" count="0"/>
        </references>
      </pivotArea>
    </format>
    <format dxfId="1122">
      <pivotArea outline="0" collapsedLevelsAreSubtotals="1" fieldPosition="0">
        <references count="1">
          <reference field="0" count="0" selected="0"/>
        </references>
      </pivotArea>
    </format>
    <format dxfId="1121">
      <pivotArea dataOnly="0" labelOnly="1" outline="0" fieldPosition="0">
        <references count="1">
          <reference field="0" count="0"/>
        </references>
      </pivotArea>
    </format>
    <format dxfId="1120">
      <pivotArea dataOnly="0" labelOnly="1" outline="0" offset="A256" fieldPosition="0">
        <references count="1">
          <reference field="0" count="0"/>
        </references>
      </pivotArea>
    </format>
    <format dxfId="1119">
      <pivotArea type="all" dataOnly="0" outline="0" fieldPosition="0"/>
    </format>
    <format dxfId="1118">
      <pivotArea outline="0" collapsedLevelsAreSubtotals="1" fieldPosition="0"/>
    </format>
    <format dxfId="1117">
      <pivotArea dataOnly="0" labelOnly="1" outline="0" fieldPosition="0">
        <references count="1">
          <reference field="0" count="0"/>
        </references>
      </pivotArea>
    </format>
    <format dxfId="1116">
      <pivotArea dataOnly="0" labelOnly="1" grandRow="1" outline="0" fieldPosition="0"/>
    </format>
    <format dxfId="1115">
      <pivotArea dataOnly="0" labelOnly="1" outline="0" fieldPosition="0">
        <references count="1">
          <reference field="3" count="0"/>
        </references>
      </pivotArea>
    </format>
    <format dxfId="1114">
      <pivotArea dataOnly="0" grandRow="1" outline="0" fieldPosition="0"/>
    </format>
    <format dxfId="1113">
      <pivotArea dataOnly="0" labelOnly="1" grandRow="1" outline="0" offset="A256" fieldPosition="0"/>
    </format>
    <format dxfId="1112">
      <pivotArea type="all" dataOnly="0" outline="0" fieldPosition="0"/>
    </format>
    <format dxfId="1111">
      <pivotArea outline="0" collapsedLevelsAreSubtotals="1" fieldPosition="0"/>
    </format>
    <format dxfId="1110">
      <pivotArea dataOnly="0" labelOnly="1" outline="0" fieldPosition="0">
        <references count="1">
          <reference field="0" count="0"/>
        </references>
      </pivotArea>
    </format>
    <format dxfId="1109">
      <pivotArea dataOnly="0" labelOnly="1" grandRow="1" outline="0" fieldPosition="0"/>
    </format>
    <format dxfId="1108">
      <pivotArea dataOnly="0" labelOnly="1" outline="0" fieldPosition="0">
        <references count="1">
          <reference field="3" count="0"/>
        </references>
      </pivotArea>
    </format>
    <format dxfId="1107">
      <pivotArea outline="0" collapsedLevelsAreSubtotals="1" fieldPosition="0">
        <references count="1">
          <reference field="0" count="0" selected="0"/>
        </references>
      </pivotArea>
    </format>
    <format dxfId="1106">
      <pivotArea dataOnly="0" labelOnly="1" outline="0" fieldPosition="0">
        <references count="1">
          <reference field="0" count="0"/>
        </references>
      </pivotArea>
    </format>
    <format dxfId="1105">
      <pivotArea dataOnly="0" labelOnly="1" outline="0" offset="IV256" fieldPosition="0">
        <references count="1">
          <reference field="0" count="0"/>
        </references>
      </pivotArea>
    </format>
    <format dxfId="1104">
      <pivotArea type="all" dataOnly="0" outline="0" fieldPosition="0"/>
    </format>
    <format dxfId="1103">
      <pivotArea outline="0" collapsedLevelsAreSubtotals="1" fieldPosition="0"/>
    </format>
    <format dxfId="1102">
      <pivotArea dataOnly="0" labelOnly="1" outline="0" fieldPosition="0">
        <references count="1">
          <reference field="0" count="0"/>
        </references>
      </pivotArea>
    </format>
    <format dxfId="1101">
      <pivotArea dataOnly="0" labelOnly="1" grandRow="1" outline="0" fieldPosition="0"/>
    </format>
    <format dxfId="1100">
      <pivotArea dataOnly="0" labelOnly="1" outline="0" fieldPosition="0">
        <references count="1">
          <reference field="3" count="0"/>
        </references>
      </pivotArea>
    </format>
    <format dxfId="1099">
      <pivotArea outline="0" collapsedLevelsAreSubtotals="1" fieldPosition="0">
        <references count="2">
          <reference field="0" count="0" selected="0"/>
          <reference field="1" count="0" selected="0"/>
        </references>
      </pivotArea>
    </format>
    <format dxfId="1098">
      <pivotArea dataOnly="0" labelOnly="1" outline="0" fieldPosition="0">
        <references count="1">
          <reference field="0" count="0"/>
        </references>
      </pivotArea>
    </format>
    <format dxfId="1097">
      <pivotArea dataOnly="0" labelOnly="1" outline="0" fieldPosition="0">
        <references count="2">
          <reference field="0" count="0" selected="0"/>
          <reference field="1" count="0"/>
        </references>
      </pivotArea>
    </format>
    <format dxfId="1096">
      <pivotArea dataOnly="0" labelOnly="1" outline="0" fieldPosition="0">
        <references count="1">
          <reference field="0" count="0"/>
        </references>
      </pivotArea>
    </format>
    <format dxfId="1095">
      <pivotArea type="all" dataOnly="0" outline="0" fieldPosition="0"/>
    </format>
    <format dxfId="1094">
      <pivotArea outline="0" collapsedLevelsAreSubtotals="1" fieldPosition="0"/>
    </format>
    <format dxfId="1093">
      <pivotArea dataOnly="0" labelOnly="1" outline="0" fieldPosition="0">
        <references count="1">
          <reference field="0" count="0"/>
        </references>
      </pivotArea>
    </format>
    <format dxfId="1092">
      <pivotArea dataOnly="0" labelOnly="1" grandRow="1" outline="0" fieldPosition="0"/>
    </format>
    <format dxfId="1091">
      <pivotArea dataOnly="0" labelOnly="1" outline="0" fieldPosition="0">
        <references count="1">
          <reference field="3" count="0"/>
        </references>
      </pivotArea>
    </format>
    <format dxfId="1090">
      <pivotArea outline="0" collapsedLevelsAreSubtotals="1" fieldPosition="0">
        <references count="1">
          <reference field="0" count="0" selected="0"/>
        </references>
      </pivotArea>
    </format>
    <format dxfId="1089">
      <pivotArea dataOnly="0" labelOnly="1" outline="0" fieldPosition="0">
        <references count="1">
          <reference field="0" count="0"/>
        </references>
      </pivotArea>
    </format>
    <format dxfId="1088">
      <pivotArea dataOnly="0" labelOnly="1" outline="0" offset="A256" fieldPosition="0">
        <references count="1">
          <reference field="0" count="0"/>
        </references>
      </pivotArea>
    </format>
    <format dxfId="1087">
      <pivotArea type="all" dataOnly="0" outline="0" fieldPosition="0"/>
    </format>
    <format dxfId="1086">
      <pivotArea outline="0" collapsedLevelsAreSubtotals="1" fieldPosition="0"/>
    </format>
    <format dxfId="1085">
      <pivotArea dataOnly="0" labelOnly="1" outline="0" fieldPosition="0">
        <references count="1">
          <reference field="0" count="0"/>
        </references>
      </pivotArea>
    </format>
    <format dxfId="1084">
      <pivotArea dataOnly="0" labelOnly="1" grandRow="1" outline="0" fieldPosition="0"/>
    </format>
    <format dxfId="1083">
      <pivotArea dataOnly="0" labelOnly="1" outline="0" fieldPosition="0">
        <references count="1">
          <reference field="3" count="0"/>
        </references>
      </pivotArea>
    </format>
    <format dxfId="1082">
      <pivotArea type="all" dataOnly="0" outline="0" fieldPosition="0"/>
    </format>
    <format dxfId="1081">
      <pivotArea outline="0" collapsedLevelsAreSubtotals="1" fieldPosition="0"/>
    </format>
    <format dxfId="1080">
      <pivotArea dataOnly="0" labelOnly="1" outline="0" fieldPosition="0">
        <references count="1">
          <reference field="0" count="1">
            <x v="0"/>
          </reference>
        </references>
      </pivotArea>
    </format>
    <format dxfId="1079">
      <pivotArea dataOnly="0" labelOnly="1" grandRow="1" outline="0" fieldPosition="0"/>
    </format>
    <format dxfId="1078">
      <pivotArea dataOnly="0" labelOnly="1" outline="0" fieldPosition="0">
        <references count="1">
          <reference field="3" count="0"/>
        </references>
      </pivotArea>
    </format>
    <format dxfId="1077">
      <pivotArea outline="0" collapsedLevelsAreSubtotals="1" fieldPosition="0">
        <references count="1">
          <reference field="0" count="1" selected="0">
            <x v="0"/>
          </reference>
        </references>
      </pivotArea>
    </format>
    <format dxfId="1076">
      <pivotArea dataOnly="0" labelOnly="1" outline="0" fieldPosition="0">
        <references count="1">
          <reference field="0" count="1">
            <x v="0"/>
          </reference>
        </references>
      </pivotArea>
    </format>
    <format dxfId="1075">
      <pivotArea outline="0" collapsedLevelsAreSubtotals="1" fieldPosition="0">
        <references count="2">
          <reference field="0" count="1" selected="0">
            <x v="0"/>
          </reference>
          <reference field="3" count="1" selected="0">
            <x v="1"/>
          </reference>
        </references>
      </pivotArea>
    </format>
    <format dxfId="1074">
      <pivotArea type="all" dataOnly="0" outline="0" fieldPosition="0"/>
    </format>
    <format dxfId="1073">
      <pivotArea outline="0" collapsedLevelsAreSubtotals="1" fieldPosition="0"/>
    </format>
    <format dxfId="1072">
      <pivotArea dataOnly="0" labelOnly="1" outline="0" fieldPosition="0">
        <references count="1">
          <reference field="0" count="1">
            <x v="0"/>
          </reference>
        </references>
      </pivotArea>
    </format>
    <format dxfId="1071">
      <pivotArea dataOnly="0" labelOnly="1" grandRow="1" outline="0" fieldPosition="0"/>
    </format>
    <format dxfId="1070">
      <pivotArea dataOnly="0" labelOnly="1" outline="0" fieldPosition="0">
        <references count="1">
          <reference field="3" count="0"/>
        </references>
      </pivotArea>
    </format>
    <format dxfId="1069">
      <pivotArea type="all" dataOnly="0" outline="0" fieldPosition="0"/>
    </format>
    <format dxfId="1068">
      <pivotArea outline="0" collapsedLevelsAreSubtotals="1" fieldPosition="0"/>
    </format>
    <format dxfId="1067">
      <pivotArea dataOnly="0" labelOnly="1" outline="0" fieldPosition="0">
        <references count="1">
          <reference field="0" count="1">
            <x v="0"/>
          </reference>
        </references>
      </pivotArea>
    </format>
    <format dxfId="1066">
      <pivotArea dataOnly="0" labelOnly="1" grandRow="1" outline="0" fieldPosition="0"/>
    </format>
    <format dxfId="1065">
      <pivotArea dataOnly="0" labelOnly="1" outline="0" fieldPosition="0">
        <references count="1">
          <reference field="3" count="0"/>
        </references>
      </pivotArea>
    </format>
    <format dxfId="1064">
      <pivotArea type="all" dataOnly="0" outline="0" fieldPosition="0"/>
    </format>
    <format dxfId="1063">
      <pivotArea outline="0" collapsedLevelsAreSubtotals="1" fieldPosition="0"/>
    </format>
    <format dxfId="1062">
      <pivotArea dataOnly="0" labelOnly="1" outline="0" fieldPosition="0">
        <references count="1">
          <reference field="0" count="1">
            <x v="0"/>
          </reference>
        </references>
      </pivotArea>
    </format>
    <format dxfId="1061">
      <pivotArea dataOnly="0" labelOnly="1" grandRow="1" outline="0" fieldPosition="0"/>
    </format>
    <format dxfId="1060">
      <pivotArea dataOnly="0" labelOnly="1" outline="0" fieldPosition="0">
        <references count="1">
          <reference field="3" count="0"/>
        </references>
      </pivotArea>
    </format>
    <format dxfId="1059">
      <pivotArea type="all" dataOnly="0" outline="0" fieldPosition="0"/>
    </format>
    <format dxfId="1058">
      <pivotArea outline="0" collapsedLevelsAreSubtotals="1" fieldPosition="0"/>
    </format>
    <format dxfId="1057">
      <pivotArea dataOnly="0" labelOnly="1" outline="0" fieldPosition="0">
        <references count="1">
          <reference field="0" count="1">
            <x v="0"/>
          </reference>
        </references>
      </pivotArea>
    </format>
    <format dxfId="1056">
      <pivotArea dataOnly="0" labelOnly="1" grandRow="1" outline="0" fieldPosition="0"/>
    </format>
    <format dxfId="1055">
      <pivotArea dataOnly="0" labelOnly="1" outline="0" fieldPosition="0">
        <references count="1">
          <reference field="3" count="0"/>
        </references>
      </pivotArea>
    </format>
    <format dxfId="1054">
      <pivotArea type="all" dataOnly="0" outline="0" fieldPosition="0"/>
    </format>
    <format dxfId="1053">
      <pivotArea outline="0" collapsedLevelsAreSubtotals="1" fieldPosition="0"/>
    </format>
    <format dxfId="1052">
      <pivotArea dataOnly="0" labelOnly="1" outline="0" fieldPosition="0">
        <references count="1">
          <reference field="0" count="1">
            <x v="0"/>
          </reference>
        </references>
      </pivotArea>
    </format>
    <format dxfId="1051">
      <pivotArea dataOnly="0" labelOnly="1" grandRow="1" outline="0" fieldPosition="0"/>
    </format>
    <format dxfId="1050">
      <pivotArea dataOnly="0" labelOnly="1" outline="0" fieldPosition="0">
        <references count="1">
          <reference field="3" count="0"/>
        </references>
      </pivotArea>
    </format>
    <format dxfId="1049">
      <pivotArea type="all" dataOnly="0" outline="0" fieldPosition="0"/>
    </format>
    <format dxfId="1048">
      <pivotArea outline="0" collapsedLevelsAreSubtotals="1" fieldPosition="0"/>
    </format>
    <format dxfId="1047">
      <pivotArea dataOnly="0" labelOnly="1" outline="0" fieldPosition="0">
        <references count="1">
          <reference field="0" count="1">
            <x v="0"/>
          </reference>
        </references>
      </pivotArea>
    </format>
    <format dxfId="1046">
      <pivotArea dataOnly="0" labelOnly="1" grandRow="1" outline="0" fieldPosition="0"/>
    </format>
    <format dxfId="1045">
      <pivotArea dataOnly="0" labelOnly="1" outline="0" fieldPosition="0">
        <references count="1">
          <reference field="3" count="0"/>
        </references>
      </pivotArea>
    </format>
    <format dxfId="1044">
      <pivotArea type="all" dataOnly="0" outline="0" fieldPosition="0"/>
    </format>
    <format dxfId="1043">
      <pivotArea outline="0" collapsedLevelsAreSubtotals="1" fieldPosition="0"/>
    </format>
    <format dxfId="1042">
      <pivotArea dataOnly="0" labelOnly="1" outline="0" fieldPosition="0">
        <references count="1">
          <reference field="0" count="1">
            <x v="0"/>
          </reference>
        </references>
      </pivotArea>
    </format>
    <format dxfId="1041">
      <pivotArea dataOnly="0" labelOnly="1" grandRow="1" outline="0" fieldPosition="0"/>
    </format>
    <format dxfId="1040">
      <pivotArea dataOnly="0" labelOnly="1" outline="0" fieldPosition="0">
        <references count="1">
          <reference field="3" count="0"/>
        </references>
      </pivotArea>
    </format>
    <format dxfId="1039">
      <pivotArea type="all" dataOnly="0" outline="0" fieldPosition="0"/>
    </format>
    <format dxfId="1038">
      <pivotArea outline="0" collapsedLevelsAreSubtotals="1" fieldPosition="0"/>
    </format>
    <format dxfId="1037">
      <pivotArea dataOnly="0" labelOnly="1" outline="0" fieldPosition="0">
        <references count="1">
          <reference field="0" count="1">
            <x v="0"/>
          </reference>
        </references>
      </pivotArea>
    </format>
    <format dxfId="1036">
      <pivotArea dataOnly="0" labelOnly="1" grandRow="1" outline="0" fieldPosition="0"/>
    </format>
    <format dxfId="1035">
      <pivotArea dataOnly="0" labelOnly="1" outline="0" fieldPosition="0">
        <references count="1">
          <reference field="3" count="0"/>
        </references>
      </pivotArea>
    </format>
    <format dxfId="1034">
      <pivotArea type="all" dataOnly="0" outline="0" fieldPosition="0"/>
    </format>
    <format dxfId="1033">
      <pivotArea outline="0" collapsedLevelsAreSubtotals="1" fieldPosition="0"/>
    </format>
    <format dxfId="1032">
      <pivotArea dataOnly="0" labelOnly="1" outline="0" fieldPosition="0">
        <references count="1">
          <reference field="0" count="1">
            <x v="0"/>
          </reference>
        </references>
      </pivotArea>
    </format>
    <format dxfId="1031">
      <pivotArea dataOnly="0" labelOnly="1" grandRow="1" outline="0" fieldPosition="0"/>
    </format>
    <format dxfId="1030">
      <pivotArea dataOnly="0" labelOnly="1" outline="0" fieldPosition="0">
        <references count="1">
          <reference field="3" count="0"/>
        </references>
      </pivotArea>
    </format>
    <format dxfId="1029">
      <pivotArea type="all" dataOnly="0" outline="0" fieldPosition="0"/>
    </format>
    <format dxfId="1028">
      <pivotArea outline="0" collapsedLevelsAreSubtotals="1" fieldPosition="0"/>
    </format>
    <format dxfId="1027">
      <pivotArea dataOnly="0" labelOnly="1" outline="0" fieldPosition="0">
        <references count="1">
          <reference field="0" count="1">
            <x v="0"/>
          </reference>
        </references>
      </pivotArea>
    </format>
    <format dxfId="1026">
      <pivotArea dataOnly="0" labelOnly="1" grandRow="1" outline="0" fieldPosition="0"/>
    </format>
    <format dxfId="1025">
      <pivotArea dataOnly="0" labelOnly="1" outline="0" fieldPosition="0">
        <references count="1">
          <reference field="3" count="0"/>
        </references>
      </pivotArea>
    </format>
    <format dxfId="1024">
      <pivotArea type="all" dataOnly="0" outline="0" fieldPosition="0"/>
    </format>
    <format dxfId="1023">
      <pivotArea outline="0" collapsedLevelsAreSubtotals="1" fieldPosition="0"/>
    </format>
    <format dxfId="1022">
      <pivotArea dataOnly="0" labelOnly="1" outline="0" fieldPosition="0">
        <references count="1">
          <reference field="0" count="1">
            <x v="0"/>
          </reference>
        </references>
      </pivotArea>
    </format>
    <format dxfId="1021">
      <pivotArea dataOnly="0" labelOnly="1" grandRow="1" outline="0" fieldPosition="0"/>
    </format>
    <format dxfId="1020">
      <pivotArea dataOnly="0" labelOnly="1" outline="0" fieldPosition="0">
        <references count="1">
          <reference field="3" count="0"/>
        </references>
      </pivotArea>
    </format>
    <format dxfId="1019">
      <pivotArea type="all" dataOnly="0" outline="0" fieldPosition="0"/>
    </format>
    <format dxfId="1018">
      <pivotArea outline="0" collapsedLevelsAreSubtotals="1" fieldPosition="0"/>
    </format>
    <format dxfId="1017">
      <pivotArea dataOnly="0" labelOnly="1" outline="0" fieldPosition="0">
        <references count="1">
          <reference field="0" count="1">
            <x v="0"/>
          </reference>
        </references>
      </pivotArea>
    </format>
    <format dxfId="1016">
      <pivotArea dataOnly="0" labelOnly="1" grandRow="1" outline="0" fieldPosition="0"/>
    </format>
    <format dxfId="1015">
      <pivotArea dataOnly="0" labelOnly="1" outline="0" fieldPosition="0">
        <references count="1">
          <reference field="3" count="0"/>
        </references>
      </pivotArea>
    </format>
    <format dxfId="1014">
      <pivotArea type="all" dataOnly="0" outline="0" fieldPosition="0"/>
    </format>
    <format dxfId="1013">
      <pivotArea outline="0" collapsedLevelsAreSubtotals="1" fieldPosition="0"/>
    </format>
    <format dxfId="1012">
      <pivotArea dataOnly="0" labelOnly="1" outline="0" fieldPosition="0">
        <references count="1">
          <reference field="0" count="1">
            <x v="0"/>
          </reference>
        </references>
      </pivotArea>
    </format>
    <format dxfId="1011">
      <pivotArea dataOnly="0" labelOnly="1" grandRow="1" outline="0" fieldPosition="0"/>
    </format>
    <format dxfId="1010">
      <pivotArea dataOnly="0" labelOnly="1" outline="0" fieldPosition="0">
        <references count="1">
          <reference field="3" count="0"/>
        </references>
      </pivotArea>
    </format>
    <format dxfId="1009">
      <pivotArea type="all" dataOnly="0" outline="0" fieldPosition="0"/>
    </format>
    <format dxfId="1008">
      <pivotArea outline="0" collapsedLevelsAreSubtotals="1" fieldPosition="0"/>
    </format>
    <format dxfId="1007">
      <pivotArea dataOnly="0" labelOnly="1" outline="0" fieldPosition="0">
        <references count="1">
          <reference field="0" count="1">
            <x v="0"/>
          </reference>
        </references>
      </pivotArea>
    </format>
    <format dxfId="1006">
      <pivotArea dataOnly="0" labelOnly="1" grandRow="1" outline="0" fieldPosition="0"/>
    </format>
    <format dxfId="1005">
      <pivotArea dataOnly="0" labelOnly="1" outline="0" fieldPosition="0">
        <references count="1">
          <reference field="3" count="0"/>
        </references>
      </pivotArea>
    </format>
    <format dxfId="1004">
      <pivotArea type="all" dataOnly="0" outline="0" fieldPosition="0"/>
    </format>
    <format dxfId="1003">
      <pivotArea outline="0" collapsedLevelsAreSubtotals="1" fieldPosition="0"/>
    </format>
    <format dxfId="1002">
      <pivotArea dataOnly="0" labelOnly="1" outline="0" fieldPosition="0">
        <references count="1">
          <reference field="0" count="1">
            <x v="0"/>
          </reference>
        </references>
      </pivotArea>
    </format>
    <format dxfId="1001">
      <pivotArea dataOnly="0" labelOnly="1" grandRow="1" outline="0" fieldPosition="0"/>
    </format>
    <format dxfId="1000">
      <pivotArea dataOnly="0" labelOnly="1" outline="0" fieldPosition="0">
        <references count="1">
          <reference field="3" count="0"/>
        </references>
      </pivotArea>
    </format>
    <format dxfId="999">
      <pivotArea type="all" dataOnly="0" outline="0" fieldPosition="0"/>
    </format>
    <format dxfId="998">
      <pivotArea outline="0" collapsedLevelsAreSubtotals="1" fieldPosition="0"/>
    </format>
    <format dxfId="997">
      <pivotArea dataOnly="0" labelOnly="1" outline="0" fieldPosition="0">
        <references count="1">
          <reference field="0" count="1">
            <x v="0"/>
          </reference>
        </references>
      </pivotArea>
    </format>
    <format dxfId="996">
      <pivotArea dataOnly="0" labelOnly="1" grandRow="1" outline="0" fieldPosition="0"/>
    </format>
    <format dxfId="995">
      <pivotArea dataOnly="0" labelOnly="1" outline="0" fieldPosition="0">
        <references count="1">
          <reference field="3" count="0"/>
        </references>
      </pivotArea>
    </format>
    <format dxfId="994">
      <pivotArea type="all" dataOnly="0" outline="0" fieldPosition="0"/>
    </format>
    <format dxfId="993">
      <pivotArea outline="0" collapsedLevelsAreSubtotals="1" fieldPosition="0"/>
    </format>
    <format dxfId="992">
      <pivotArea dataOnly="0" labelOnly="1" outline="0" fieldPosition="0">
        <references count="1">
          <reference field="0" count="1">
            <x v="0"/>
          </reference>
        </references>
      </pivotArea>
    </format>
    <format dxfId="991">
      <pivotArea dataOnly="0" labelOnly="1" grandRow="1" outline="0" fieldPosition="0"/>
    </format>
    <format dxfId="990">
      <pivotArea dataOnly="0" labelOnly="1" outline="0" fieldPosition="0">
        <references count="1">
          <reference field="3" count="0"/>
        </references>
      </pivotArea>
    </format>
    <format dxfId="989">
      <pivotArea type="all" dataOnly="0" outline="0" fieldPosition="0"/>
    </format>
    <format dxfId="988">
      <pivotArea outline="0" collapsedLevelsAreSubtotals="1" fieldPosition="0"/>
    </format>
    <format dxfId="987">
      <pivotArea dataOnly="0" labelOnly="1" outline="0" fieldPosition="0">
        <references count="1">
          <reference field="0" count="1">
            <x v="0"/>
          </reference>
        </references>
      </pivotArea>
    </format>
    <format dxfId="986">
      <pivotArea dataOnly="0" labelOnly="1" grandRow="1" outline="0" fieldPosition="0"/>
    </format>
    <format dxfId="985">
      <pivotArea dataOnly="0" labelOnly="1" outline="0" fieldPosition="0">
        <references count="1">
          <reference field="3" count="0"/>
        </references>
      </pivotArea>
    </format>
    <format dxfId="984">
      <pivotArea type="all" dataOnly="0" outline="0" fieldPosition="0"/>
    </format>
    <format dxfId="983">
      <pivotArea outline="0" collapsedLevelsAreSubtotals="1" fieldPosition="0"/>
    </format>
    <format dxfId="982">
      <pivotArea dataOnly="0" labelOnly="1" outline="0" fieldPosition="0">
        <references count="1">
          <reference field="0" count="1">
            <x v="0"/>
          </reference>
        </references>
      </pivotArea>
    </format>
    <format dxfId="981">
      <pivotArea dataOnly="0" labelOnly="1" grandRow="1" outline="0" fieldPosition="0"/>
    </format>
    <format dxfId="980">
      <pivotArea dataOnly="0" labelOnly="1" outline="0" fieldPosition="0">
        <references count="1">
          <reference field="3" count="0"/>
        </references>
      </pivotArea>
    </format>
    <format dxfId="979">
      <pivotArea type="all" dataOnly="0" outline="0" fieldPosition="0"/>
    </format>
    <format dxfId="978">
      <pivotArea outline="0" collapsedLevelsAreSubtotals="1" fieldPosition="0"/>
    </format>
    <format dxfId="977">
      <pivotArea dataOnly="0" labelOnly="1" outline="0" fieldPosition="0">
        <references count="1">
          <reference field="0" count="1">
            <x v="0"/>
          </reference>
        </references>
      </pivotArea>
    </format>
    <format dxfId="976">
      <pivotArea dataOnly="0" labelOnly="1" grandRow="1" outline="0" fieldPosition="0"/>
    </format>
    <format dxfId="975">
      <pivotArea dataOnly="0" labelOnly="1" outline="0" fieldPosition="0">
        <references count="1">
          <reference field="3" count="0"/>
        </references>
      </pivotArea>
    </format>
    <format dxfId="974">
      <pivotArea type="all" dataOnly="0" outline="0" fieldPosition="0"/>
    </format>
    <format dxfId="973">
      <pivotArea outline="0" collapsedLevelsAreSubtotals="1" fieldPosition="0"/>
    </format>
    <format dxfId="972">
      <pivotArea dataOnly="0" labelOnly="1" outline="0" fieldPosition="0">
        <references count="1">
          <reference field="0" count="1">
            <x v="0"/>
          </reference>
        </references>
      </pivotArea>
    </format>
    <format dxfId="971">
      <pivotArea dataOnly="0" labelOnly="1" grandRow="1" outline="0" fieldPosition="0"/>
    </format>
    <format dxfId="970">
      <pivotArea dataOnly="0" labelOnly="1" outline="0" fieldPosition="0">
        <references count="1">
          <reference field="3" count="0"/>
        </references>
      </pivotArea>
    </format>
    <format dxfId="969">
      <pivotArea type="all" dataOnly="0" outline="0" fieldPosition="0"/>
    </format>
    <format dxfId="968">
      <pivotArea outline="0" collapsedLevelsAreSubtotals="1" fieldPosition="0"/>
    </format>
    <format dxfId="967">
      <pivotArea dataOnly="0" labelOnly="1" outline="0" fieldPosition="0">
        <references count="1">
          <reference field="0" count="1">
            <x v="0"/>
          </reference>
        </references>
      </pivotArea>
    </format>
    <format dxfId="966">
      <pivotArea dataOnly="0" labelOnly="1" grandRow="1" outline="0" fieldPosition="0"/>
    </format>
    <format dxfId="965">
      <pivotArea dataOnly="0" labelOnly="1" outline="0" fieldPosition="0">
        <references count="1">
          <reference field="3" count="0"/>
        </references>
      </pivotArea>
    </format>
    <format dxfId="964">
      <pivotArea type="all" dataOnly="0" outline="0" fieldPosition="0"/>
    </format>
    <format dxfId="963">
      <pivotArea outline="0" collapsedLevelsAreSubtotals="1" fieldPosition="0"/>
    </format>
    <format dxfId="962">
      <pivotArea dataOnly="0" labelOnly="1" outline="0" fieldPosition="0">
        <references count="1">
          <reference field="0" count="1">
            <x v="0"/>
          </reference>
        </references>
      </pivotArea>
    </format>
    <format dxfId="961">
      <pivotArea dataOnly="0" labelOnly="1" grandRow="1" outline="0" fieldPosition="0"/>
    </format>
    <format dxfId="960">
      <pivotArea dataOnly="0" labelOnly="1" outline="0" fieldPosition="0">
        <references count="1">
          <reference field="3" count="0"/>
        </references>
      </pivotArea>
    </format>
    <format dxfId="959">
      <pivotArea type="all" dataOnly="0" outline="0" fieldPosition="0"/>
    </format>
    <format dxfId="958">
      <pivotArea outline="0" collapsedLevelsAreSubtotals="1" fieldPosition="0"/>
    </format>
    <format dxfId="957">
      <pivotArea dataOnly="0" labelOnly="1" outline="0" fieldPosition="0">
        <references count="1">
          <reference field="0" count="1">
            <x v="0"/>
          </reference>
        </references>
      </pivotArea>
    </format>
    <format dxfId="956">
      <pivotArea dataOnly="0" labelOnly="1" grandRow="1" outline="0" fieldPosition="0"/>
    </format>
    <format dxfId="955">
      <pivotArea dataOnly="0" labelOnly="1" outline="0" fieldPosition="0">
        <references count="1">
          <reference field="3" count="0"/>
        </references>
      </pivotArea>
    </format>
    <format dxfId="954">
      <pivotArea type="all" dataOnly="0" outline="0" fieldPosition="0"/>
    </format>
    <format dxfId="953">
      <pivotArea outline="0" collapsedLevelsAreSubtotals="1" fieldPosition="0"/>
    </format>
    <format dxfId="952">
      <pivotArea dataOnly="0" labelOnly="1" outline="0" fieldPosition="0">
        <references count="1">
          <reference field="0" count="1">
            <x v="0"/>
          </reference>
        </references>
      </pivotArea>
    </format>
    <format dxfId="951">
      <pivotArea dataOnly="0" labelOnly="1" grandRow="1" outline="0" fieldPosition="0"/>
    </format>
    <format dxfId="950">
      <pivotArea dataOnly="0" labelOnly="1" outline="0" fieldPosition="0">
        <references count="1">
          <reference field="3" count="0"/>
        </references>
      </pivotArea>
    </format>
    <format dxfId="949">
      <pivotArea type="all" dataOnly="0" outline="0" fieldPosition="0"/>
    </format>
    <format dxfId="948">
      <pivotArea outline="0" collapsedLevelsAreSubtotals="1" fieldPosition="0"/>
    </format>
    <format dxfId="947">
      <pivotArea dataOnly="0" labelOnly="1" outline="0" fieldPosition="0">
        <references count="1">
          <reference field="0" count="1">
            <x v="0"/>
          </reference>
        </references>
      </pivotArea>
    </format>
    <format dxfId="946">
      <pivotArea dataOnly="0" labelOnly="1" grandRow="1" outline="0" fieldPosition="0"/>
    </format>
    <format dxfId="945">
      <pivotArea dataOnly="0" labelOnly="1" outline="0" fieldPosition="0">
        <references count="1">
          <reference field="3" count="0"/>
        </references>
      </pivotArea>
    </format>
    <format dxfId="944">
      <pivotArea type="all" dataOnly="0" outline="0" fieldPosition="0"/>
    </format>
    <format dxfId="943">
      <pivotArea outline="0" collapsedLevelsAreSubtotals="1" fieldPosition="0"/>
    </format>
    <format dxfId="942">
      <pivotArea dataOnly="0" labelOnly="1" outline="0" fieldPosition="0">
        <references count="1">
          <reference field="0" count="1">
            <x v="0"/>
          </reference>
        </references>
      </pivotArea>
    </format>
    <format dxfId="941">
      <pivotArea dataOnly="0" labelOnly="1" grandRow="1" outline="0" fieldPosition="0"/>
    </format>
    <format dxfId="940">
      <pivotArea dataOnly="0" labelOnly="1" outline="0" fieldPosition="0">
        <references count="1">
          <reference field="3" count="0"/>
        </references>
      </pivotArea>
    </format>
    <format dxfId="939">
      <pivotArea type="all" dataOnly="0" outline="0" fieldPosition="0"/>
    </format>
    <format dxfId="938">
      <pivotArea outline="0" collapsedLevelsAreSubtotals="1" fieldPosition="0"/>
    </format>
    <format dxfId="937">
      <pivotArea dataOnly="0" labelOnly="1" outline="0" fieldPosition="0">
        <references count="1">
          <reference field="0" count="1">
            <x v="0"/>
          </reference>
        </references>
      </pivotArea>
    </format>
    <format dxfId="936">
      <pivotArea dataOnly="0" labelOnly="1" grandRow="1" outline="0" fieldPosition="0"/>
    </format>
    <format dxfId="935">
      <pivotArea dataOnly="0" labelOnly="1" outline="0" fieldPosition="0">
        <references count="1">
          <reference field="3" count="0"/>
        </references>
      </pivotArea>
    </format>
    <format dxfId="934">
      <pivotArea type="all" dataOnly="0" outline="0" fieldPosition="0"/>
    </format>
    <format dxfId="933">
      <pivotArea outline="0" collapsedLevelsAreSubtotals="1" fieldPosition="0"/>
    </format>
    <format dxfId="932">
      <pivotArea dataOnly="0" labelOnly="1" outline="0" fieldPosition="0">
        <references count="1">
          <reference field="0" count="1">
            <x v="0"/>
          </reference>
        </references>
      </pivotArea>
    </format>
    <format dxfId="931">
      <pivotArea dataOnly="0" labelOnly="1" grandRow="1" outline="0" fieldPosition="0"/>
    </format>
    <format dxfId="930">
      <pivotArea dataOnly="0" labelOnly="1" outline="0" fieldPosition="0">
        <references count="1">
          <reference field="3" count="0"/>
        </references>
      </pivotArea>
    </format>
    <format dxfId="929">
      <pivotArea type="all" dataOnly="0" outline="0" fieldPosition="0"/>
    </format>
    <format dxfId="928">
      <pivotArea outline="0" collapsedLevelsAreSubtotals="1" fieldPosition="0"/>
    </format>
    <format dxfId="927">
      <pivotArea dataOnly="0" labelOnly="1" outline="0" fieldPosition="0">
        <references count="1">
          <reference field="0" count="1">
            <x v="0"/>
          </reference>
        </references>
      </pivotArea>
    </format>
    <format dxfId="926">
      <pivotArea dataOnly="0" labelOnly="1" grandRow="1" outline="0" fieldPosition="0"/>
    </format>
    <format dxfId="925">
      <pivotArea dataOnly="0" labelOnly="1" outline="0" fieldPosition="0">
        <references count="1">
          <reference field="3" count="0"/>
        </references>
      </pivotArea>
    </format>
    <format dxfId="924">
      <pivotArea type="all" dataOnly="0" outline="0" fieldPosition="0"/>
    </format>
    <format dxfId="923">
      <pivotArea outline="0" collapsedLevelsAreSubtotals="1" fieldPosition="0"/>
    </format>
    <format dxfId="922">
      <pivotArea dataOnly="0" labelOnly="1" outline="0" fieldPosition="0">
        <references count="1">
          <reference field="0" count="1">
            <x v="0"/>
          </reference>
        </references>
      </pivotArea>
    </format>
    <format dxfId="921">
      <pivotArea dataOnly="0" labelOnly="1" grandRow="1" outline="0" fieldPosition="0"/>
    </format>
    <format dxfId="920">
      <pivotArea dataOnly="0" labelOnly="1" outline="0" fieldPosition="0">
        <references count="1">
          <reference field="3" count="0"/>
        </references>
      </pivotArea>
    </format>
    <format dxfId="919">
      <pivotArea type="all" dataOnly="0" outline="0" fieldPosition="0"/>
    </format>
    <format dxfId="918">
      <pivotArea outline="0" collapsedLevelsAreSubtotals="1" fieldPosition="0"/>
    </format>
    <format dxfId="917">
      <pivotArea dataOnly="0" labelOnly="1" outline="0" fieldPosition="0">
        <references count="1">
          <reference field="0" count="1">
            <x v="0"/>
          </reference>
        </references>
      </pivotArea>
    </format>
    <format dxfId="916">
      <pivotArea dataOnly="0" labelOnly="1" grandRow="1" outline="0" fieldPosition="0"/>
    </format>
    <format dxfId="915">
      <pivotArea dataOnly="0" labelOnly="1" outline="0" fieldPosition="0">
        <references count="1">
          <reference field="3" count="0"/>
        </references>
      </pivotArea>
    </format>
    <format dxfId="914">
      <pivotArea type="all" dataOnly="0" outline="0" fieldPosition="0"/>
    </format>
    <format dxfId="913">
      <pivotArea outline="0" collapsedLevelsAreSubtotals="1" fieldPosition="0"/>
    </format>
    <format dxfId="912">
      <pivotArea dataOnly="0" labelOnly="1" outline="0" fieldPosition="0">
        <references count="1">
          <reference field="0" count="1">
            <x v="0"/>
          </reference>
        </references>
      </pivotArea>
    </format>
    <format dxfId="911">
      <pivotArea dataOnly="0" labelOnly="1" grandRow="1" outline="0" fieldPosition="0"/>
    </format>
    <format dxfId="910">
      <pivotArea dataOnly="0" labelOnly="1" outline="0" fieldPosition="0">
        <references count="1">
          <reference field="3" count="0"/>
        </references>
      </pivotArea>
    </format>
    <format dxfId="909">
      <pivotArea type="all" dataOnly="0" outline="0" fieldPosition="0"/>
    </format>
    <format dxfId="908">
      <pivotArea outline="0" collapsedLevelsAreSubtotals="1" fieldPosition="0"/>
    </format>
    <format dxfId="907">
      <pivotArea dataOnly="0" labelOnly="1" outline="0" fieldPosition="0">
        <references count="1">
          <reference field="0" count="1">
            <x v="0"/>
          </reference>
        </references>
      </pivotArea>
    </format>
    <format dxfId="906">
      <pivotArea dataOnly="0" labelOnly="1" grandRow="1" outline="0" fieldPosition="0"/>
    </format>
    <format dxfId="905">
      <pivotArea dataOnly="0" labelOnly="1" outline="0" fieldPosition="0">
        <references count="1">
          <reference field="3" count="0"/>
        </references>
      </pivotArea>
    </format>
    <format dxfId="904">
      <pivotArea type="all" dataOnly="0" outline="0" fieldPosition="0"/>
    </format>
    <format dxfId="903">
      <pivotArea outline="0" collapsedLevelsAreSubtotals="1" fieldPosition="0"/>
    </format>
    <format dxfId="902">
      <pivotArea dataOnly="0" labelOnly="1" outline="0" fieldPosition="0">
        <references count="1">
          <reference field="0" count="1">
            <x v="0"/>
          </reference>
        </references>
      </pivotArea>
    </format>
    <format dxfId="901">
      <pivotArea dataOnly="0" labelOnly="1" grandRow="1" outline="0" fieldPosition="0"/>
    </format>
    <format dxfId="900">
      <pivotArea dataOnly="0" labelOnly="1" outline="0" fieldPosition="0">
        <references count="1">
          <reference field="3" count="0"/>
        </references>
      </pivotArea>
    </format>
    <format dxfId="899">
      <pivotArea type="all" dataOnly="0" outline="0" fieldPosition="0"/>
    </format>
    <format dxfId="898">
      <pivotArea outline="0" collapsedLevelsAreSubtotals="1" fieldPosition="0"/>
    </format>
    <format dxfId="897">
      <pivotArea dataOnly="0" labelOnly="1" outline="0" fieldPosition="0">
        <references count="1">
          <reference field="0" count="1">
            <x v="0"/>
          </reference>
        </references>
      </pivotArea>
    </format>
    <format dxfId="896">
      <pivotArea dataOnly="0" labelOnly="1" grandRow="1" outline="0" fieldPosition="0"/>
    </format>
    <format dxfId="895">
      <pivotArea dataOnly="0" labelOnly="1" outline="0" fieldPosition="0">
        <references count="1">
          <reference field="3" count="0"/>
        </references>
      </pivotArea>
    </format>
    <format dxfId="894">
      <pivotArea type="all" dataOnly="0" outline="0" fieldPosition="0"/>
    </format>
    <format dxfId="893">
      <pivotArea outline="0" collapsedLevelsAreSubtotals="1" fieldPosition="0"/>
    </format>
    <format dxfId="892">
      <pivotArea dataOnly="0" labelOnly="1" outline="0" fieldPosition="0">
        <references count="1">
          <reference field="0" count="1">
            <x v="0"/>
          </reference>
        </references>
      </pivotArea>
    </format>
    <format dxfId="891">
      <pivotArea dataOnly="0" labelOnly="1" grandRow="1" outline="0" fieldPosition="0"/>
    </format>
    <format dxfId="890">
      <pivotArea dataOnly="0" labelOnly="1" outline="0" fieldPosition="0">
        <references count="1">
          <reference field="3" count="0"/>
        </references>
      </pivotArea>
    </format>
    <format dxfId="889">
      <pivotArea type="all" dataOnly="0" outline="0" fieldPosition="0"/>
    </format>
    <format dxfId="888">
      <pivotArea outline="0" collapsedLevelsAreSubtotals="1" fieldPosition="0"/>
    </format>
    <format dxfId="887">
      <pivotArea dataOnly="0" labelOnly="1" outline="0" fieldPosition="0">
        <references count="1">
          <reference field="0" count="1">
            <x v="0"/>
          </reference>
        </references>
      </pivotArea>
    </format>
    <format dxfId="886">
      <pivotArea dataOnly="0" labelOnly="1" grandRow="1" outline="0" fieldPosition="0"/>
    </format>
    <format dxfId="885">
      <pivotArea dataOnly="0" labelOnly="1" outline="0" fieldPosition="0">
        <references count="1">
          <reference field="3" count="0"/>
        </references>
      </pivotArea>
    </format>
    <format dxfId="884">
      <pivotArea type="all" dataOnly="0" outline="0" fieldPosition="0"/>
    </format>
    <format dxfId="883">
      <pivotArea outline="0" collapsedLevelsAreSubtotals="1" fieldPosition="0"/>
    </format>
    <format dxfId="882">
      <pivotArea dataOnly="0" labelOnly="1" outline="0" fieldPosition="0">
        <references count="1">
          <reference field="0" count="1">
            <x v="0"/>
          </reference>
        </references>
      </pivotArea>
    </format>
    <format dxfId="881">
      <pivotArea dataOnly="0" labelOnly="1" grandRow="1" outline="0" fieldPosition="0"/>
    </format>
    <format dxfId="880">
      <pivotArea dataOnly="0" labelOnly="1" outline="0" fieldPosition="0">
        <references count="1">
          <reference field="3" count="0"/>
        </references>
      </pivotArea>
    </format>
    <format dxfId="879">
      <pivotArea type="all" dataOnly="0" outline="0" fieldPosition="0"/>
    </format>
    <format dxfId="878">
      <pivotArea outline="0" collapsedLevelsAreSubtotals="1" fieldPosition="0"/>
    </format>
    <format dxfId="877">
      <pivotArea dataOnly="0" labelOnly="1" outline="0" fieldPosition="0">
        <references count="1">
          <reference field="0" count="1">
            <x v="0"/>
          </reference>
        </references>
      </pivotArea>
    </format>
    <format dxfId="876">
      <pivotArea dataOnly="0" labelOnly="1" grandRow="1" outline="0" fieldPosition="0"/>
    </format>
    <format dxfId="875">
      <pivotArea dataOnly="0" labelOnly="1" outline="0" fieldPosition="0">
        <references count="1">
          <reference field="3" count="0"/>
        </references>
      </pivotArea>
    </format>
    <format dxfId="874">
      <pivotArea type="all" dataOnly="0" outline="0" fieldPosition="0"/>
    </format>
    <format dxfId="873">
      <pivotArea outline="0" collapsedLevelsAreSubtotals="1" fieldPosition="0"/>
    </format>
    <format dxfId="872">
      <pivotArea dataOnly="0" labelOnly="1" outline="0" fieldPosition="0">
        <references count="1">
          <reference field="0" count="1">
            <x v="0"/>
          </reference>
        </references>
      </pivotArea>
    </format>
    <format dxfId="871">
      <pivotArea dataOnly="0" labelOnly="1" grandRow="1" outline="0" fieldPosition="0"/>
    </format>
    <format dxfId="870">
      <pivotArea dataOnly="0" labelOnly="1" outline="0" fieldPosition="0">
        <references count="1">
          <reference field="3" count="0"/>
        </references>
      </pivotArea>
    </format>
    <format dxfId="869">
      <pivotArea type="all" dataOnly="0" outline="0" fieldPosition="0"/>
    </format>
    <format dxfId="868">
      <pivotArea outline="0" collapsedLevelsAreSubtotals="1" fieldPosition="0"/>
    </format>
    <format dxfId="867">
      <pivotArea dataOnly="0" labelOnly="1" outline="0" fieldPosition="0">
        <references count="1">
          <reference field="0" count="1">
            <x v="0"/>
          </reference>
        </references>
      </pivotArea>
    </format>
    <format dxfId="866">
      <pivotArea dataOnly="0" labelOnly="1" grandRow="1" outline="0" fieldPosition="0"/>
    </format>
    <format dxfId="865">
      <pivotArea dataOnly="0" labelOnly="1" outline="0" fieldPosition="0">
        <references count="1">
          <reference field="3" count="0"/>
        </references>
      </pivotArea>
    </format>
    <format dxfId="864">
      <pivotArea type="all" dataOnly="0" outline="0" fieldPosition="0"/>
    </format>
    <format dxfId="863">
      <pivotArea outline="0" collapsedLevelsAreSubtotals="1" fieldPosition="0"/>
    </format>
    <format dxfId="862">
      <pivotArea dataOnly="0" labelOnly="1" outline="0" fieldPosition="0">
        <references count="1">
          <reference field="0" count="1">
            <x v="0"/>
          </reference>
        </references>
      </pivotArea>
    </format>
    <format dxfId="861">
      <pivotArea dataOnly="0" labelOnly="1" grandRow="1" outline="0" fieldPosition="0"/>
    </format>
    <format dxfId="860">
      <pivotArea dataOnly="0" labelOnly="1" outline="0" fieldPosition="0">
        <references count="1">
          <reference field="3" count="0"/>
        </references>
      </pivotArea>
    </format>
    <format dxfId="859">
      <pivotArea type="all" dataOnly="0" outline="0" fieldPosition="0"/>
    </format>
    <format dxfId="858">
      <pivotArea outline="0" collapsedLevelsAreSubtotals="1" fieldPosition="0"/>
    </format>
    <format dxfId="857">
      <pivotArea dataOnly="0" labelOnly="1" outline="0" fieldPosition="0">
        <references count="1">
          <reference field="0" count="1">
            <x v="0"/>
          </reference>
        </references>
      </pivotArea>
    </format>
    <format dxfId="856">
      <pivotArea dataOnly="0" labelOnly="1" grandRow="1" outline="0" fieldPosition="0"/>
    </format>
    <format dxfId="855">
      <pivotArea dataOnly="0" labelOnly="1" outline="0" fieldPosition="0">
        <references count="1">
          <reference field="3" count="0"/>
        </references>
      </pivotArea>
    </format>
    <format dxfId="854">
      <pivotArea type="all" dataOnly="0" outline="0" fieldPosition="0"/>
    </format>
    <format dxfId="853">
      <pivotArea outline="0" collapsedLevelsAreSubtotals="1" fieldPosition="0"/>
    </format>
    <format dxfId="852">
      <pivotArea dataOnly="0" labelOnly="1" outline="0" fieldPosition="0">
        <references count="1">
          <reference field="0" count="1">
            <x v="0"/>
          </reference>
        </references>
      </pivotArea>
    </format>
    <format dxfId="851">
      <pivotArea dataOnly="0" labelOnly="1" grandRow="1" outline="0" fieldPosition="0"/>
    </format>
    <format dxfId="850">
      <pivotArea dataOnly="0" labelOnly="1" outline="0" fieldPosition="0">
        <references count="1">
          <reference field="3" count="0"/>
        </references>
      </pivotArea>
    </format>
    <format dxfId="849">
      <pivotArea type="all" dataOnly="0" outline="0" fieldPosition="0"/>
    </format>
    <format dxfId="848">
      <pivotArea outline="0" collapsedLevelsAreSubtotals="1" fieldPosition="0"/>
    </format>
    <format dxfId="847">
      <pivotArea dataOnly="0" labelOnly="1" outline="0" fieldPosition="0">
        <references count="1">
          <reference field="0" count="1">
            <x v="0"/>
          </reference>
        </references>
      </pivotArea>
    </format>
    <format dxfId="846">
      <pivotArea dataOnly="0" labelOnly="1" grandRow="1" outline="0" fieldPosition="0"/>
    </format>
    <format dxfId="845">
      <pivotArea dataOnly="0" labelOnly="1" outline="0" fieldPosition="0">
        <references count="1">
          <reference field="3" count="0"/>
        </references>
      </pivotArea>
    </format>
    <format dxfId="844">
      <pivotArea type="all" dataOnly="0" outline="0" fieldPosition="0"/>
    </format>
    <format dxfId="843">
      <pivotArea outline="0" collapsedLevelsAreSubtotals="1" fieldPosition="0"/>
    </format>
    <format dxfId="842">
      <pivotArea dataOnly="0" labelOnly="1" outline="0" fieldPosition="0">
        <references count="1">
          <reference field="0" count="1">
            <x v="0"/>
          </reference>
        </references>
      </pivotArea>
    </format>
    <format dxfId="841">
      <pivotArea dataOnly="0" labelOnly="1" grandRow="1" outline="0" fieldPosition="0"/>
    </format>
    <format dxfId="840">
      <pivotArea dataOnly="0" labelOnly="1" outline="0" fieldPosition="0">
        <references count="1">
          <reference field="3" count="0"/>
        </references>
      </pivotArea>
    </format>
    <format dxfId="839">
      <pivotArea type="all" dataOnly="0" outline="0" fieldPosition="0"/>
    </format>
    <format dxfId="838">
      <pivotArea outline="0" collapsedLevelsAreSubtotals="1" fieldPosition="0"/>
    </format>
    <format dxfId="837">
      <pivotArea dataOnly="0" labelOnly="1" outline="0" fieldPosition="0">
        <references count="1">
          <reference field="0" count="1">
            <x v="0"/>
          </reference>
        </references>
      </pivotArea>
    </format>
    <format dxfId="836">
      <pivotArea dataOnly="0" labelOnly="1" grandRow="1" outline="0" fieldPosition="0"/>
    </format>
    <format dxfId="835">
      <pivotArea dataOnly="0" labelOnly="1" outline="0" fieldPosition="0">
        <references count="1">
          <reference field="3" count="0"/>
        </references>
      </pivotArea>
    </format>
    <format dxfId="834">
      <pivotArea type="all" dataOnly="0" outline="0" fieldPosition="0"/>
    </format>
    <format dxfId="833">
      <pivotArea outline="0" collapsedLevelsAreSubtotals="1" fieldPosition="0"/>
    </format>
    <format dxfId="832">
      <pivotArea dataOnly="0" labelOnly="1" outline="0" fieldPosition="0">
        <references count="1">
          <reference field="0" count="1">
            <x v="0"/>
          </reference>
        </references>
      </pivotArea>
    </format>
    <format dxfId="831">
      <pivotArea dataOnly="0" labelOnly="1" grandRow="1" outline="0" fieldPosition="0"/>
    </format>
    <format dxfId="830">
      <pivotArea dataOnly="0" labelOnly="1" outline="0" fieldPosition="0">
        <references count="1">
          <reference field="3" count="0"/>
        </references>
      </pivotArea>
    </format>
    <format dxfId="829">
      <pivotArea type="all" dataOnly="0" outline="0" fieldPosition="0"/>
    </format>
    <format dxfId="828">
      <pivotArea outline="0" collapsedLevelsAreSubtotals="1" fieldPosition="0"/>
    </format>
    <format dxfId="827">
      <pivotArea dataOnly="0" labelOnly="1" outline="0" fieldPosition="0">
        <references count="1">
          <reference field="0" count="1">
            <x v="0"/>
          </reference>
        </references>
      </pivotArea>
    </format>
    <format dxfId="826">
      <pivotArea dataOnly="0" labelOnly="1" grandRow="1" outline="0" fieldPosition="0"/>
    </format>
    <format dxfId="825">
      <pivotArea dataOnly="0" labelOnly="1" outline="0" fieldPosition="0">
        <references count="1">
          <reference field="3" count="0"/>
        </references>
      </pivotArea>
    </format>
    <format dxfId="824">
      <pivotArea type="all" dataOnly="0" outline="0" fieldPosition="0"/>
    </format>
    <format dxfId="823">
      <pivotArea outline="0" collapsedLevelsAreSubtotals="1" fieldPosition="0"/>
    </format>
    <format dxfId="822">
      <pivotArea dataOnly="0" labelOnly="1" outline="0" fieldPosition="0">
        <references count="1">
          <reference field="0" count="1">
            <x v="0"/>
          </reference>
        </references>
      </pivotArea>
    </format>
    <format dxfId="821">
      <pivotArea dataOnly="0" labelOnly="1" grandRow="1" outline="0" fieldPosition="0"/>
    </format>
    <format dxfId="820">
      <pivotArea dataOnly="0" labelOnly="1" outline="0" fieldPosition="0">
        <references count="1">
          <reference field="3" count="0"/>
        </references>
      </pivotArea>
    </format>
    <format dxfId="819">
      <pivotArea type="all" dataOnly="0" outline="0" fieldPosition="0"/>
    </format>
    <format dxfId="818">
      <pivotArea outline="0" collapsedLevelsAreSubtotals="1" fieldPosition="0"/>
    </format>
    <format dxfId="817">
      <pivotArea dataOnly="0" labelOnly="1" outline="0" fieldPosition="0">
        <references count="1">
          <reference field="0" count="1">
            <x v="0"/>
          </reference>
        </references>
      </pivotArea>
    </format>
    <format dxfId="816">
      <pivotArea dataOnly="0" labelOnly="1" grandRow="1" outline="0" fieldPosition="0"/>
    </format>
    <format dxfId="815">
      <pivotArea dataOnly="0" labelOnly="1" outline="0" fieldPosition="0">
        <references count="1">
          <reference field="3" count="0"/>
        </references>
      </pivotArea>
    </format>
    <format dxfId="814">
      <pivotArea type="all" dataOnly="0" outline="0" fieldPosition="0"/>
    </format>
    <format dxfId="813">
      <pivotArea outline="0" collapsedLevelsAreSubtotals="1" fieldPosition="0"/>
    </format>
    <format dxfId="812">
      <pivotArea dataOnly="0" labelOnly="1" outline="0" fieldPosition="0">
        <references count="1">
          <reference field="0" count="1">
            <x v="0"/>
          </reference>
        </references>
      </pivotArea>
    </format>
    <format dxfId="811">
      <pivotArea dataOnly="0" labelOnly="1" grandRow="1" outline="0" fieldPosition="0"/>
    </format>
    <format dxfId="810">
      <pivotArea dataOnly="0" labelOnly="1" outline="0" fieldPosition="0">
        <references count="1">
          <reference field="3" count="0"/>
        </references>
      </pivotArea>
    </format>
    <format dxfId="809">
      <pivotArea type="all" dataOnly="0" outline="0" fieldPosition="0"/>
    </format>
    <format dxfId="808">
      <pivotArea outline="0" collapsedLevelsAreSubtotals="1" fieldPosition="0"/>
    </format>
    <format dxfId="807">
      <pivotArea dataOnly="0" labelOnly="1" outline="0" fieldPosition="0">
        <references count="1">
          <reference field="0" count="1">
            <x v="0"/>
          </reference>
        </references>
      </pivotArea>
    </format>
    <format dxfId="806">
      <pivotArea dataOnly="0" labelOnly="1" grandRow="1" outline="0" fieldPosition="0"/>
    </format>
    <format dxfId="805">
      <pivotArea dataOnly="0" labelOnly="1" outline="0" fieldPosition="0">
        <references count="1">
          <reference field="3" count="0"/>
        </references>
      </pivotArea>
    </format>
    <format dxfId="804">
      <pivotArea type="all" dataOnly="0" outline="0" fieldPosition="0"/>
    </format>
    <format dxfId="803">
      <pivotArea outline="0" collapsedLevelsAreSubtotals="1" fieldPosition="0"/>
    </format>
    <format dxfId="802">
      <pivotArea dataOnly="0" labelOnly="1" outline="0" fieldPosition="0">
        <references count="1">
          <reference field="0" count="1">
            <x v="0"/>
          </reference>
        </references>
      </pivotArea>
    </format>
    <format dxfId="801">
      <pivotArea dataOnly="0" labelOnly="1" grandRow="1" outline="0" fieldPosition="0"/>
    </format>
    <format dxfId="800">
      <pivotArea dataOnly="0" labelOnly="1" outline="0" fieldPosition="0">
        <references count="1">
          <reference field="3" count="0"/>
        </references>
      </pivotArea>
    </format>
    <format dxfId="799">
      <pivotArea type="all" dataOnly="0" outline="0" fieldPosition="0"/>
    </format>
    <format dxfId="798">
      <pivotArea outline="0" collapsedLevelsAreSubtotals="1" fieldPosition="0"/>
    </format>
    <format dxfId="797">
      <pivotArea dataOnly="0" labelOnly="1" outline="0" fieldPosition="0">
        <references count="1">
          <reference field="0" count="1">
            <x v="0"/>
          </reference>
        </references>
      </pivotArea>
    </format>
    <format dxfId="796">
      <pivotArea dataOnly="0" labelOnly="1" grandRow="1" outline="0" fieldPosition="0"/>
    </format>
    <format dxfId="795">
      <pivotArea dataOnly="0" labelOnly="1" outline="0" fieldPosition="0">
        <references count="1">
          <reference field="3" count="0"/>
        </references>
      </pivotArea>
    </format>
    <format dxfId="794">
      <pivotArea type="all" dataOnly="0" outline="0" fieldPosition="0"/>
    </format>
    <format dxfId="793">
      <pivotArea outline="0" collapsedLevelsAreSubtotals="1" fieldPosition="0"/>
    </format>
    <format dxfId="792">
      <pivotArea dataOnly="0" labelOnly="1" outline="0" fieldPosition="0">
        <references count="1">
          <reference field="0" count="1">
            <x v="0"/>
          </reference>
        </references>
      </pivotArea>
    </format>
    <format dxfId="791">
      <pivotArea dataOnly="0" labelOnly="1" grandRow="1" outline="0" fieldPosition="0"/>
    </format>
    <format dxfId="790">
      <pivotArea dataOnly="0" labelOnly="1" outline="0" fieldPosition="0">
        <references count="1">
          <reference field="3" count="0"/>
        </references>
      </pivotArea>
    </format>
    <format dxfId="789">
      <pivotArea type="all" dataOnly="0" outline="0" fieldPosition="0"/>
    </format>
    <format dxfId="788">
      <pivotArea outline="0" collapsedLevelsAreSubtotals="1" fieldPosition="0"/>
    </format>
    <format dxfId="787">
      <pivotArea dataOnly="0" labelOnly="1" outline="0" fieldPosition="0">
        <references count="1">
          <reference field="0" count="1">
            <x v="0"/>
          </reference>
        </references>
      </pivotArea>
    </format>
    <format dxfId="786">
      <pivotArea dataOnly="0" labelOnly="1" grandRow="1" outline="0" fieldPosition="0"/>
    </format>
    <format dxfId="785">
      <pivotArea dataOnly="0" labelOnly="1" outline="0" fieldPosition="0">
        <references count="1">
          <reference field="3" count="0"/>
        </references>
      </pivotArea>
    </format>
    <format dxfId="784">
      <pivotArea type="all" dataOnly="0" outline="0" fieldPosition="0"/>
    </format>
    <format dxfId="783">
      <pivotArea outline="0" collapsedLevelsAreSubtotals="1" fieldPosition="0"/>
    </format>
    <format dxfId="782">
      <pivotArea dataOnly="0" labelOnly="1" outline="0" fieldPosition="0">
        <references count="1">
          <reference field="0" count="1">
            <x v="0"/>
          </reference>
        </references>
      </pivotArea>
    </format>
    <format dxfId="781">
      <pivotArea dataOnly="0" labelOnly="1" grandRow="1" outline="0" fieldPosition="0"/>
    </format>
    <format dxfId="780">
      <pivotArea dataOnly="0" labelOnly="1" outline="0" fieldPosition="0">
        <references count="1">
          <reference field="3" count="0"/>
        </references>
      </pivotArea>
    </format>
    <format dxfId="779">
      <pivotArea type="all" dataOnly="0" outline="0" fieldPosition="0"/>
    </format>
    <format dxfId="778">
      <pivotArea outline="0" collapsedLevelsAreSubtotals="1" fieldPosition="0"/>
    </format>
    <format dxfId="777">
      <pivotArea dataOnly="0" labelOnly="1" outline="0" fieldPosition="0">
        <references count="1">
          <reference field="0" count="1">
            <x v="0"/>
          </reference>
        </references>
      </pivotArea>
    </format>
    <format dxfId="776">
      <pivotArea dataOnly="0" labelOnly="1" grandRow="1" outline="0" fieldPosition="0"/>
    </format>
    <format dxfId="775">
      <pivotArea dataOnly="0" labelOnly="1" outline="0" fieldPosition="0">
        <references count="1">
          <reference field="3" count="0"/>
        </references>
      </pivotArea>
    </format>
    <format dxfId="774">
      <pivotArea type="all" dataOnly="0" outline="0" fieldPosition="0"/>
    </format>
    <format dxfId="773">
      <pivotArea outline="0" collapsedLevelsAreSubtotals="1" fieldPosition="0"/>
    </format>
    <format dxfId="772">
      <pivotArea dataOnly="0" labelOnly="1" outline="0" fieldPosition="0">
        <references count="1">
          <reference field="0" count="1">
            <x v="0"/>
          </reference>
        </references>
      </pivotArea>
    </format>
    <format dxfId="771">
      <pivotArea dataOnly="0" labelOnly="1" grandRow="1" outline="0" fieldPosition="0"/>
    </format>
    <format dxfId="770">
      <pivotArea dataOnly="0" labelOnly="1" outline="0" fieldPosition="0">
        <references count="1">
          <reference field="3" count="0"/>
        </references>
      </pivotArea>
    </format>
    <format dxfId="769">
      <pivotArea type="all" dataOnly="0" outline="0" fieldPosition="0"/>
    </format>
    <format dxfId="768">
      <pivotArea outline="0" collapsedLevelsAreSubtotals="1" fieldPosition="0"/>
    </format>
    <format dxfId="767">
      <pivotArea dataOnly="0" labelOnly="1" outline="0" fieldPosition="0">
        <references count="1">
          <reference field="0" count="1">
            <x v="0"/>
          </reference>
        </references>
      </pivotArea>
    </format>
    <format dxfId="766">
      <pivotArea dataOnly="0" labelOnly="1" grandRow="1" outline="0" fieldPosition="0"/>
    </format>
    <format dxfId="765">
      <pivotArea dataOnly="0" labelOnly="1" outline="0" fieldPosition="0">
        <references count="1">
          <reference field="3" count="0"/>
        </references>
      </pivotArea>
    </format>
    <format dxfId="764">
      <pivotArea type="all" dataOnly="0" outline="0" fieldPosition="0"/>
    </format>
    <format dxfId="763">
      <pivotArea outline="0" collapsedLevelsAreSubtotals="1" fieldPosition="0"/>
    </format>
    <format dxfId="762">
      <pivotArea dataOnly="0" labelOnly="1" outline="0" fieldPosition="0">
        <references count="1">
          <reference field="0" count="1">
            <x v="0"/>
          </reference>
        </references>
      </pivotArea>
    </format>
    <format dxfId="761">
      <pivotArea dataOnly="0" labelOnly="1" grandRow="1" outline="0" fieldPosition="0"/>
    </format>
    <format dxfId="760">
      <pivotArea dataOnly="0" labelOnly="1" outline="0" fieldPosition="0">
        <references count="1">
          <reference field="3" count="0"/>
        </references>
      </pivotArea>
    </format>
    <format dxfId="759">
      <pivotArea type="all" dataOnly="0" outline="0" fieldPosition="0"/>
    </format>
    <format dxfId="758">
      <pivotArea outline="0" collapsedLevelsAreSubtotals="1" fieldPosition="0"/>
    </format>
    <format dxfId="757">
      <pivotArea dataOnly="0" labelOnly="1" outline="0" fieldPosition="0">
        <references count="1">
          <reference field="0" count="1">
            <x v="0"/>
          </reference>
        </references>
      </pivotArea>
    </format>
    <format dxfId="756">
      <pivotArea dataOnly="0" labelOnly="1" grandRow="1" outline="0" fieldPosition="0"/>
    </format>
    <format dxfId="755">
      <pivotArea dataOnly="0" labelOnly="1" outline="0" fieldPosition="0">
        <references count="1">
          <reference field="3" count="0"/>
        </references>
      </pivotArea>
    </format>
    <format dxfId="754">
      <pivotArea type="all" dataOnly="0" outline="0" fieldPosition="0"/>
    </format>
    <format dxfId="753">
      <pivotArea outline="0" collapsedLevelsAreSubtotals="1" fieldPosition="0"/>
    </format>
    <format dxfId="752">
      <pivotArea dataOnly="0" labelOnly="1" outline="0" fieldPosition="0">
        <references count="1">
          <reference field="0" count="1">
            <x v="0"/>
          </reference>
        </references>
      </pivotArea>
    </format>
    <format dxfId="751">
      <pivotArea dataOnly="0" labelOnly="1" grandRow="1" outline="0" fieldPosition="0"/>
    </format>
    <format dxfId="750">
      <pivotArea dataOnly="0" labelOnly="1" outline="0" fieldPosition="0">
        <references count="1">
          <reference field="3" count="0"/>
        </references>
      </pivotArea>
    </format>
    <format dxfId="749">
      <pivotArea type="all" dataOnly="0" outline="0" fieldPosition="0"/>
    </format>
    <format dxfId="748">
      <pivotArea outline="0" collapsedLevelsAreSubtotals="1" fieldPosition="0"/>
    </format>
    <format dxfId="747">
      <pivotArea dataOnly="0" labelOnly="1" outline="0" fieldPosition="0">
        <references count="1">
          <reference field="0" count="1">
            <x v="0"/>
          </reference>
        </references>
      </pivotArea>
    </format>
    <format dxfId="746">
      <pivotArea dataOnly="0" labelOnly="1" grandRow="1" outline="0" fieldPosition="0"/>
    </format>
    <format dxfId="745">
      <pivotArea dataOnly="0" labelOnly="1" outline="0" fieldPosition="0">
        <references count="1">
          <reference field="3" count="0"/>
        </references>
      </pivotArea>
    </format>
    <format dxfId="744">
      <pivotArea type="all" dataOnly="0" outline="0" fieldPosition="0"/>
    </format>
    <format dxfId="743">
      <pivotArea outline="0" collapsedLevelsAreSubtotals="1" fieldPosition="0"/>
    </format>
    <format dxfId="742">
      <pivotArea dataOnly="0" labelOnly="1" outline="0" fieldPosition="0">
        <references count="1">
          <reference field="0" count="1">
            <x v="0"/>
          </reference>
        </references>
      </pivotArea>
    </format>
    <format dxfId="741">
      <pivotArea dataOnly="0" labelOnly="1" grandRow="1" outline="0" fieldPosition="0"/>
    </format>
    <format dxfId="740">
      <pivotArea dataOnly="0" labelOnly="1" outline="0" fieldPosition="0">
        <references count="1">
          <reference field="3" count="0"/>
        </references>
      </pivotArea>
    </format>
    <format dxfId="739">
      <pivotArea type="all" dataOnly="0" outline="0" fieldPosition="0"/>
    </format>
    <format dxfId="738">
      <pivotArea outline="0" collapsedLevelsAreSubtotals="1" fieldPosition="0"/>
    </format>
    <format dxfId="737">
      <pivotArea dataOnly="0" labelOnly="1" outline="0" fieldPosition="0">
        <references count="1">
          <reference field="0" count="1">
            <x v="0"/>
          </reference>
        </references>
      </pivotArea>
    </format>
    <format dxfId="736">
      <pivotArea dataOnly="0" labelOnly="1" grandRow="1" outline="0" fieldPosition="0"/>
    </format>
    <format dxfId="735">
      <pivotArea dataOnly="0" labelOnly="1" outline="0" fieldPosition="0">
        <references count="1">
          <reference field="3" count="0"/>
        </references>
      </pivotArea>
    </format>
    <format dxfId="734">
      <pivotArea type="all" dataOnly="0" outline="0" fieldPosition="0"/>
    </format>
    <format dxfId="733">
      <pivotArea outline="0" collapsedLevelsAreSubtotals="1" fieldPosition="0"/>
    </format>
    <format dxfId="732">
      <pivotArea dataOnly="0" labelOnly="1" outline="0" fieldPosition="0">
        <references count="1">
          <reference field="0" count="1">
            <x v="0"/>
          </reference>
        </references>
      </pivotArea>
    </format>
    <format dxfId="731">
      <pivotArea dataOnly="0" labelOnly="1" grandRow="1" outline="0" fieldPosition="0"/>
    </format>
    <format dxfId="730">
      <pivotArea dataOnly="0" labelOnly="1" outline="0" fieldPosition="0">
        <references count="1">
          <reference field="3" count="0"/>
        </references>
      </pivotArea>
    </format>
    <format dxfId="729">
      <pivotArea type="all" dataOnly="0" outline="0" fieldPosition="0"/>
    </format>
    <format dxfId="728">
      <pivotArea outline="0" collapsedLevelsAreSubtotals="1" fieldPosition="0"/>
    </format>
    <format dxfId="727">
      <pivotArea dataOnly="0" labelOnly="1" outline="0" fieldPosition="0">
        <references count="1">
          <reference field="0" count="1">
            <x v="0"/>
          </reference>
        </references>
      </pivotArea>
    </format>
    <format dxfId="726">
      <pivotArea dataOnly="0" labelOnly="1" grandRow="1" outline="0" fieldPosition="0"/>
    </format>
    <format dxfId="725">
      <pivotArea dataOnly="0" labelOnly="1" outline="0" fieldPosition="0">
        <references count="1">
          <reference field="3" count="0"/>
        </references>
      </pivotArea>
    </format>
    <format dxfId="724">
      <pivotArea type="all" dataOnly="0" outline="0" fieldPosition="0"/>
    </format>
    <format dxfId="723">
      <pivotArea outline="0" collapsedLevelsAreSubtotals="1" fieldPosition="0"/>
    </format>
    <format dxfId="722">
      <pivotArea dataOnly="0" labelOnly="1" outline="0" fieldPosition="0">
        <references count="1">
          <reference field="0" count="1">
            <x v="0"/>
          </reference>
        </references>
      </pivotArea>
    </format>
    <format dxfId="721">
      <pivotArea dataOnly="0" labelOnly="1" grandRow="1" outline="0" fieldPosition="0"/>
    </format>
    <format dxfId="720">
      <pivotArea dataOnly="0" labelOnly="1" outline="0" fieldPosition="0">
        <references count="1">
          <reference field="3" count="0"/>
        </references>
      </pivotArea>
    </format>
    <format dxfId="719">
      <pivotArea grandRow="1" outline="0" collapsedLevelsAreSubtotals="1" fieldPosition="0"/>
    </format>
    <format dxfId="718">
      <pivotArea dataOnly="0" labelOnly="1" grandRow="1" outline="0" fieldPosition="0"/>
    </format>
    <format dxfId="717">
      <pivotArea field="3" grandRow="1" outline="0" collapsedLevelsAreSubtotals="1" axis="axisCol" fieldPosition="0">
        <references count="1">
          <reference field="3" count="1" selected="0">
            <x v="1"/>
          </reference>
        </references>
      </pivotArea>
    </format>
    <format dxfId="716">
      <pivotArea type="all" dataOnly="0" outline="0" fieldPosition="0"/>
    </format>
    <format dxfId="715">
      <pivotArea outline="0" collapsedLevelsAreSubtotals="1" fieldPosition="0"/>
    </format>
    <format dxfId="714">
      <pivotArea dataOnly="0" labelOnly="1" outline="0" fieldPosition="0">
        <references count="1">
          <reference field="0" count="1">
            <x v="0"/>
          </reference>
        </references>
      </pivotArea>
    </format>
    <format dxfId="713">
      <pivotArea dataOnly="0" labelOnly="1" grandRow="1" outline="0" fieldPosition="0"/>
    </format>
    <format dxfId="712">
      <pivotArea dataOnly="0" labelOnly="1" outline="0" fieldPosition="0">
        <references count="1">
          <reference field="3" count="0"/>
        </references>
      </pivotArea>
    </format>
    <format dxfId="711">
      <pivotArea grandRow="1" outline="0" collapsedLevelsAreSubtotals="1" fieldPosition="0"/>
    </format>
    <format dxfId="710">
      <pivotArea dataOnly="0" labelOnly="1" grandRow="1" outline="0" fieldPosition="0"/>
    </format>
    <format dxfId="709">
      <pivotArea field="3" grandRow="1" outline="0" collapsedLevelsAreSubtotals="1" axis="axisCol" fieldPosition="0">
        <references count="1">
          <reference field="3" count="1" selected="0">
            <x v="2"/>
          </reference>
        </references>
      </pivotArea>
    </format>
    <format dxfId="708">
      <pivotArea type="all" dataOnly="0" outline="0" fieldPosition="0"/>
    </format>
    <format dxfId="707">
      <pivotArea outline="0" collapsedLevelsAreSubtotals="1" fieldPosition="0"/>
    </format>
    <format dxfId="706">
      <pivotArea dataOnly="0" labelOnly="1" outline="0" fieldPosition="0">
        <references count="1">
          <reference field="0" count="1">
            <x v="0"/>
          </reference>
        </references>
      </pivotArea>
    </format>
    <format dxfId="705">
      <pivotArea dataOnly="0" labelOnly="1" grandRow="1" outline="0" fieldPosition="0"/>
    </format>
    <format dxfId="704">
      <pivotArea dataOnly="0" labelOnly="1" outline="0" fieldPosition="0">
        <references count="1">
          <reference field="3" count="0"/>
        </references>
      </pivotArea>
    </format>
    <format dxfId="703">
      <pivotArea grandRow="1" outline="0" collapsedLevelsAreSubtotals="1" fieldPosition="0"/>
    </format>
    <format dxfId="702">
      <pivotArea dataOnly="0" labelOnly="1" grandRow="1" outline="0" fieldPosition="0"/>
    </format>
    <format dxfId="701">
      <pivotArea type="all" dataOnly="0" outline="0" fieldPosition="0"/>
    </format>
    <format dxfId="700">
      <pivotArea outline="0" collapsedLevelsAreSubtotals="1" fieldPosition="0"/>
    </format>
    <format dxfId="699">
      <pivotArea dataOnly="0" labelOnly="1" outline="0" fieldPosition="0">
        <references count="1">
          <reference field="0" count="1">
            <x v="0"/>
          </reference>
        </references>
      </pivotArea>
    </format>
    <format dxfId="698">
      <pivotArea dataOnly="0" labelOnly="1" grandRow="1" outline="0" fieldPosition="0"/>
    </format>
    <format dxfId="697">
      <pivotArea dataOnly="0" labelOnly="1" outline="0" fieldPosition="0">
        <references count="1">
          <reference field="3" count="0"/>
        </references>
      </pivotArea>
    </format>
    <format dxfId="696">
      <pivotArea grandRow="1" outline="0" collapsedLevelsAreSubtotals="1" fieldPosition="0"/>
    </format>
    <format dxfId="695">
      <pivotArea dataOnly="0" labelOnly="1" grandRow="1" outline="0" fieldPosition="0"/>
    </format>
    <format dxfId="694">
      <pivotArea type="all" dataOnly="0" outline="0" fieldPosition="0"/>
    </format>
    <format dxfId="693">
      <pivotArea outline="0" collapsedLevelsAreSubtotals="1" fieldPosition="0"/>
    </format>
    <format dxfId="692">
      <pivotArea dataOnly="0" labelOnly="1" outline="0" fieldPosition="0">
        <references count="1">
          <reference field="0" count="1">
            <x v="0"/>
          </reference>
        </references>
      </pivotArea>
    </format>
    <format dxfId="691">
      <pivotArea dataOnly="0" labelOnly="1" grandRow="1" outline="0" fieldPosition="0"/>
    </format>
    <format dxfId="690">
      <pivotArea dataOnly="0" labelOnly="1" outline="0" fieldPosition="0">
        <references count="1">
          <reference field="3" count="0"/>
        </references>
      </pivotArea>
    </format>
    <format dxfId="689">
      <pivotArea grandRow="1" outline="0" collapsedLevelsAreSubtotals="1" fieldPosition="0"/>
    </format>
    <format dxfId="688">
      <pivotArea dataOnly="0" labelOnly="1" grandRow="1" outline="0" fieldPosition="0"/>
    </format>
    <format dxfId="687">
      <pivotArea type="all" dataOnly="0" outline="0" fieldPosition="0"/>
    </format>
    <format dxfId="686">
      <pivotArea outline="0" collapsedLevelsAreSubtotals="1" fieldPosition="0"/>
    </format>
    <format dxfId="685">
      <pivotArea dataOnly="0" labelOnly="1" outline="0" fieldPosition="0">
        <references count="1">
          <reference field="0" count="1">
            <x v="0"/>
          </reference>
        </references>
      </pivotArea>
    </format>
    <format dxfId="684">
      <pivotArea dataOnly="0" labelOnly="1" grandRow="1" outline="0" fieldPosition="0"/>
    </format>
    <format dxfId="683">
      <pivotArea dataOnly="0" labelOnly="1" outline="0" fieldPosition="0">
        <references count="1">
          <reference field="3" count="0"/>
        </references>
      </pivotArea>
    </format>
    <format dxfId="682">
      <pivotArea grandRow="1" outline="0" collapsedLevelsAreSubtotals="1" fieldPosition="0"/>
    </format>
    <format dxfId="681">
      <pivotArea dataOnly="0" labelOnly="1" grandRow="1" outline="0" fieldPosition="0"/>
    </format>
    <format dxfId="680">
      <pivotArea type="all" dataOnly="0" outline="0" fieldPosition="0"/>
    </format>
    <format dxfId="679">
      <pivotArea outline="0" collapsedLevelsAreSubtotals="1" fieldPosition="0"/>
    </format>
    <format dxfId="678">
      <pivotArea dataOnly="0" labelOnly="1" outline="0" fieldPosition="0">
        <references count="1">
          <reference field="0" count="1">
            <x v="0"/>
          </reference>
        </references>
      </pivotArea>
    </format>
    <format dxfId="677">
      <pivotArea dataOnly="0" labelOnly="1" grandRow="1" outline="0" fieldPosition="0"/>
    </format>
    <format dxfId="676">
      <pivotArea dataOnly="0" labelOnly="1" outline="0" fieldPosition="0">
        <references count="1">
          <reference field="3" count="0"/>
        </references>
      </pivotArea>
    </format>
    <format dxfId="675">
      <pivotArea grandRow="1" outline="0" collapsedLevelsAreSubtotals="1" fieldPosition="0"/>
    </format>
    <format dxfId="674">
      <pivotArea dataOnly="0" labelOnly="1" grandRow="1" outline="0" fieldPosition="0"/>
    </format>
    <format dxfId="673">
      <pivotArea type="all" dataOnly="0" outline="0" fieldPosition="0"/>
    </format>
    <format dxfId="672">
      <pivotArea outline="0" collapsedLevelsAreSubtotals="1" fieldPosition="0"/>
    </format>
    <format dxfId="671">
      <pivotArea dataOnly="0" labelOnly="1" outline="0" fieldPosition="0">
        <references count="1">
          <reference field="0" count="1">
            <x v="0"/>
          </reference>
        </references>
      </pivotArea>
    </format>
    <format dxfId="670">
      <pivotArea dataOnly="0" labelOnly="1" grandRow="1" outline="0" fieldPosition="0"/>
    </format>
    <format dxfId="669">
      <pivotArea dataOnly="0" labelOnly="1" outline="0" fieldPosition="0">
        <references count="1">
          <reference field="3" count="0"/>
        </references>
      </pivotArea>
    </format>
    <format dxfId="668">
      <pivotArea dataOnly="0" labelOnly="1" outline="0" offset="IV1" fieldPosition="0">
        <references count="1">
          <reference field="0" count="0"/>
        </references>
      </pivotArea>
    </format>
    <format dxfId="667">
      <pivotArea dataOnly="0" labelOnly="1" outline="0" offset="IV1" fieldPosition="0">
        <references count="1">
          <reference field="0" count="0"/>
        </references>
      </pivotArea>
    </format>
    <format dxfId="666">
      <pivotArea type="all" dataOnly="0" outline="0" fieldPosition="0"/>
    </format>
    <format dxfId="665">
      <pivotArea outline="0" collapsedLevelsAreSubtotals="1" fieldPosition="0"/>
    </format>
    <format dxfId="664">
      <pivotArea dataOnly="0" labelOnly="1" outline="0" fieldPosition="0">
        <references count="1">
          <reference field="0" count="1">
            <x v="0"/>
          </reference>
        </references>
      </pivotArea>
    </format>
    <format dxfId="663">
      <pivotArea dataOnly="0" labelOnly="1" grandRow="1" outline="0" fieldPosition="0"/>
    </format>
    <format dxfId="662">
      <pivotArea dataOnly="0" labelOnly="1" outline="0" fieldPosition="0">
        <references count="1">
          <reference field="3" count="0"/>
        </references>
      </pivotArea>
    </format>
    <format dxfId="661">
      <pivotArea outline="0" collapsedLevelsAreSubtotals="1" fieldPosition="0">
        <references count="2">
          <reference field="0" count="0" selected="0"/>
          <reference field="1" count="0" selected="0"/>
        </references>
      </pivotArea>
    </format>
    <format dxfId="660">
      <pivotArea dataOnly="0" labelOnly="1" outline="0" fieldPosition="0">
        <references count="1">
          <reference field="0" count="0"/>
        </references>
      </pivotArea>
    </format>
    <format dxfId="659">
      <pivotArea dataOnly="0" labelOnly="1" outline="0" fieldPosition="0">
        <references count="2">
          <reference field="0" count="0" selected="0"/>
          <reference field="1" count="0"/>
        </references>
      </pivotArea>
    </format>
    <format dxfId="658">
      <pivotArea dataOnly="0" labelOnly="1" outline="0" fieldPosition="0">
        <references count="1">
          <reference field="0" count="0"/>
        </references>
      </pivotArea>
    </format>
    <format dxfId="657">
      <pivotArea type="all" dataOnly="0" outline="0" fieldPosition="0"/>
    </format>
    <format dxfId="656">
      <pivotArea outline="0" collapsedLevelsAreSubtotals="1" fieldPosition="0"/>
    </format>
    <format dxfId="655">
      <pivotArea dataOnly="0" labelOnly="1" outline="0" fieldPosition="0">
        <references count="1">
          <reference field="0" count="0"/>
        </references>
      </pivotArea>
    </format>
    <format dxfId="654">
      <pivotArea dataOnly="0" labelOnly="1" outline="0" fieldPosition="0">
        <references count="1">
          <reference field="0" count="0" defaultSubtotal="1"/>
        </references>
      </pivotArea>
    </format>
    <format dxfId="653">
      <pivotArea dataOnly="0" labelOnly="1" grandRow="1" outline="0" fieldPosition="0"/>
    </format>
    <format dxfId="652">
      <pivotArea dataOnly="0" labelOnly="1" outline="0" fieldPosition="0">
        <references count="2">
          <reference field="0" count="0" selected="0"/>
          <reference field="1" count="0"/>
        </references>
      </pivotArea>
    </format>
    <format dxfId="651">
      <pivotArea dataOnly="0" labelOnly="1" outline="0" fieldPosition="0">
        <references count="1">
          <reference field="3" count="0"/>
        </references>
      </pivotArea>
    </format>
    <format dxfId="650">
      <pivotArea outline="0" collapsedLevelsAreSubtotals="1" fieldPosition="0">
        <references count="1">
          <reference field="0" count="0" selected="0" defaultSubtotal="1"/>
        </references>
      </pivotArea>
    </format>
    <format dxfId="649">
      <pivotArea dataOnly="0" labelOnly="1" outline="0" fieldPosition="0">
        <references count="1">
          <reference field="0" count="0" defaultSubtotal="1"/>
        </references>
      </pivotArea>
    </format>
    <format dxfId="648">
      <pivotArea dataOnly="0" labelOnly="1" outline="0" offset="A256" fieldPosition="0">
        <references count="1">
          <reference field="0" count="0" defaultSubtotal="1"/>
        </references>
      </pivotArea>
    </format>
    <format dxfId="647">
      <pivotArea type="all" dataOnly="0" outline="0" fieldPosition="0"/>
    </format>
    <format dxfId="646">
      <pivotArea outline="0" collapsedLevelsAreSubtotals="1" fieldPosition="0"/>
    </format>
    <format dxfId="645">
      <pivotArea dataOnly="0" labelOnly="1" outline="0" fieldPosition="0">
        <references count="1">
          <reference field="0" count="0"/>
        </references>
      </pivotArea>
    </format>
    <format dxfId="644">
      <pivotArea dataOnly="0" labelOnly="1" grandRow="1" outline="0" fieldPosition="0"/>
    </format>
    <format dxfId="643">
      <pivotArea dataOnly="0" labelOnly="1" outline="0" fieldPosition="0">
        <references count="1">
          <reference field="3" count="0"/>
        </references>
      </pivotArea>
    </format>
    <format dxfId="642">
      <pivotArea outline="0" collapsedLevelsAreSubtotals="1" fieldPosition="0">
        <references count="1">
          <reference field="0" count="0" selected="0"/>
        </references>
      </pivotArea>
    </format>
    <format dxfId="641">
      <pivotArea dataOnly="0" labelOnly="1" outline="0" fieldPosition="0">
        <references count="1">
          <reference field="0" count="0"/>
        </references>
      </pivotArea>
    </format>
    <format dxfId="640">
      <pivotArea dataOnly="0" labelOnly="1" outline="0" offset="A256" fieldPosition="0">
        <references count="1">
          <reference field="0" count="0"/>
        </references>
      </pivotArea>
    </format>
    <format dxfId="639">
      <pivotArea type="all" dataOnly="0" outline="0" fieldPosition="0"/>
    </format>
    <format dxfId="638">
      <pivotArea outline="0" collapsedLevelsAreSubtotals="1" fieldPosition="0"/>
    </format>
    <format dxfId="637">
      <pivotArea dataOnly="0" labelOnly="1" outline="0" fieldPosition="0">
        <references count="1">
          <reference field="0" count="0"/>
        </references>
      </pivotArea>
    </format>
    <format dxfId="636">
      <pivotArea dataOnly="0" labelOnly="1" grandRow="1" outline="0" fieldPosition="0"/>
    </format>
    <format dxfId="635">
      <pivotArea dataOnly="0" labelOnly="1" outline="0" fieldPosition="0">
        <references count="1">
          <reference field="3" count="0"/>
        </references>
      </pivotArea>
    </format>
    <format dxfId="634">
      <pivotArea grandRow="1" outline="0" collapsedLevelsAreSubtotals="1" fieldPosition="0"/>
    </format>
    <format dxfId="633">
      <pivotArea dataOnly="0" labelOnly="1" grandRow="1" outline="0" fieldPosition="0"/>
    </format>
    <format dxfId="632">
      <pivotArea field="3" grandRow="1" outline="0" collapsedLevelsAreSubtotals="1" axis="axisCol" fieldPosition="0">
        <references count="1">
          <reference field="3" count="1" selected="0">
            <x v="0"/>
          </reference>
        </references>
      </pivotArea>
    </format>
    <format dxfId="631">
      <pivotArea type="all" dataOnly="0" outline="0" fieldPosition="0"/>
    </format>
    <format dxfId="630">
      <pivotArea outline="0" collapsedLevelsAreSubtotals="1" fieldPosition="0"/>
    </format>
    <format dxfId="629">
      <pivotArea dataOnly="0" labelOnly="1" outline="0" fieldPosition="0">
        <references count="1">
          <reference field="0" count="0"/>
        </references>
      </pivotArea>
    </format>
    <format dxfId="628">
      <pivotArea dataOnly="0" labelOnly="1" grandRow="1" outline="0" fieldPosition="0"/>
    </format>
    <format dxfId="627">
      <pivotArea dataOnly="0" labelOnly="1" outline="0" fieldPosition="0">
        <references count="1">
          <reference field="3" count="50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0"/>
            <x v="21"/>
            <x v="22"/>
            <x v="23"/>
            <x v="24"/>
            <x v="25"/>
            <x v="26"/>
            <x v="27"/>
            <x v="28"/>
            <x v="29"/>
            <x v="30"/>
            <x v="31"/>
            <x v="32"/>
            <x v="33"/>
            <x v="34"/>
            <x v="35"/>
            <x v="36"/>
            <x v="37"/>
            <x v="38"/>
            <x v="39"/>
            <x v="40"/>
            <x v="41"/>
            <x v="42"/>
            <x v="43"/>
            <x v="44"/>
            <x v="45"/>
            <x v="46"/>
            <x v="47"/>
            <x v="48"/>
            <x v="49"/>
          </reference>
        </references>
      </pivotArea>
    </format>
    <format dxfId="626">
      <pivotArea dataOnly="0" labelOnly="1" outline="0" fieldPosition="0">
        <references count="1">
          <reference field="3" count="2">
            <x v="50"/>
            <x v="51"/>
          </reference>
        </references>
      </pivotArea>
    </format>
    <format dxfId="625">
      <pivotArea outline="0" collapsedLevelsAreSubtotals="1" fieldPosition="0">
        <references count="1">
          <reference field="0" count="0" selected="0"/>
        </references>
      </pivotArea>
    </format>
    <format dxfId="624">
      <pivotArea dataOnly="0" labelOnly="1" outline="0" fieldPosition="0">
        <references count="1">
          <reference field="0" count="0"/>
        </references>
      </pivotArea>
    </format>
    <format dxfId="623">
      <pivotArea outline="0" collapsedLevelsAreSubtotals="1" fieldPosition="0">
        <references count="2">
          <reference field="0" count="0" selected="0"/>
          <reference field="3" count="1" selected="0">
            <x v="2"/>
          </reference>
        </references>
      </pivotArea>
    </format>
    <format dxfId="622">
      <pivotArea type="all" dataOnly="0" outline="0" fieldPosition="0"/>
    </format>
    <format dxfId="621">
      <pivotArea outline="0" collapsedLevelsAreSubtotals="1" fieldPosition="0"/>
    </format>
    <format dxfId="620">
      <pivotArea dataOnly="0" labelOnly="1" outline="0" fieldPosition="0">
        <references count="1">
          <reference field="0" count="0"/>
        </references>
      </pivotArea>
    </format>
    <format dxfId="619">
      <pivotArea dataOnly="0" labelOnly="1" grandRow="1" outline="0" fieldPosition="0"/>
    </format>
    <format dxfId="618">
      <pivotArea dataOnly="0" labelOnly="1" outline="0" fieldPosition="0">
        <references count="1">
          <reference field="3" count="50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0"/>
            <x v="21"/>
            <x v="22"/>
            <x v="23"/>
            <x v="24"/>
            <x v="25"/>
            <x v="26"/>
            <x v="27"/>
            <x v="28"/>
            <x v="29"/>
            <x v="30"/>
            <x v="31"/>
            <x v="32"/>
            <x v="33"/>
            <x v="34"/>
            <x v="35"/>
            <x v="36"/>
            <x v="37"/>
            <x v="38"/>
            <x v="39"/>
            <x v="40"/>
            <x v="41"/>
            <x v="42"/>
            <x v="43"/>
            <x v="44"/>
            <x v="45"/>
            <x v="46"/>
            <x v="47"/>
            <x v="48"/>
            <x v="49"/>
          </reference>
        </references>
      </pivotArea>
    </format>
    <format dxfId="617">
      <pivotArea dataOnly="0" labelOnly="1" outline="0" fieldPosition="0">
        <references count="1">
          <reference field="3" count="2">
            <x v="50"/>
            <x v="51"/>
          </reference>
        </references>
      </pivotArea>
    </format>
  </formats>
  <pivotTableStyleInfo name="PivotStyleMedium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ПериодСводная" cacheId="23" applyNumberFormats="0" applyBorderFormats="0" applyFontFormats="0" applyPatternFormats="0" applyAlignmentFormats="0" applyWidthHeightFormats="1" dataCaption="Значения" missingCaption="0" updatedVersion="5" minRefreshableVersion="3" showDataTips="0" useAutoFormatting="1" colGrandTotals="0" itemPrintTitles="1" createdVersion="5" indent="0" compact="0" compactData="0" gridDropZones="1" multipleFieldFilters="0" rowHeaderCaption="Соц. Работник" colHeaderCaption=" ">
  <location ref="A7:BB10" firstHeaderRow="1" firstDataRow="2" firstDataCol="2"/>
  <pivotFields count="4">
    <pivotField axis="axisRow" compact="0" outline="0" showAll="0">
      <items count="2">
        <item sd="0" x="0"/>
        <item t="default" sd="0"/>
      </items>
    </pivotField>
    <pivotField axis="axisRow" compact="0" outline="0" showAll="0">
      <items count="2">
        <item x="0"/>
        <item t="default"/>
      </items>
    </pivotField>
    <pivotField axis="axisCol" compact="0" outline="0" showAll="0">
      <items count="53">
        <item x="51"/>
        <item x="0"/>
        <item x="5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t="default"/>
      </items>
    </pivotField>
    <pivotField dataField="1" compact="0" outline="0" showAll="0"/>
  </pivotFields>
  <rowFields count="2">
    <field x="0"/>
    <field x="1"/>
  </rowFields>
  <rowItems count="2">
    <i>
      <x/>
    </i>
    <i t="grand">
      <x/>
    </i>
  </rowItems>
  <colFields count="1">
    <field x="2"/>
  </colFields>
  <colItems count="5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</colItems>
  <dataFields count="1">
    <dataField name=" Значения услуг" fld="3" baseField="2" baseItem="0"/>
  </dataFields>
  <formats count="466">
    <format dxfId="597">
      <pivotArea dataOnly="0" labelOnly="1" grandCol="1" outline="0" fieldPosition="0"/>
    </format>
    <format dxfId="596">
      <pivotArea dataOnly="0" labelOnly="1" grandCol="1" outline="0" fieldPosition="0"/>
    </format>
    <format dxfId="595">
      <pivotArea type="origin" dataOnly="0" labelOnly="1" outline="0" fieldPosition="0"/>
    </format>
    <format dxfId="594">
      <pivotArea field="0" type="button" dataOnly="0" labelOnly="1" outline="0" axis="axisRow" fieldPosition="0"/>
    </format>
    <format dxfId="593">
      <pivotArea dataOnly="0" labelOnly="1" fieldPosition="0">
        <references count="1">
          <reference field="2" count="0"/>
        </references>
      </pivotArea>
    </format>
    <format dxfId="592">
      <pivotArea dataOnly="0" labelOnly="1" grandCol="1" outline="0" fieldPosition="0"/>
    </format>
    <format dxfId="591">
      <pivotArea dataOnly="0" labelOnly="1" fieldPosition="0">
        <references count="1">
          <reference field="2" count="6">
            <x v="0"/>
            <x v="1"/>
            <x v="2"/>
            <x v="7"/>
            <x v="29"/>
            <x v="31"/>
          </reference>
        </references>
      </pivotArea>
    </format>
    <format dxfId="590">
      <pivotArea dataOnly="0" labelOnly="1" grandCol="1" outline="0" fieldPosition="0"/>
    </format>
    <format dxfId="589">
      <pivotArea field="0" type="button" dataOnly="0" labelOnly="1" outline="0" axis="axisRow" fieldPosition="0"/>
    </format>
    <format dxfId="588">
      <pivotArea field="0" type="button" dataOnly="0" labelOnly="1" outline="0" axis="axisRow" fieldPosition="0"/>
    </format>
    <format dxfId="587">
      <pivotArea dataOnly="0" labelOnly="1" fieldPosition="0">
        <references count="1">
          <reference field="2" count="0"/>
        </references>
      </pivotArea>
    </format>
    <format dxfId="586">
      <pivotArea dataOnly="0" labelOnly="1" fieldPosition="0">
        <references count="1">
          <reference field="2" count="0"/>
        </references>
      </pivotArea>
    </format>
    <format dxfId="585">
      <pivotArea field="1" type="button" dataOnly="0" labelOnly="1" outline="0" axis="axisRow" fieldPosition="1"/>
    </format>
    <format dxfId="584">
      <pivotArea field="1" type="button" dataOnly="0" labelOnly="1" outline="0" axis="axisRow" fieldPosition="1"/>
    </format>
    <format dxfId="583">
      <pivotArea dataOnly="0" labelOnly="1" outline="0" fieldPosition="0">
        <references count="1">
          <reference field="2" count="1">
            <x v="1"/>
          </reference>
        </references>
      </pivotArea>
    </format>
    <format dxfId="582">
      <pivotArea dataOnly="0" labelOnly="1" outline="0" fieldPosition="0">
        <references count="1">
          <reference field="2" count="1">
            <x v="1"/>
          </reference>
        </references>
      </pivotArea>
    </format>
    <format dxfId="581">
      <pivotArea dataOnly="0" labelOnly="1" outline="0" fieldPosition="0">
        <references count="1">
          <reference field="2" count="3">
            <x v="0"/>
            <x v="1"/>
            <x v="2"/>
          </reference>
        </references>
      </pivotArea>
    </format>
    <format dxfId="580">
      <pivotArea type="all" dataOnly="0" outline="0" fieldPosition="0"/>
    </format>
    <format dxfId="579">
      <pivotArea outline="0" collapsedLevelsAreSubtotals="1" fieldPosition="0"/>
    </format>
    <format dxfId="578">
      <pivotArea dataOnly="0" labelOnly="1" grandRow="1" outline="0" fieldPosition="0"/>
    </format>
    <format dxfId="577">
      <pivotArea dataOnly="0" labelOnly="1" outline="0" fieldPosition="0">
        <references count="1">
          <reference field="2" count="0"/>
        </references>
      </pivotArea>
    </format>
    <format dxfId="576">
      <pivotArea type="all" dataOnly="0" outline="0" fieldPosition="0"/>
    </format>
    <format dxfId="575">
      <pivotArea outline="0" collapsedLevelsAreSubtotals="1" fieldPosition="0"/>
    </format>
    <format dxfId="574">
      <pivotArea dataOnly="0" labelOnly="1" grandRow="1" outline="0" fieldPosition="0"/>
    </format>
    <format dxfId="573">
      <pivotArea dataOnly="0" labelOnly="1" outline="0" fieldPosition="0">
        <references count="1">
          <reference field="2" count="0"/>
        </references>
      </pivotArea>
    </format>
    <format dxfId="572">
      <pivotArea dataOnly="0" labelOnly="1" outline="0" fieldPosition="0">
        <references count="1">
          <reference field="2" count="3">
            <x v="7"/>
            <x v="29"/>
            <x v="31"/>
          </reference>
        </references>
      </pivotArea>
    </format>
    <format dxfId="571">
      <pivotArea type="all" dataOnly="0" outline="0" fieldPosition="0"/>
    </format>
    <format dxfId="570">
      <pivotArea outline="0" collapsedLevelsAreSubtotals="1" fieldPosition="0"/>
    </format>
    <format dxfId="569">
      <pivotArea dataOnly="0" labelOnly="1" grandRow="1" outline="0" fieldPosition="0"/>
    </format>
    <format dxfId="568">
      <pivotArea dataOnly="0" labelOnly="1" outline="0" fieldPosition="0">
        <references count="1">
          <reference field="2" count="0"/>
        </references>
      </pivotArea>
    </format>
    <format dxfId="567">
      <pivotArea type="all" dataOnly="0" outline="0" fieldPosition="0"/>
    </format>
    <format dxfId="566">
      <pivotArea outline="0" collapsedLevelsAreSubtotals="1" fieldPosition="0"/>
    </format>
    <format dxfId="565">
      <pivotArea dataOnly="0" labelOnly="1" grandRow="1" outline="0" fieldPosition="0"/>
    </format>
    <format dxfId="564">
      <pivotArea dataOnly="0" labelOnly="1" outline="0" fieldPosition="0">
        <references count="1">
          <reference field="2" count="0"/>
        </references>
      </pivotArea>
    </format>
    <format dxfId="563">
      <pivotArea type="all" dataOnly="0" outline="0" fieldPosition="0"/>
    </format>
    <format dxfId="562">
      <pivotArea outline="0" collapsedLevelsAreSubtotals="1" fieldPosition="0"/>
    </format>
    <format dxfId="561">
      <pivotArea dataOnly="0" labelOnly="1" grandRow="1" outline="0" fieldPosition="0"/>
    </format>
    <format dxfId="560">
      <pivotArea dataOnly="0" labelOnly="1" outline="0" fieldPosition="0">
        <references count="1">
          <reference field="2" count="0"/>
        </references>
      </pivotArea>
    </format>
    <format dxfId="559">
      <pivotArea grandRow="1" outline="0" collapsedLevelsAreSubtotals="1" fieldPosition="0"/>
    </format>
    <format dxfId="558">
      <pivotArea dataOnly="0" labelOnly="1" grandRow="1" outline="0" fieldPosition="0"/>
    </format>
    <format dxfId="557">
      <pivotArea field="2" grandRow="1" outline="0" collapsedLevelsAreSubtotals="1" axis="axisCol" fieldPosition="0">
        <references count="1">
          <reference field="2" count="1" selected="0">
            <x v="1"/>
          </reference>
        </references>
      </pivotArea>
    </format>
    <format dxfId="556">
      <pivotArea type="all" dataOnly="0" outline="0" fieldPosition="0"/>
    </format>
    <format dxfId="555">
      <pivotArea outline="0" collapsedLevelsAreSubtotals="1" fieldPosition="0"/>
    </format>
    <format dxfId="554">
      <pivotArea dataOnly="0" labelOnly="1" grandRow="1" outline="0" fieldPosition="0"/>
    </format>
    <format dxfId="553">
      <pivotArea dataOnly="0" labelOnly="1" outline="0" fieldPosition="0">
        <references count="1">
          <reference field="2" count="0"/>
        </references>
      </pivotArea>
    </format>
    <format dxfId="552">
      <pivotArea type="all" dataOnly="0" outline="0" fieldPosition="0"/>
    </format>
    <format dxfId="551">
      <pivotArea outline="0" collapsedLevelsAreSubtotals="1" fieldPosition="0"/>
    </format>
    <format dxfId="550">
      <pivotArea dataOnly="0" labelOnly="1" grandRow="1" outline="0" fieldPosition="0"/>
    </format>
    <format dxfId="549">
      <pivotArea dataOnly="0" labelOnly="1" outline="0" fieldPosition="0">
        <references count="1">
          <reference field="2" count="0"/>
        </references>
      </pivotArea>
    </format>
    <format dxfId="548">
      <pivotArea type="all" dataOnly="0" outline="0" fieldPosition="0"/>
    </format>
    <format dxfId="547">
      <pivotArea outline="0" collapsedLevelsAreSubtotals="1" fieldPosition="0"/>
    </format>
    <format dxfId="546">
      <pivotArea dataOnly="0" labelOnly="1" grandRow="1" outline="0" fieldPosition="0"/>
    </format>
    <format dxfId="545">
      <pivotArea dataOnly="0" labelOnly="1" outline="0" fieldPosition="0">
        <references count="1">
          <reference field="2" count="0"/>
        </references>
      </pivotArea>
    </format>
    <format dxfId="544">
      <pivotArea type="all" dataOnly="0" outline="0" fieldPosition="0"/>
    </format>
    <format dxfId="543">
      <pivotArea outline="0" collapsedLevelsAreSubtotals="1" fieldPosition="0"/>
    </format>
    <format dxfId="542">
      <pivotArea dataOnly="0" labelOnly="1" grandRow="1" outline="0" fieldPosition="0"/>
    </format>
    <format dxfId="541">
      <pivotArea dataOnly="0" labelOnly="1" outline="0" fieldPosition="0">
        <references count="1">
          <reference field="2" count="0"/>
        </references>
      </pivotArea>
    </format>
    <format dxfId="540">
      <pivotArea type="all" dataOnly="0" outline="0" fieldPosition="0"/>
    </format>
    <format dxfId="539">
      <pivotArea outline="0" collapsedLevelsAreSubtotals="1" fieldPosition="0"/>
    </format>
    <format dxfId="538">
      <pivotArea dataOnly="0" labelOnly="1" grandRow="1" outline="0" fieldPosition="0"/>
    </format>
    <format dxfId="537">
      <pivotArea dataOnly="0" labelOnly="1" outline="0" fieldPosition="0">
        <references count="1">
          <reference field="2" count="0"/>
        </references>
      </pivotArea>
    </format>
    <format dxfId="536">
      <pivotArea type="all" dataOnly="0" outline="0" fieldPosition="0"/>
    </format>
    <format dxfId="535">
      <pivotArea outline="0" collapsedLevelsAreSubtotals="1" fieldPosition="0"/>
    </format>
    <format dxfId="534">
      <pivotArea dataOnly="0" labelOnly="1" grandRow="1" outline="0" fieldPosition="0"/>
    </format>
    <format dxfId="533">
      <pivotArea dataOnly="0" labelOnly="1" outline="0" fieldPosition="0">
        <references count="1">
          <reference field="2" count="0"/>
        </references>
      </pivotArea>
    </format>
    <format dxfId="532">
      <pivotArea type="all" dataOnly="0" outline="0" fieldPosition="0"/>
    </format>
    <format dxfId="531">
      <pivotArea outline="0" collapsedLevelsAreSubtotals="1" fieldPosition="0"/>
    </format>
    <format dxfId="530">
      <pivotArea dataOnly="0" labelOnly="1" grandRow="1" outline="0" fieldPosition="0"/>
    </format>
    <format dxfId="529">
      <pivotArea dataOnly="0" labelOnly="1" outline="0" fieldPosition="0">
        <references count="1">
          <reference field="2" count="0"/>
        </references>
      </pivotArea>
    </format>
    <format dxfId="528">
      <pivotArea type="all" dataOnly="0" outline="0" fieldPosition="0"/>
    </format>
    <format dxfId="527">
      <pivotArea outline="0" collapsedLevelsAreSubtotals="1" fieldPosition="0"/>
    </format>
    <format dxfId="526">
      <pivotArea dataOnly="0" labelOnly="1" grandRow="1" outline="0" fieldPosition="0"/>
    </format>
    <format dxfId="525">
      <pivotArea dataOnly="0" labelOnly="1" outline="0" fieldPosition="0">
        <references count="1">
          <reference field="2" count="0"/>
        </references>
      </pivotArea>
    </format>
    <format dxfId="524">
      <pivotArea type="all" dataOnly="0" outline="0" fieldPosition="0"/>
    </format>
    <format dxfId="523">
      <pivotArea outline="0" collapsedLevelsAreSubtotals="1" fieldPosition="0"/>
    </format>
    <format dxfId="522">
      <pivotArea dataOnly="0" labelOnly="1" grandRow="1" outline="0" fieldPosition="0"/>
    </format>
    <format dxfId="521">
      <pivotArea dataOnly="0" labelOnly="1" outline="0" fieldPosition="0">
        <references count="1">
          <reference field="2" count="0"/>
        </references>
      </pivotArea>
    </format>
    <format dxfId="520">
      <pivotArea type="all" dataOnly="0" outline="0" fieldPosition="0"/>
    </format>
    <format dxfId="519">
      <pivotArea outline="0" collapsedLevelsAreSubtotals="1" fieldPosition="0"/>
    </format>
    <format dxfId="518">
      <pivotArea dataOnly="0" labelOnly="1" grandRow="1" outline="0" fieldPosition="0"/>
    </format>
    <format dxfId="517">
      <pivotArea dataOnly="0" labelOnly="1" outline="0" fieldPosition="0">
        <references count="1">
          <reference field="2" count="0"/>
        </references>
      </pivotArea>
    </format>
    <format dxfId="516">
      <pivotArea type="all" dataOnly="0" outline="0" fieldPosition="0"/>
    </format>
    <format dxfId="515">
      <pivotArea outline="0" collapsedLevelsAreSubtotals="1" fieldPosition="0"/>
    </format>
    <format dxfId="514">
      <pivotArea dataOnly="0" labelOnly="1" grandRow="1" outline="0" fieldPosition="0"/>
    </format>
    <format dxfId="513">
      <pivotArea dataOnly="0" labelOnly="1" outline="0" fieldPosition="0">
        <references count="1">
          <reference field="2" count="0"/>
        </references>
      </pivotArea>
    </format>
    <format dxfId="512">
      <pivotArea type="all" dataOnly="0" outline="0" fieldPosition="0"/>
    </format>
    <format dxfId="511">
      <pivotArea outline="0" collapsedLevelsAreSubtotals="1" fieldPosition="0"/>
    </format>
    <format dxfId="510">
      <pivotArea dataOnly="0" labelOnly="1" grandRow="1" outline="0" fieldPosition="0"/>
    </format>
    <format dxfId="509">
      <pivotArea dataOnly="0" labelOnly="1" outline="0" fieldPosition="0">
        <references count="1">
          <reference field="2" count="0"/>
        </references>
      </pivotArea>
    </format>
    <format dxfId="508">
      <pivotArea type="all" dataOnly="0" outline="0" fieldPosition="0"/>
    </format>
    <format dxfId="507">
      <pivotArea outline="0" collapsedLevelsAreSubtotals="1" fieldPosition="0"/>
    </format>
    <format dxfId="506">
      <pivotArea dataOnly="0" labelOnly="1" grandRow="1" outline="0" fieldPosition="0"/>
    </format>
    <format dxfId="505">
      <pivotArea dataOnly="0" labelOnly="1" outline="0" fieldPosition="0">
        <references count="1">
          <reference field="2" count="0"/>
        </references>
      </pivotArea>
    </format>
    <format dxfId="504">
      <pivotArea type="all" dataOnly="0" outline="0" fieldPosition="0"/>
    </format>
    <format dxfId="503">
      <pivotArea outline="0" collapsedLevelsAreSubtotals="1" fieldPosition="0"/>
    </format>
    <format dxfId="502">
      <pivotArea dataOnly="0" labelOnly="1" grandRow="1" outline="0" fieldPosition="0"/>
    </format>
    <format dxfId="501">
      <pivotArea dataOnly="0" labelOnly="1" outline="0" fieldPosition="0">
        <references count="1">
          <reference field="2" count="0"/>
        </references>
      </pivotArea>
    </format>
    <format dxfId="500">
      <pivotArea type="all" dataOnly="0" outline="0" fieldPosition="0"/>
    </format>
    <format dxfId="499">
      <pivotArea outline="0" collapsedLevelsAreSubtotals="1" fieldPosition="0"/>
    </format>
    <format dxfId="498">
      <pivotArea dataOnly="0" labelOnly="1" grandRow="1" outline="0" fieldPosition="0"/>
    </format>
    <format dxfId="497">
      <pivotArea dataOnly="0" labelOnly="1" outline="0" fieldPosition="0">
        <references count="1">
          <reference field="2" count="0"/>
        </references>
      </pivotArea>
    </format>
    <format dxfId="496">
      <pivotArea type="all" dataOnly="0" outline="0" fieldPosition="0"/>
    </format>
    <format dxfId="495">
      <pivotArea outline="0" collapsedLevelsAreSubtotals="1" fieldPosition="0"/>
    </format>
    <format dxfId="494">
      <pivotArea dataOnly="0" labelOnly="1" grandRow="1" outline="0" fieldPosition="0"/>
    </format>
    <format dxfId="493">
      <pivotArea dataOnly="0" labelOnly="1" outline="0" fieldPosition="0">
        <references count="1">
          <reference field="2" count="0"/>
        </references>
      </pivotArea>
    </format>
    <format dxfId="492">
      <pivotArea type="all" dataOnly="0" outline="0" fieldPosition="0"/>
    </format>
    <format dxfId="491">
      <pivotArea outline="0" collapsedLevelsAreSubtotals="1" fieldPosition="0"/>
    </format>
    <format dxfId="490">
      <pivotArea dataOnly="0" labelOnly="1" grandRow="1" outline="0" fieldPosition="0"/>
    </format>
    <format dxfId="489">
      <pivotArea dataOnly="0" labelOnly="1" outline="0" fieldPosition="0">
        <references count="1">
          <reference field="2" count="0"/>
        </references>
      </pivotArea>
    </format>
    <format dxfId="488">
      <pivotArea type="all" dataOnly="0" outline="0" fieldPosition="0"/>
    </format>
    <format dxfId="487">
      <pivotArea outline="0" collapsedLevelsAreSubtotals="1" fieldPosition="0"/>
    </format>
    <format dxfId="486">
      <pivotArea dataOnly="0" labelOnly="1" grandRow="1" outline="0" fieldPosition="0"/>
    </format>
    <format dxfId="485">
      <pivotArea dataOnly="0" labelOnly="1" outline="0" fieldPosition="0">
        <references count="1">
          <reference field="2" count="0"/>
        </references>
      </pivotArea>
    </format>
    <format dxfId="484">
      <pivotArea type="all" dataOnly="0" outline="0" fieldPosition="0"/>
    </format>
    <format dxfId="483">
      <pivotArea outline="0" collapsedLevelsAreSubtotals="1" fieldPosition="0"/>
    </format>
    <format dxfId="482">
      <pivotArea dataOnly="0" labelOnly="1" grandRow="1" outline="0" fieldPosition="0"/>
    </format>
    <format dxfId="481">
      <pivotArea dataOnly="0" labelOnly="1" outline="0" fieldPosition="0">
        <references count="1">
          <reference field="2" count="0"/>
        </references>
      </pivotArea>
    </format>
    <format dxfId="480">
      <pivotArea type="all" dataOnly="0" outline="0" fieldPosition="0"/>
    </format>
    <format dxfId="479">
      <pivotArea outline="0" collapsedLevelsAreSubtotals="1" fieldPosition="0"/>
    </format>
    <format dxfId="478">
      <pivotArea dataOnly="0" labelOnly="1" grandRow="1" outline="0" fieldPosition="0"/>
    </format>
    <format dxfId="477">
      <pivotArea dataOnly="0" labelOnly="1" outline="0" fieldPosition="0">
        <references count="1">
          <reference field="2" count="0"/>
        </references>
      </pivotArea>
    </format>
    <format dxfId="476">
      <pivotArea grandRow="1" outline="0" collapsedLevelsAreSubtotals="1" fieldPosition="0"/>
    </format>
    <format dxfId="475">
      <pivotArea dataOnly="0" labelOnly="1" grandRow="1" outline="0" fieldPosition="0"/>
    </format>
    <format dxfId="474">
      <pivotArea dataOnly="0" labelOnly="1" grandRow="1" outline="0" offset="IV256" fieldPosition="0"/>
    </format>
    <format dxfId="473">
      <pivotArea type="all" dataOnly="0" outline="0" fieldPosition="0"/>
    </format>
    <format dxfId="472">
      <pivotArea outline="0" collapsedLevelsAreSubtotals="1" fieldPosition="0"/>
    </format>
    <format dxfId="471">
      <pivotArea dataOnly="0" labelOnly="1" outline="0" fieldPosition="0">
        <references count="1">
          <reference field="0" count="0"/>
        </references>
      </pivotArea>
    </format>
    <format dxfId="470">
      <pivotArea dataOnly="0" labelOnly="1" grandRow="1" outline="0" fieldPosition="0"/>
    </format>
    <format dxfId="469">
      <pivotArea dataOnly="0" labelOnly="1" outline="0" fieldPosition="0">
        <references count="1">
          <reference field="2" count="0"/>
        </references>
      </pivotArea>
    </format>
    <format dxfId="468">
      <pivotArea type="all" dataOnly="0" outline="0" fieldPosition="0"/>
    </format>
    <format dxfId="467">
      <pivotArea outline="0" collapsedLevelsAreSubtotals="1" fieldPosition="0"/>
    </format>
    <format dxfId="466">
      <pivotArea dataOnly="0" labelOnly="1" outline="0" fieldPosition="0">
        <references count="1">
          <reference field="0" count="1">
            <x v="0"/>
          </reference>
        </references>
      </pivotArea>
    </format>
    <format dxfId="465">
      <pivotArea dataOnly="0" labelOnly="1" grandRow="1" outline="0" fieldPosition="0"/>
    </format>
    <format dxfId="464">
      <pivotArea dataOnly="0" labelOnly="1" outline="0" fieldPosition="0">
        <references count="1">
          <reference field="2" count="0"/>
        </references>
      </pivotArea>
    </format>
    <format dxfId="463">
      <pivotArea grandRow="1" outline="0" collapsedLevelsAreSubtotals="1" fieldPosition="0"/>
    </format>
    <format dxfId="462">
      <pivotArea dataOnly="0" labelOnly="1" grandRow="1" outline="0" fieldPosition="0"/>
    </format>
    <format dxfId="461">
      <pivotArea type="all" dataOnly="0" outline="0" fieldPosition="0"/>
    </format>
    <format dxfId="460">
      <pivotArea outline="0" collapsedLevelsAreSubtotals="1" fieldPosition="0"/>
    </format>
    <format dxfId="459">
      <pivotArea dataOnly="0" labelOnly="1" outline="0" fieldPosition="0">
        <references count="1">
          <reference field="0" count="1">
            <x v="0"/>
          </reference>
        </references>
      </pivotArea>
    </format>
    <format dxfId="458">
      <pivotArea dataOnly="0" labelOnly="1" grandRow="1" outline="0" fieldPosition="0"/>
    </format>
    <format dxfId="457">
      <pivotArea dataOnly="0" labelOnly="1" outline="0" fieldPosition="0">
        <references count="1">
          <reference field="2" count="0"/>
        </references>
      </pivotArea>
    </format>
    <format dxfId="456">
      <pivotArea grandRow="1" outline="0" collapsedLevelsAreSubtotals="1" fieldPosition="0"/>
    </format>
    <format dxfId="455">
      <pivotArea dataOnly="0" labelOnly="1" grandRow="1" outline="0" fieldPosition="0"/>
    </format>
    <format dxfId="454">
      <pivotArea field="2" grandRow="1" outline="0" collapsedLevelsAreSubtotals="1" axis="axisCol" fieldPosition="0">
        <references count="1">
          <reference field="2" count="1" selected="0">
            <x v="2"/>
          </reference>
        </references>
      </pivotArea>
    </format>
    <format dxfId="453">
      <pivotArea type="all" dataOnly="0" outline="0" fieldPosition="0"/>
    </format>
    <format dxfId="452">
      <pivotArea outline="0" collapsedLevelsAreSubtotals="1" fieldPosition="0"/>
    </format>
    <format dxfId="451">
      <pivotArea dataOnly="0" labelOnly="1" outline="0" fieldPosition="0">
        <references count="1">
          <reference field="0" count="1">
            <x v="0"/>
          </reference>
        </references>
      </pivotArea>
    </format>
    <format dxfId="450">
      <pivotArea dataOnly="0" labelOnly="1" grandRow="1" outline="0" fieldPosition="0"/>
    </format>
    <format dxfId="449">
      <pivotArea dataOnly="0" labelOnly="1" outline="0" fieldPosition="0">
        <references count="1">
          <reference field="2" count="0"/>
        </references>
      </pivotArea>
    </format>
    <format dxfId="448">
      <pivotArea grandRow="1" outline="0" collapsedLevelsAreSubtotals="1" fieldPosition="0"/>
    </format>
    <format dxfId="447">
      <pivotArea dataOnly="0" labelOnly="1" grandRow="1" outline="0" fieldPosition="0"/>
    </format>
    <format dxfId="446">
      <pivotArea field="2" grandRow="1" outline="0" collapsedLevelsAreSubtotals="1" axis="axisCol" fieldPosition="0">
        <references count="1">
          <reference field="2" count="1" selected="0">
            <x v="0"/>
          </reference>
        </references>
      </pivotArea>
    </format>
    <format dxfId="445">
      <pivotArea type="all" dataOnly="0" outline="0" fieldPosition="0"/>
    </format>
    <format dxfId="444">
      <pivotArea outline="0" collapsedLevelsAreSubtotals="1" fieldPosition="0"/>
    </format>
    <format dxfId="443">
      <pivotArea dataOnly="0" labelOnly="1" outline="0" fieldPosition="0">
        <references count="1">
          <reference field="0" count="1">
            <x v="0"/>
          </reference>
        </references>
      </pivotArea>
    </format>
    <format dxfId="442">
      <pivotArea dataOnly="0" labelOnly="1" grandRow="1" outline="0" fieldPosition="0"/>
    </format>
    <format dxfId="441">
      <pivotArea dataOnly="0" labelOnly="1" outline="0" fieldPosition="0">
        <references count="1">
          <reference field="2" count="0"/>
        </references>
      </pivotArea>
    </format>
    <format dxfId="440">
      <pivotArea outline="0" collapsedLevelsAreSubtotals="1" fieldPosition="0">
        <references count="1">
          <reference field="0" count="1" selected="0">
            <x v="0"/>
          </reference>
        </references>
      </pivotArea>
    </format>
    <format dxfId="439">
      <pivotArea dataOnly="0" labelOnly="1" outline="0" fieldPosition="0">
        <references count="1">
          <reference field="0" count="1">
            <x v="0"/>
          </reference>
        </references>
      </pivotArea>
    </format>
    <format dxfId="438">
      <pivotArea outline="0" collapsedLevelsAreSubtotals="1" fieldPosition="0">
        <references count="2">
          <reference field="0" count="1" selected="0">
            <x v="0"/>
          </reference>
          <reference field="2" count="1" selected="0">
            <x v="0"/>
          </reference>
        </references>
      </pivotArea>
    </format>
    <format dxfId="437">
      <pivotArea type="all" dataOnly="0" outline="0" fieldPosition="0"/>
    </format>
    <format dxfId="436">
      <pivotArea outline="0" collapsedLevelsAreSubtotals="1" fieldPosition="0"/>
    </format>
    <format dxfId="435">
      <pivotArea dataOnly="0" labelOnly="1" outline="0" fieldPosition="0">
        <references count="1">
          <reference field="0" count="1">
            <x v="0"/>
          </reference>
        </references>
      </pivotArea>
    </format>
    <format dxfId="434">
      <pivotArea dataOnly="0" labelOnly="1" grandRow="1" outline="0" fieldPosition="0"/>
    </format>
    <format dxfId="433">
      <pivotArea dataOnly="0" labelOnly="1" outline="0" fieldPosition="0">
        <references count="1">
          <reference field="2" count="0"/>
        </references>
      </pivotArea>
    </format>
    <format dxfId="432">
      <pivotArea grandRow="1" outline="0" collapsedLevelsAreSubtotals="1" fieldPosition="0"/>
    </format>
    <format dxfId="431">
      <pivotArea dataOnly="0" labelOnly="1" grandRow="1" outline="0" fieldPosition="0"/>
    </format>
    <format dxfId="430">
      <pivotArea field="2" grandRow="1" outline="0" collapsedLevelsAreSubtotals="1" axis="axisCol" fieldPosition="0">
        <references count="1">
          <reference field="2" count="1" selected="0">
            <x v="0"/>
          </reference>
        </references>
      </pivotArea>
    </format>
    <format dxfId="429">
      <pivotArea type="all" dataOnly="0" outline="0" fieldPosition="0"/>
    </format>
    <format dxfId="428">
      <pivotArea outline="0" collapsedLevelsAreSubtotals="1" fieldPosition="0"/>
    </format>
    <format dxfId="427">
      <pivotArea dataOnly="0" labelOnly="1" outline="0" fieldPosition="0">
        <references count="1">
          <reference field="0" count="1">
            <x v="0"/>
          </reference>
        </references>
      </pivotArea>
    </format>
    <format dxfId="426">
      <pivotArea dataOnly="0" labelOnly="1" grandRow="1" outline="0" fieldPosition="0"/>
    </format>
    <format dxfId="425">
      <pivotArea dataOnly="0" labelOnly="1" outline="0" fieldPosition="0">
        <references count="1">
          <reference field="2" count="0"/>
        </references>
      </pivotArea>
    </format>
    <format dxfId="424">
      <pivotArea grandRow="1" outline="0" collapsedLevelsAreSubtotals="1" fieldPosition="0"/>
    </format>
    <format dxfId="423">
      <pivotArea dataOnly="0" labelOnly="1" grandRow="1" outline="0" fieldPosition="0"/>
    </format>
    <format dxfId="422">
      <pivotArea dataOnly="0" labelOnly="1" grandRow="1" outline="0" offset="A256" fieldPosition="0"/>
    </format>
    <format dxfId="421">
      <pivotArea type="all" dataOnly="0" outline="0" fieldPosition="0"/>
    </format>
    <format dxfId="420">
      <pivotArea outline="0" collapsedLevelsAreSubtotals="1" fieldPosition="0"/>
    </format>
    <format dxfId="419">
      <pivotArea dataOnly="0" labelOnly="1" outline="0" fieldPosition="0">
        <references count="1">
          <reference field="0" count="1">
            <x v="0"/>
          </reference>
        </references>
      </pivotArea>
    </format>
    <format dxfId="418">
      <pivotArea dataOnly="0" labelOnly="1" grandRow="1" outline="0" fieldPosition="0"/>
    </format>
    <format dxfId="417">
      <pivotArea dataOnly="0" labelOnly="1" outline="0" fieldPosition="0">
        <references count="1">
          <reference field="2" count="0"/>
        </references>
      </pivotArea>
    </format>
    <format dxfId="416">
      <pivotArea grandRow="1" outline="0" collapsedLevelsAreSubtotals="1" fieldPosition="0"/>
    </format>
    <format dxfId="415">
      <pivotArea dataOnly="0" labelOnly="1" grandRow="1" outline="0" fieldPosition="0"/>
    </format>
    <format dxfId="414">
      <pivotArea type="all" dataOnly="0" outline="0" fieldPosition="0"/>
    </format>
    <format dxfId="413">
      <pivotArea outline="0" collapsedLevelsAreSubtotals="1" fieldPosition="0"/>
    </format>
    <format dxfId="412">
      <pivotArea dataOnly="0" labelOnly="1" outline="0" fieldPosition="0">
        <references count="1">
          <reference field="0" count="1">
            <x v="0"/>
          </reference>
        </references>
      </pivotArea>
    </format>
    <format dxfId="411">
      <pivotArea dataOnly="0" labelOnly="1" grandRow="1" outline="0" fieldPosition="0"/>
    </format>
    <format dxfId="410">
      <pivotArea dataOnly="0" labelOnly="1" outline="0" fieldPosition="0">
        <references count="1">
          <reference field="2" count="0"/>
        </references>
      </pivotArea>
    </format>
    <format dxfId="409">
      <pivotArea type="all" dataOnly="0" outline="0" fieldPosition="0"/>
    </format>
    <format dxfId="408">
      <pivotArea outline="0" collapsedLevelsAreSubtotals="1" fieldPosition="0"/>
    </format>
    <format dxfId="407">
      <pivotArea dataOnly="0" labelOnly="1" outline="0" fieldPosition="0">
        <references count="1">
          <reference field="0" count="1">
            <x v="0"/>
          </reference>
        </references>
      </pivotArea>
    </format>
    <format dxfId="406">
      <pivotArea dataOnly="0" labelOnly="1" grandRow="1" outline="0" fieldPosition="0"/>
    </format>
    <format dxfId="405">
      <pivotArea dataOnly="0" labelOnly="1" outline="0" fieldPosition="0">
        <references count="1">
          <reference field="2" count="0"/>
        </references>
      </pivotArea>
    </format>
    <format dxfId="404">
      <pivotArea grandRow="1" outline="0" collapsedLevelsAreSubtotals="1" fieldPosition="0"/>
    </format>
    <format dxfId="403">
      <pivotArea dataOnly="0" labelOnly="1" grandRow="1" outline="0" fieldPosition="0"/>
    </format>
    <format dxfId="402">
      <pivotArea type="all" dataOnly="0" outline="0" fieldPosition="0"/>
    </format>
    <format dxfId="401">
      <pivotArea outline="0" collapsedLevelsAreSubtotals="1" fieldPosition="0"/>
    </format>
    <format dxfId="400">
      <pivotArea dataOnly="0" labelOnly="1" outline="0" fieldPosition="0">
        <references count="1">
          <reference field="0" count="1">
            <x v="0"/>
          </reference>
        </references>
      </pivotArea>
    </format>
    <format dxfId="399">
      <pivotArea dataOnly="0" labelOnly="1" grandRow="1" outline="0" fieldPosition="0"/>
    </format>
    <format dxfId="398">
      <pivotArea dataOnly="0" labelOnly="1" outline="0" fieldPosition="0">
        <references count="1">
          <reference field="2" count="0"/>
        </references>
      </pivotArea>
    </format>
    <format dxfId="397">
      <pivotArea grandRow="1" outline="0" collapsedLevelsAreSubtotals="1" fieldPosition="0"/>
    </format>
    <format dxfId="396">
      <pivotArea dataOnly="0" labelOnly="1" grandRow="1" outline="0" fieldPosition="0"/>
    </format>
    <format dxfId="395">
      <pivotArea field="2" grandRow="1" outline="0" collapsedLevelsAreSubtotals="1" axis="axisCol" fieldPosition="0">
        <references count="1">
          <reference field="2" count="1" selected="0">
            <x v="2"/>
          </reference>
        </references>
      </pivotArea>
    </format>
    <format dxfId="394">
      <pivotArea type="all" dataOnly="0" outline="0" fieldPosition="0"/>
    </format>
    <format dxfId="393">
      <pivotArea outline="0" collapsedLevelsAreSubtotals="1" fieldPosition="0"/>
    </format>
    <format dxfId="392">
      <pivotArea dataOnly="0" labelOnly="1" outline="0" fieldPosition="0">
        <references count="1">
          <reference field="0" count="1">
            <x v="0"/>
          </reference>
        </references>
      </pivotArea>
    </format>
    <format dxfId="391">
      <pivotArea dataOnly="0" labelOnly="1" grandRow="1" outline="0" fieldPosition="0"/>
    </format>
    <format dxfId="390">
      <pivotArea dataOnly="0" labelOnly="1" outline="0" fieldPosition="0">
        <references count="1">
          <reference field="2" count="0"/>
        </references>
      </pivotArea>
    </format>
    <format dxfId="389">
      <pivotArea grandRow="1" outline="0" collapsedLevelsAreSubtotals="1" fieldPosition="0"/>
    </format>
    <format dxfId="388">
      <pivotArea dataOnly="0" labelOnly="1" grandRow="1" outline="0" fieldPosition="0"/>
    </format>
    <format dxfId="387">
      <pivotArea type="all" dataOnly="0" outline="0" fieldPosition="0"/>
    </format>
    <format dxfId="386">
      <pivotArea outline="0" collapsedLevelsAreSubtotals="1" fieldPosition="0"/>
    </format>
    <format dxfId="385">
      <pivotArea dataOnly="0" labelOnly="1" outline="0" fieldPosition="0">
        <references count="1">
          <reference field="0" count="1">
            <x v="0"/>
          </reference>
        </references>
      </pivotArea>
    </format>
    <format dxfId="384">
      <pivotArea dataOnly="0" labelOnly="1" grandRow="1" outline="0" fieldPosition="0"/>
    </format>
    <format dxfId="383">
      <pivotArea dataOnly="0" labelOnly="1" outline="0" fieldPosition="0">
        <references count="1">
          <reference field="2" count="0"/>
        </references>
      </pivotArea>
    </format>
    <format dxfId="382">
      <pivotArea grandRow="1" outline="0" collapsedLevelsAreSubtotals="1" fieldPosition="0"/>
    </format>
    <format dxfId="381">
      <pivotArea dataOnly="0" labelOnly="1" grandRow="1" outline="0" fieldPosition="0"/>
    </format>
    <format dxfId="380">
      <pivotArea type="all" dataOnly="0" outline="0" fieldPosition="0"/>
    </format>
    <format dxfId="379">
      <pivotArea outline="0" collapsedLevelsAreSubtotals="1" fieldPosition="0"/>
    </format>
    <format dxfId="378">
      <pivotArea dataOnly="0" labelOnly="1" outline="0" fieldPosition="0">
        <references count="1">
          <reference field="0" count="1">
            <x v="0"/>
          </reference>
        </references>
      </pivotArea>
    </format>
    <format dxfId="377">
      <pivotArea dataOnly="0" labelOnly="1" grandRow="1" outline="0" fieldPosition="0"/>
    </format>
    <format dxfId="376">
      <pivotArea dataOnly="0" labelOnly="1" outline="0" fieldPosition="0">
        <references count="1">
          <reference field="2" count="0"/>
        </references>
      </pivotArea>
    </format>
    <format dxfId="375">
      <pivotArea grandRow="1" outline="0" collapsedLevelsAreSubtotals="1" fieldPosition="0"/>
    </format>
    <format dxfId="374">
      <pivotArea dataOnly="0" labelOnly="1" grandRow="1" outline="0" fieldPosition="0"/>
    </format>
    <format dxfId="373">
      <pivotArea type="all" dataOnly="0" outline="0" fieldPosition="0"/>
    </format>
    <format dxfId="372">
      <pivotArea outline="0" collapsedLevelsAreSubtotals="1" fieldPosition="0"/>
    </format>
    <format dxfId="371">
      <pivotArea dataOnly="0" labelOnly="1" outline="0" fieldPosition="0">
        <references count="1">
          <reference field="0" count="1">
            <x v="0"/>
          </reference>
        </references>
      </pivotArea>
    </format>
    <format dxfId="370">
      <pivotArea dataOnly="0" labelOnly="1" grandRow="1" outline="0" fieldPosition="0"/>
    </format>
    <format dxfId="369">
      <pivotArea dataOnly="0" labelOnly="1" outline="0" fieldPosition="0">
        <references count="1">
          <reference field="2" count="0"/>
        </references>
      </pivotArea>
    </format>
    <format dxfId="368">
      <pivotArea grandRow="1" outline="0" collapsedLevelsAreSubtotals="1" fieldPosition="0"/>
    </format>
    <format dxfId="367">
      <pivotArea dataOnly="0" labelOnly="1" grandRow="1" outline="0" fieldPosition="0"/>
    </format>
    <format dxfId="366">
      <pivotArea type="all" dataOnly="0" outline="0" fieldPosition="0"/>
    </format>
    <format dxfId="365">
      <pivotArea outline="0" collapsedLevelsAreSubtotals="1" fieldPosition="0"/>
    </format>
    <format dxfId="364">
      <pivotArea dataOnly="0" labelOnly="1" outline="0" fieldPosition="0">
        <references count="1">
          <reference field="0" count="1">
            <x v="0"/>
          </reference>
        </references>
      </pivotArea>
    </format>
    <format dxfId="363">
      <pivotArea dataOnly="0" labelOnly="1" grandRow="1" outline="0" fieldPosition="0"/>
    </format>
    <format dxfId="362">
      <pivotArea dataOnly="0" labelOnly="1" outline="0" fieldPosition="0">
        <references count="1">
          <reference field="2" count="0"/>
        </references>
      </pivotArea>
    </format>
    <format dxfId="361">
      <pivotArea grandRow="1" outline="0" collapsedLevelsAreSubtotals="1" fieldPosition="0"/>
    </format>
    <format dxfId="360">
      <pivotArea dataOnly="0" labelOnly="1" grandRow="1" outline="0" fieldPosition="0"/>
    </format>
    <format dxfId="359">
      <pivotArea type="all" dataOnly="0" outline="0" fieldPosition="0"/>
    </format>
    <format dxfId="358">
      <pivotArea outline="0" collapsedLevelsAreSubtotals="1" fieldPosition="0"/>
    </format>
    <format dxfId="357">
      <pivotArea dataOnly="0" labelOnly="1" outline="0" fieldPosition="0">
        <references count="1">
          <reference field="0" count="1">
            <x v="0"/>
          </reference>
        </references>
      </pivotArea>
    </format>
    <format dxfId="356">
      <pivotArea dataOnly="0" labelOnly="1" grandRow="1" outline="0" fieldPosition="0"/>
    </format>
    <format dxfId="355">
      <pivotArea dataOnly="0" labelOnly="1" outline="0" fieldPosition="0">
        <references count="1">
          <reference field="2" count="0"/>
        </references>
      </pivotArea>
    </format>
    <format dxfId="354">
      <pivotArea grandRow="1" outline="0" collapsedLevelsAreSubtotals="1" fieldPosition="0"/>
    </format>
    <format dxfId="353">
      <pivotArea dataOnly="0" labelOnly="1" grandRow="1" outline="0" fieldPosition="0"/>
    </format>
    <format dxfId="352">
      <pivotArea type="all" dataOnly="0" outline="0" fieldPosition="0"/>
    </format>
    <format dxfId="351">
      <pivotArea outline="0" collapsedLevelsAreSubtotals="1" fieldPosition="0"/>
    </format>
    <format dxfId="350">
      <pivotArea dataOnly="0" labelOnly="1" outline="0" fieldPosition="0">
        <references count="1">
          <reference field="0" count="1">
            <x v="0"/>
          </reference>
        </references>
      </pivotArea>
    </format>
    <format dxfId="349">
      <pivotArea dataOnly="0" labelOnly="1" grandRow="1" outline="0" fieldPosition="0"/>
    </format>
    <format dxfId="348">
      <pivotArea dataOnly="0" labelOnly="1" outline="0" fieldPosition="0">
        <references count="1">
          <reference field="2" count="0"/>
        </references>
      </pivotArea>
    </format>
    <format dxfId="347">
      <pivotArea grandRow="1" outline="0" collapsedLevelsAreSubtotals="1" fieldPosition="0"/>
    </format>
    <format dxfId="346">
      <pivotArea dataOnly="0" labelOnly="1" grandRow="1" outline="0" fieldPosition="0"/>
    </format>
    <format dxfId="345">
      <pivotArea type="all" dataOnly="0" outline="0" fieldPosition="0"/>
    </format>
    <format dxfId="344">
      <pivotArea outline="0" collapsedLevelsAreSubtotals="1" fieldPosition="0"/>
    </format>
    <format dxfId="343">
      <pivotArea dataOnly="0" labelOnly="1" outline="0" fieldPosition="0">
        <references count="1">
          <reference field="0" count="1">
            <x v="0"/>
          </reference>
        </references>
      </pivotArea>
    </format>
    <format dxfId="342">
      <pivotArea dataOnly="0" labelOnly="1" grandRow="1" outline="0" fieldPosition="0"/>
    </format>
    <format dxfId="341">
      <pivotArea dataOnly="0" labelOnly="1" outline="0" fieldPosition="0">
        <references count="1">
          <reference field="2" count="0"/>
        </references>
      </pivotArea>
    </format>
    <format dxfId="340">
      <pivotArea grandRow="1" outline="0" collapsedLevelsAreSubtotals="1" fieldPosition="0"/>
    </format>
    <format dxfId="339">
      <pivotArea dataOnly="0" labelOnly="1" grandRow="1" outline="0" fieldPosition="0"/>
    </format>
    <format dxfId="338">
      <pivotArea type="all" dataOnly="0" outline="0" fieldPosition="0"/>
    </format>
    <format dxfId="337">
      <pivotArea outline="0" collapsedLevelsAreSubtotals="1" fieldPosition="0"/>
    </format>
    <format dxfId="336">
      <pivotArea dataOnly="0" labelOnly="1" outline="0" fieldPosition="0">
        <references count="1">
          <reference field="0" count="1">
            <x v="0"/>
          </reference>
        </references>
      </pivotArea>
    </format>
    <format dxfId="335">
      <pivotArea dataOnly="0" labelOnly="1" grandRow="1" outline="0" fieldPosition="0"/>
    </format>
    <format dxfId="334">
      <pivotArea dataOnly="0" labelOnly="1" outline="0" fieldPosition="0">
        <references count="1">
          <reference field="2" count="0"/>
        </references>
      </pivotArea>
    </format>
    <format dxfId="333">
      <pivotArea grandRow="1" outline="0" collapsedLevelsAreSubtotals="1" fieldPosition="0"/>
    </format>
    <format dxfId="332">
      <pivotArea dataOnly="0" labelOnly="1" grandRow="1" outline="0" fieldPosition="0"/>
    </format>
    <format dxfId="331">
      <pivotArea type="all" dataOnly="0" outline="0" fieldPosition="0"/>
    </format>
    <format dxfId="330">
      <pivotArea outline="0" collapsedLevelsAreSubtotals="1" fieldPosition="0"/>
    </format>
    <format dxfId="329">
      <pivotArea dataOnly="0" labelOnly="1" outline="0" fieldPosition="0">
        <references count="1">
          <reference field="0" count="1">
            <x v="0"/>
          </reference>
        </references>
      </pivotArea>
    </format>
    <format dxfId="328">
      <pivotArea dataOnly="0" labelOnly="1" grandRow="1" outline="0" fieldPosition="0"/>
    </format>
    <format dxfId="327">
      <pivotArea dataOnly="0" labelOnly="1" outline="0" fieldPosition="0">
        <references count="1">
          <reference field="2" count="0"/>
        </references>
      </pivotArea>
    </format>
    <format dxfId="326">
      <pivotArea grandRow="1" outline="0" collapsedLevelsAreSubtotals="1" fieldPosition="0"/>
    </format>
    <format dxfId="325">
      <pivotArea dataOnly="0" labelOnly="1" grandRow="1" outline="0" fieldPosition="0"/>
    </format>
    <format dxfId="324">
      <pivotArea type="all" dataOnly="0" outline="0" fieldPosition="0"/>
    </format>
    <format dxfId="323">
      <pivotArea outline="0" collapsedLevelsAreSubtotals="1" fieldPosition="0"/>
    </format>
    <format dxfId="322">
      <pivotArea dataOnly="0" labelOnly="1" outline="0" fieldPosition="0">
        <references count="1">
          <reference field="0" count="1">
            <x v="0"/>
          </reference>
        </references>
      </pivotArea>
    </format>
    <format dxfId="321">
      <pivotArea dataOnly="0" labelOnly="1" grandRow="1" outline="0" fieldPosition="0"/>
    </format>
    <format dxfId="320">
      <pivotArea dataOnly="0" labelOnly="1" outline="0" fieldPosition="0">
        <references count="1">
          <reference field="2" count="0"/>
        </references>
      </pivotArea>
    </format>
    <format dxfId="319">
      <pivotArea grandRow="1" outline="0" collapsedLevelsAreSubtotals="1" fieldPosition="0"/>
    </format>
    <format dxfId="318">
      <pivotArea dataOnly="0" labelOnly="1" grandRow="1" outline="0" fieldPosition="0"/>
    </format>
    <format dxfId="317">
      <pivotArea type="all" dataOnly="0" outline="0" fieldPosition="0"/>
    </format>
    <format dxfId="316">
      <pivotArea outline="0" collapsedLevelsAreSubtotals="1" fieldPosition="0"/>
    </format>
    <format dxfId="315">
      <pivotArea dataOnly="0" labelOnly="1" outline="0" fieldPosition="0">
        <references count="1">
          <reference field="0" count="1">
            <x v="0"/>
          </reference>
        </references>
      </pivotArea>
    </format>
    <format dxfId="314">
      <pivotArea dataOnly="0" labelOnly="1" grandRow="1" outline="0" fieldPosition="0"/>
    </format>
    <format dxfId="313">
      <pivotArea dataOnly="0" labelOnly="1" outline="0" fieldPosition="0">
        <references count="1">
          <reference field="2" count="0"/>
        </references>
      </pivotArea>
    </format>
    <format dxfId="312">
      <pivotArea grandRow="1" outline="0" collapsedLevelsAreSubtotals="1" fieldPosition="0"/>
    </format>
    <format dxfId="311">
      <pivotArea dataOnly="0" labelOnly="1" grandRow="1" outline="0" fieldPosition="0"/>
    </format>
    <format dxfId="310">
      <pivotArea field="2" grandRow="1" outline="0" collapsedLevelsAreSubtotals="1" axis="axisCol" fieldPosition="0">
        <references count="1">
          <reference field="2" count="1" selected="0">
            <x v="31"/>
          </reference>
        </references>
      </pivotArea>
    </format>
    <format dxfId="309">
      <pivotArea type="all" dataOnly="0" outline="0" fieldPosition="0"/>
    </format>
    <format dxfId="308">
      <pivotArea outline="0" collapsedLevelsAreSubtotals="1" fieldPosition="0"/>
    </format>
    <format dxfId="307">
      <pivotArea dataOnly="0" labelOnly="1" outline="0" fieldPosition="0">
        <references count="1">
          <reference field="0" count="1">
            <x v="0"/>
          </reference>
        </references>
      </pivotArea>
    </format>
    <format dxfId="306">
      <pivotArea dataOnly="0" labelOnly="1" grandRow="1" outline="0" fieldPosition="0"/>
    </format>
    <format dxfId="305">
      <pivotArea dataOnly="0" labelOnly="1" outline="0" fieldPosition="0">
        <references count="1">
          <reference field="2" count="0"/>
        </references>
      </pivotArea>
    </format>
    <format dxfId="304">
      <pivotArea grandRow="1" outline="0" collapsedLevelsAreSubtotals="1" fieldPosition="0"/>
    </format>
    <format dxfId="303">
      <pivotArea dataOnly="0" labelOnly="1" grandRow="1" outline="0" fieldPosition="0"/>
    </format>
    <format dxfId="302">
      <pivotArea field="2" grandRow="1" outline="0" collapsedLevelsAreSubtotals="1" axis="axisCol" fieldPosition="0">
        <references count="1">
          <reference field="2" count="1" selected="0">
            <x v="29"/>
          </reference>
        </references>
      </pivotArea>
    </format>
    <format dxfId="301">
      <pivotArea type="all" dataOnly="0" outline="0" fieldPosition="0"/>
    </format>
    <format dxfId="300">
      <pivotArea outline="0" collapsedLevelsAreSubtotals="1" fieldPosition="0"/>
    </format>
    <format dxfId="299">
      <pivotArea dataOnly="0" labelOnly="1" outline="0" fieldPosition="0">
        <references count="1">
          <reference field="0" count="1">
            <x v="0"/>
          </reference>
        </references>
      </pivotArea>
    </format>
    <format dxfId="298">
      <pivotArea dataOnly="0" labelOnly="1" grandRow="1" outline="0" fieldPosition="0"/>
    </format>
    <format dxfId="297">
      <pivotArea dataOnly="0" labelOnly="1" outline="0" fieldPosition="0">
        <references count="1">
          <reference field="2" count="0"/>
        </references>
      </pivotArea>
    </format>
    <format dxfId="296">
      <pivotArea grandRow="1" outline="0" collapsedLevelsAreSubtotals="1" fieldPosition="0"/>
    </format>
    <format dxfId="295">
      <pivotArea dataOnly="0" labelOnly="1" grandRow="1" outline="0" fieldPosition="0"/>
    </format>
    <format dxfId="294">
      <pivotArea type="all" dataOnly="0" outline="0" fieldPosition="0"/>
    </format>
    <format dxfId="293">
      <pivotArea outline="0" collapsedLevelsAreSubtotals="1" fieldPosition="0"/>
    </format>
    <format dxfId="292">
      <pivotArea dataOnly="0" labelOnly="1" outline="0" fieldPosition="0">
        <references count="1">
          <reference field="0" count="1">
            <x v="0"/>
          </reference>
        </references>
      </pivotArea>
    </format>
    <format dxfId="291">
      <pivotArea dataOnly="0" labelOnly="1" grandRow="1" outline="0" fieldPosition="0"/>
    </format>
    <format dxfId="290">
      <pivotArea dataOnly="0" labelOnly="1" outline="0" fieldPosition="0">
        <references count="1">
          <reference field="2" count="0"/>
        </references>
      </pivotArea>
    </format>
    <format dxfId="289">
      <pivotArea grandRow="1" outline="0" collapsedLevelsAreSubtotals="1" fieldPosition="0"/>
    </format>
    <format dxfId="288">
      <pivotArea dataOnly="0" labelOnly="1" grandRow="1" outline="0" fieldPosition="0"/>
    </format>
    <format dxfId="287">
      <pivotArea type="all" dataOnly="0" outline="0" fieldPosition="0"/>
    </format>
    <format dxfId="286">
      <pivotArea outline="0" collapsedLevelsAreSubtotals="1" fieldPosition="0"/>
    </format>
    <format dxfId="285">
      <pivotArea dataOnly="0" labelOnly="1" outline="0" fieldPosition="0">
        <references count="1">
          <reference field="0" count="1">
            <x v="0"/>
          </reference>
        </references>
      </pivotArea>
    </format>
    <format dxfId="284">
      <pivotArea dataOnly="0" labelOnly="1" grandRow="1" outline="0" fieldPosition="0"/>
    </format>
    <format dxfId="283">
      <pivotArea dataOnly="0" labelOnly="1" outline="0" fieldPosition="0">
        <references count="1">
          <reference field="2" count="0"/>
        </references>
      </pivotArea>
    </format>
    <format dxfId="282">
      <pivotArea grandRow="1" outline="0" collapsedLevelsAreSubtotals="1" fieldPosition="0"/>
    </format>
    <format dxfId="281">
      <pivotArea dataOnly="0" labelOnly="1" grandRow="1" outline="0" fieldPosition="0"/>
    </format>
    <format dxfId="280">
      <pivotArea type="all" dataOnly="0" outline="0" fieldPosition="0"/>
    </format>
    <format dxfId="279">
      <pivotArea outline="0" collapsedLevelsAreSubtotals="1" fieldPosition="0"/>
    </format>
    <format dxfId="278">
      <pivotArea dataOnly="0" labelOnly="1" outline="0" fieldPosition="0">
        <references count="1">
          <reference field="0" count="1">
            <x v="0"/>
          </reference>
        </references>
      </pivotArea>
    </format>
    <format dxfId="277">
      <pivotArea dataOnly="0" labelOnly="1" grandRow="1" outline="0" fieldPosition="0"/>
    </format>
    <format dxfId="276">
      <pivotArea dataOnly="0" labelOnly="1" outline="0" fieldPosition="0">
        <references count="1">
          <reference field="2" count="0"/>
        </references>
      </pivotArea>
    </format>
    <format dxfId="275">
      <pivotArea grandRow="1" outline="0" collapsedLevelsAreSubtotals="1" fieldPosition="0"/>
    </format>
    <format dxfId="274">
      <pivotArea dataOnly="0" labelOnly="1" grandRow="1" outline="0" fieldPosition="0"/>
    </format>
    <format dxfId="273">
      <pivotArea type="all" dataOnly="0" outline="0" fieldPosition="0"/>
    </format>
    <format dxfId="272">
      <pivotArea outline="0" collapsedLevelsAreSubtotals="1" fieldPosition="0"/>
    </format>
    <format dxfId="271">
      <pivotArea dataOnly="0" labelOnly="1" outline="0" fieldPosition="0">
        <references count="1">
          <reference field="0" count="1">
            <x v="0"/>
          </reference>
        </references>
      </pivotArea>
    </format>
    <format dxfId="270">
      <pivotArea dataOnly="0" labelOnly="1" grandRow="1" outline="0" fieldPosition="0"/>
    </format>
    <format dxfId="269">
      <pivotArea dataOnly="0" labelOnly="1" outline="0" fieldPosition="0">
        <references count="1">
          <reference field="2" count="0"/>
        </references>
      </pivotArea>
    </format>
    <format dxfId="268">
      <pivotArea grandRow="1" outline="0" collapsedLevelsAreSubtotals="1" fieldPosition="0"/>
    </format>
    <format dxfId="267">
      <pivotArea dataOnly="0" labelOnly="1" grandRow="1" outline="0" fieldPosition="0"/>
    </format>
    <format dxfId="266">
      <pivotArea type="all" dataOnly="0" outline="0" fieldPosition="0"/>
    </format>
    <format dxfId="265">
      <pivotArea outline="0" collapsedLevelsAreSubtotals="1" fieldPosition="0"/>
    </format>
    <format dxfId="264">
      <pivotArea dataOnly="0" labelOnly="1" outline="0" fieldPosition="0">
        <references count="1">
          <reference field="0" count="1">
            <x v="0"/>
          </reference>
        </references>
      </pivotArea>
    </format>
    <format dxfId="263">
      <pivotArea dataOnly="0" labelOnly="1" grandRow="1" outline="0" fieldPosition="0"/>
    </format>
    <format dxfId="262">
      <pivotArea dataOnly="0" labelOnly="1" outline="0" fieldPosition="0">
        <references count="1">
          <reference field="2" count="0"/>
        </references>
      </pivotArea>
    </format>
    <format dxfId="261">
      <pivotArea grandRow="1" outline="0" collapsedLevelsAreSubtotals="1" fieldPosition="0"/>
    </format>
    <format dxfId="260">
      <pivotArea dataOnly="0" labelOnly="1" grandRow="1" outline="0" fieldPosition="0"/>
    </format>
    <format dxfId="259">
      <pivotArea type="all" dataOnly="0" outline="0" fieldPosition="0"/>
    </format>
    <format dxfId="258">
      <pivotArea outline="0" collapsedLevelsAreSubtotals="1" fieldPosition="0"/>
    </format>
    <format dxfId="257">
      <pivotArea dataOnly="0" labelOnly="1" outline="0" fieldPosition="0">
        <references count="1">
          <reference field="0" count="1">
            <x v="0"/>
          </reference>
        </references>
      </pivotArea>
    </format>
    <format dxfId="256">
      <pivotArea dataOnly="0" labelOnly="1" grandRow="1" outline="0" fieldPosition="0"/>
    </format>
    <format dxfId="255">
      <pivotArea dataOnly="0" labelOnly="1" outline="0" fieldPosition="0">
        <references count="1">
          <reference field="2" count="0"/>
        </references>
      </pivotArea>
    </format>
    <format dxfId="254">
      <pivotArea grandRow="1" outline="0" collapsedLevelsAreSubtotals="1" fieldPosition="0"/>
    </format>
    <format dxfId="253">
      <pivotArea dataOnly="0" labelOnly="1" grandRow="1" outline="0" fieldPosition="0"/>
    </format>
    <format dxfId="252">
      <pivotArea type="all" dataOnly="0" outline="0" fieldPosition="0"/>
    </format>
    <format dxfId="251">
      <pivotArea outline="0" collapsedLevelsAreSubtotals="1" fieldPosition="0"/>
    </format>
    <format dxfId="250">
      <pivotArea dataOnly="0" labelOnly="1" outline="0" fieldPosition="0">
        <references count="1">
          <reference field="0" count="1">
            <x v="0"/>
          </reference>
        </references>
      </pivotArea>
    </format>
    <format dxfId="249">
      <pivotArea dataOnly="0" labelOnly="1" grandRow="1" outline="0" fieldPosition="0"/>
    </format>
    <format dxfId="248">
      <pivotArea dataOnly="0" labelOnly="1" outline="0" fieldPosition="0">
        <references count="1">
          <reference field="2" count="0"/>
        </references>
      </pivotArea>
    </format>
    <format dxfId="247">
      <pivotArea grandRow="1" outline="0" collapsedLevelsAreSubtotals="1" fieldPosition="0"/>
    </format>
    <format dxfId="246">
      <pivotArea dataOnly="0" labelOnly="1" grandRow="1" outline="0" fieldPosition="0"/>
    </format>
    <format dxfId="245">
      <pivotArea type="all" dataOnly="0" outline="0" fieldPosition="0"/>
    </format>
    <format dxfId="244">
      <pivotArea outline="0" collapsedLevelsAreSubtotals="1" fieldPosition="0"/>
    </format>
    <format dxfId="243">
      <pivotArea dataOnly="0" labelOnly="1" outline="0" fieldPosition="0">
        <references count="1">
          <reference field="0" count="1">
            <x v="0"/>
          </reference>
        </references>
      </pivotArea>
    </format>
    <format dxfId="242">
      <pivotArea dataOnly="0" labelOnly="1" grandRow="1" outline="0" fieldPosition="0"/>
    </format>
    <format dxfId="241">
      <pivotArea dataOnly="0" labelOnly="1" outline="0" fieldPosition="0">
        <references count="1">
          <reference field="2" count="0"/>
        </references>
      </pivotArea>
    </format>
    <format dxfId="240">
      <pivotArea grandRow="1" outline="0" collapsedLevelsAreSubtotals="1" fieldPosition="0"/>
    </format>
    <format dxfId="239">
      <pivotArea dataOnly="0" labelOnly="1" grandRow="1" outline="0" fieldPosition="0"/>
    </format>
    <format dxfId="238">
      <pivotArea type="all" dataOnly="0" outline="0" fieldPosition="0"/>
    </format>
    <format dxfId="237">
      <pivotArea outline="0" collapsedLevelsAreSubtotals="1" fieldPosition="0"/>
    </format>
    <format dxfId="236">
      <pivotArea dataOnly="0" labelOnly="1" outline="0" fieldPosition="0">
        <references count="1">
          <reference field="0" count="1">
            <x v="0"/>
          </reference>
        </references>
      </pivotArea>
    </format>
    <format dxfId="235">
      <pivotArea dataOnly="0" labelOnly="1" grandRow="1" outline="0" fieldPosition="0"/>
    </format>
    <format dxfId="234">
      <pivotArea dataOnly="0" labelOnly="1" outline="0" fieldPosition="0">
        <references count="1">
          <reference field="2" count="0"/>
        </references>
      </pivotArea>
    </format>
    <format dxfId="233">
      <pivotArea grandRow="1" outline="0" collapsedLevelsAreSubtotals="1" fieldPosition="0"/>
    </format>
    <format dxfId="232">
      <pivotArea dataOnly="0" labelOnly="1" grandRow="1" outline="0" fieldPosition="0"/>
    </format>
    <format dxfId="231">
      <pivotArea type="all" dataOnly="0" outline="0" fieldPosition="0"/>
    </format>
    <format dxfId="230">
      <pivotArea outline="0" collapsedLevelsAreSubtotals="1" fieldPosition="0"/>
    </format>
    <format dxfId="229">
      <pivotArea dataOnly="0" labelOnly="1" outline="0" fieldPosition="0">
        <references count="1">
          <reference field="0" count="1">
            <x v="0"/>
          </reference>
        </references>
      </pivotArea>
    </format>
    <format dxfId="228">
      <pivotArea dataOnly="0" labelOnly="1" grandRow="1" outline="0" fieldPosition="0"/>
    </format>
    <format dxfId="227">
      <pivotArea dataOnly="0" labelOnly="1" outline="0" fieldPosition="0">
        <references count="1">
          <reference field="2" count="0"/>
        </references>
      </pivotArea>
    </format>
    <format dxfId="226">
      <pivotArea grandRow="1" outline="0" collapsedLevelsAreSubtotals="1" fieldPosition="0"/>
    </format>
    <format dxfId="225">
      <pivotArea dataOnly="0" labelOnly="1" grandRow="1" outline="0" fieldPosition="0"/>
    </format>
    <format dxfId="224">
      <pivotArea type="all" dataOnly="0" outline="0" fieldPosition="0"/>
    </format>
    <format dxfId="223">
      <pivotArea outline="0" collapsedLevelsAreSubtotals="1" fieldPosition="0"/>
    </format>
    <format dxfId="222">
      <pivotArea dataOnly="0" labelOnly="1" outline="0" fieldPosition="0">
        <references count="1">
          <reference field="0" count="1">
            <x v="0"/>
          </reference>
        </references>
      </pivotArea>
    </format>
    <format dxfId="221">
      <pivotArea dataOnly="0" labelOnly="1" grandRow="1" outline="0" fieldPosition="0"/>
    </format>
    <format dxfId="220">
      <pivotArea dataOnly="0" labelOnly="1" outline="0" fieldPosition="0">
        <references count="1">
          <reference field="2" count="0"/>
        </references>
      </pivotArea>
    </format>
    <format dxfId="219">
      <pivotArea grandRow="1" outline="0" collapsedLevelsAreSubtotals="1" fieldPosition="0"/>
    </format>
    <format dxfId="218">
      <pivotArea dataOnly="0" labelOnly="1" grandRow="1" outline="0" fieldPosition="0"/>
    </format>
    <format dxfId="217">
      <pivotArea type="all" dataOnly="0" outline="0" fieldPosition="0"/>
    </format>
    <format dxfId="216">
      <pivotArea outline="0" collapsedLevelsAreSubtotals="1" fieldPosition="0"/>
    </format>
    <format dxfId="215">
      <pivotArea dataOnly="0" labelOnly="1" outline="0" fieldPosition="0">
        <references count="1">
          <reference field="0" count="1">
            <x v="0"/>
          </reference>
        </references>
      </pivotArea>
    </format>
    <format dxfId="214">
      <pivotArea dataOnly="0" labelOnly="1" grandRow="1" outline="0" fieldPosition="0"/>
    </format>
    <format dxfId="213">
      <pivotArea dataOnly="0" labelOnly="1" outline="0" fieldPosition="0">
        <references count="1">
          <reference field="2" count="0"/>
        </references>
      </pivotArea>
    </format>
    <format dxfId="212">
      <pivotArea grandRow="1" outline="0" collapsedLevelsAreSubtotals="1" fieldPosition="0"/>
    </format>
    <format dxfId="211">
      <pivotArea dataOnly="0" labelOnly="1" grandRow="1" outline="0" fieldPosition="0"/>
    </format>
    <format dxfId="210">
      <pivotArea type="all" dataOnly="0" outline="0" fieldPosition="0"/>
    </format>
    <format dxfId="209">
      <pivotArea outline="0" collapsedLevelsAreSubtotals="1" fieldPosition="0"/>
    </format>
    <format dxfId="208">
      <pivotArea dataOnly="0" labelOnly="1" outline="0" fieldPosition="0">
        <references count="1">
          <reference field="0" count="1">
            <x v="0"/>
          </reference>
        </references>
      </pivotArea>
    </format>
    <format dxfId="207">
      <pivotArea dataOnly="0" labelOnly="1" grandRow="1" outline="0" fieldPosition="0"/>
    </format>
    <format dxfId="206">
      <pivotArea dataOnly="0" labelOnly="1" outline="0" fieldPosition="0">
        <references count="1">
          <reference field="2" count="0"/>
        </references>
      </pivotArea>
    </format>
    <format dxfId="205">
      <pivotArea grandRow="1" outline="0" collapsedLevelsAreSubtotals="1" fieldPosition="0"/>
    </format>
    <format dxfId="204">
      <pivotArea dataOnly="0" labelOnly="1" grandRow="1" outline="0" fieldPosition="0"/>
    </format>
    <format dxfId="203">
      <pivotArea type="all" dataOnly="0" outline="0" fieldPosition="0"/>
    </format>
    <format dxfId="202">
      <pivotArea outline="0" collapsedLevelsAreSubtotals="1" fieldPosition="0"/>
    </format>
    <format dxfId="201">
      <pivotArea dataOnly="0" labelOnly="1" outline="0" fieldPosition="0">
        <references count="1">
          <reference field="0" count="1">
            <x v="0"/>
          </reference>
        </references>
      </pivotArea>
    </format>
    <format dxfId="200">
      <pivotArea dataOnly="0" labelOnly="1" grandRow="1" outline="0" fieldPosition="0"/>
    </format>
    <format dxfId="199">
      <pivotArea dataOnly="0" labelOnly="1" outline="0" fieldPosition="0">
        <references count="1">
          <reference field="2" count="0"/>
        </references>
      </pivotArea>
    </format>
    <format dxfId="198">
      <pivotArea dataOnly="0" labelOnly="1" outline="0" fieldPosition="0">
        <references count="1">
          <reference field="2" count="46">
            <x v="3"/>
            <x v="4"/>
            <x v="5"/>
            <x v="6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0"/>
            <x v="21"/>
            <x v="22"/>
            <x v="23"/>
            <x v="24"/>
            <x v="25"/>
            <x v="26"/>
            <x v="27"/>
            <x v="28"/>
            <x v="30"/>
            <x v="32"/>
            <x v="33"/>
            <x v="34"/>
            <x v="35"/>
            <x v="36"/>
            <x v="37"/>
            <x v="38"/>
            <x v="39"/>
            <x v="40"/>
            <x v="41"/>
            <x v="42"/>
            <x v="43"/>
            <x v="44"/>
            <x v="45"/>
            <x v="46"/>
            <x v="47"/>
            <x v="48"/>
            <x v="49"/>
            <x v="50"/>
            <x v="51"/>
          </reference>
        </references>
      </pivotArea>
    </format>
    <format dxfId="197">
      <pivotArea type="all" dataOnly="0" outline="0" fieldPosition="0"/>
    </format>
    <format dxfId="196">
      <pivotArea outline="0" collapsedLevelsAreSubtotals="1" fieldPosition="0"/>
    </format>
    <format dxfId="195">
      <pivotArea dataOnly="0" labelOnly="1" outline="0" fieldPosition="0">
        <references count="1">
          <reference field="0" count="0"/>
        </references>
      </pivotArea>
    </format>
    <format dxfId="194">
      <pivotArea dataOnly="0" labelOnly="1" grandRow="1" outline="0" fieldPosition="0"/>
    </format>
    <format dxfId="193">
      <pivotArea dataOnly="0" labelOnly="1" outline="0" fieldPosition="0">
        <references count="1">
          <reference field="2" count="50">
            <x v="0"/>
            <x v="1"/>
            <x v="2"/>
            <x v="3"/>
            <x v="4"/>
            <x v="5"/>
            <x v="6"/>
            <x v="7"/>
            <x v="8"/>
            <x v="9"/>
            <x v="11"/>
            <x v="12"/>
            <x v="13"/>
            <x v="14"/>
            <x v="15"/>
            <x v="16"/>
            <x v="17"/>
            <x v="18"/>
            <x v="19"/>
            <x v="20"/>
            <x v="21"/>
            <x v="22"/>
            <x v="23"/>
            <x v="24"/>
            <x v="25"/>
            <x v="26"/>
            <x v="27"/>
            <x v="28"/>
            <x v="29"/>
            <x v="30"/>
            <x v="31"/>
            <x v="32"/>
            <x v="33"/>
            <x v="34"/>
            <x v="35"/>
            <x v="36"/>
            <x v="37"/>
            <x v="38"/>
            <x v="39"/>
            <x v="40"/>
            <x v="41"/>
            <x v="42"/>
            <x v="43"/>
            <x v="44"/>
            <x v="45"/>
            <x v="46"/>
            <x v="47"/>
            <x v="48"/>
            <x v="49"/>
            <x v="50"/>
          </reference>
        </references>
      </pivotArea>
    </format>
    <format dxfId="192">
      <pivotArea dataOnly="0" labelOnly="1" outline="0" fieldPosition="0">
        <references count="1">
          <reference field="2" count="2">
            <x v="10"/>
            <x v="51"/>
          </reference>
        </references>
      </pivotArea>
    </format>
    <format dxfId="191">
      <pivotArea type="all" dataOnly="0" outline="0" fieldPosition="0"/>
    </format>
    <format dxfId="190">
      <pivotArea outline="0" collapsedLevelsAreSubtotals="1" fieldPosition="0"/>
    </format>
    <format dxfId="189">
      <pivotArea dataOnly="0" labelOnly="1" outline="0" fieldPosition="0">
        <references count="1">
          <reference field="0" count="0"/>
        </references>
      </pivotArea>
    </format>
    <format dxfId="188">
      <pivotArea dataOnly="0" labelOnly="1" grandRow="1" outline="0" fieldPosition="0"/>
    </format>
    <format dxfId="187">
      <pivotArea dataOnly="0" labelOnly="1" outline="0" fieldPosition="0">
        <references count="1">
          <reference field="2" count="50">
            <x v="0"/>
            <x v="1"/>
            <x v="2"/>
            <x v="3"/>
            <x v="4"/>
            <x v="5"/>
            <x v="6"/>
            <x v="7"/>
            <x v="8"/>
            <x v="9"/>
            <x v="11"/>
            <x v="12"/>
            <x v="13"/>
            <x v="14"/>
            <x v="15"/>
            <x v="16"/>
            <x v="17"/>
            <x v="18"/>
            <x v="19"/>
            <x v="20"/>
            <x v="21"/>
            <x v="22"/>
            <x v="23"/>
            <x v="24"/>
            <x v="25"/>
            <x v="26"/>
            <x v="27"/>
            <x v="28"/>
            <x v="29"/>
            <x v="30"/>
            <x v="31"/>
            <x v="32"/>
            <x v="33"/>
            <x v="34"/>
            <x v="35"/>
            <x v="36"/>
            <x v="37"/>
            <x v="38"/>
            <x v="39"/>
            <x v="40"/>
            <x v="41"/>
            <x v="42"/>
            <x v="43"/>
            <x v="44"/>
            <x v="45"/>
            <x v="46"/>
            <x v="47"/>
            <x v="48"/>
            <x v="49"/>
            <x v="50"/>
          </reference>
        </references>
      </pivotArea>
    </format>
    <format dxfId="186">
      <pivotArea dataOnly="0" labelOnly="1" outline="0" fieldPosition="0">
        <references count="1">
          <reference field="2" count="2">
            <x v="10"/>
            <x v="51"/>
          </reference>
        </references>
      </pivotArea>
    </format>
    <format dxfId="185">
      <pivotArea type="all" dataOnly="0" outline="0" fieldPosition="0"/>
    </format>
    <format dxfId="184">
      <pivotArea outline="0" collapsedLevelsAreSubtotals="1" fieldPosition="0"/>
    </format>
    <format dxfId="183">
      <pivotArea dataOnly="0" labelOnly="1" outline="0" fieldPosition="0">
        <references count="1">
          <reference field="0" count="0"/>
        </references>
      </pivotArea>
    </format>
    <format dxfId="182">
      <pivotArea dataOnly="0" labelOnly="1" grandRow="1" outline="0" fieldPosition="0"/>
    </format>
    <format dxfId="181">
      <pivotArea dataOnly="0" labelOnly="1" outline="0" fieldPosition="0">
        <references count="1">
          <reference field="2" count="50">
            <x v="0"/>
            <x v="1"/>
            <x v="2"/>
            <x v="3"/>
            <x v="4"/>
            <x v="5"/>
            <x v="6"/>
            <x v="7"/>
            <x v="8"/>
            <x v="9"/>
            <x v="11"/>
            <x v="12"/>
            <x v="13"/>
            <x v="14"/>
            <x v="15"/>
            <x v="16"/>
            <x v="17"/>
            <x v="18"/>
            <x v="19"/>
            <x v="20"/>
            <x v="21"/>
            <x v="22"/>
            <x v="23"/>
            <x v="24"/>
            <x v="25"/>
            <x v="26"/>
            <x v="27"/>
            <x v="28"/>
            <x v="29"/>
            <x v="30"/>
            <x v="31"/>
            <x v="32"/>
            <x v="33"/>
            <x v="34"/>
            <x v="35"/>
            <x v="36"/>
            <x v="37"/>
            <x v="38"/>
            <x v="39"/>
            <x v="40"/>
            <x v="41"/>
            <x v="42"/>
            <x v="43"/>
            <x v="44"/>
            <x v="45"/>
            <x v="46"/>
            <x v="47"/>
            <x v="48"/>
            <x v="49"/>
            <x v="50"/>
          </reference>
        </references>
      </pivotArea>
    </format>
    <format dxfId="180">
      <pivotArea dataOnly="0" labelOnly="1" outline="0" fieldPosition="0">
        <references count="1">
          <reference field="2" count="2">
            <x v="10"/>
            <x v="51"/>
          </reference>
        </references>
      </pivotArea>
    </format>
    <format dxfId="179">
      <pivotArea type="all" dataOnly="0" outline="0" fieldPosition="0"/>
    </format>
    <format dxfId="178">
      <pivotArea outline="0" collapsedLevelsAreSubtotals="1" fieldPosition="0"/>
    </format>
    <format dxfId="177">
      <pivotArea dataOnly="0" labelOnly="1" outline="0" fieldPosition="0">
        <references count="1">
          <reference field="0" count="0"/>
        </references>
      </pivotArea>
    </format>
    <format dxfId="176">
      <pivotArea dataOnly="0" labelOnly="1" grandRow="1" outline="0" fieldPosition="0"/>
    </format>
    <format dxfId="175">
      <pivotArea dataOnly="0" labelOnly="1" outline="0" fieldPosition="0">
        <references count="1">
          <reference field="2" count="50">
            <x v="0"/>
            <x v="1"/>
            <x v="2"/>
            <x v="3"/>
            <x v="4"/>
            <x v="5"/>
            <x v="6"/>
            <x v="7"/>
            <x v="8"/>
            <x v="9"/>
            <x v="11"/>
            <x v="12"/>
            <x v="13"/>
            <x v="14"/>
            <x v="15"/>
            <x v="16"/>
            <x v="17"/>
            <x v="18"/>
            <x v="19"/>
            <x v="20"/>
            <x v="21"/>
            <x v="22"/>
            <x v="23"/>
            <x v="24"/>
            <x v="25"/>
            <x v="26"/>
            <x v="27"/>
            <x v="28"/>
            <x v="29"/>
            <x v="30"/>
            <x v="31"/>
            <x v="32"/>
            <x v="33"/>
            <x v="34"/>
            <x v="35"/>
            <x v="36"/>
            <x v="37"/>
            <x v="38"/>
            <x v="39"/>
            <x v="40"/>
            <x v="41"/>
            <x v="42"/>
            <x v="43"/>
            <x v="44"/>
            <x v="45"/>
            <x v="46"/>
            <x v="47"/>
            <x v="48"/>
            <x v="49"/>
            <x v="50"/>
          </reference>
        </references>
      </pivotArea>
    </format>
    <format dxfId="174">
      <pivotArea dataOnly="0" labelOnly="1" outline="0" fieldPosition="0">
        <references count="1">
          <reference field="2" count="2">
            <x v="10"/>
            <x v="51"/>
          </reference>
        </references>
      </pivotArea>
    </format>
    <format dxfId="173">
      <pivotArea type="all" dataOnly="0" outline="0" fieldPosition="0"/>
    </format>
    <format dxfId="172">
      <pivotArea outline="0" collapsedLevelsAreSubtotals="1" fieldPosition="0"/>
    </format>
    <format dxfId="171">
      <pivotArea dataOnly="0" labelOnly="1" outline="0" fieldPosition="0">
        <references count="1">
          <reference field="0" count="0"/>
        </references>
      </pivotArea>
    </format>
    <format dxfId="170">
      <pivotArea dataOnly="0" labelOnly="1" grandRow="1" outline="0" fieldPosition="0"/>
    </format>
    <format dxfId="169">
      <pivotArea dataOnly="0" labelOnly="1" outline="0" fieldPosition="0">
        <references count="1">
          <reference field="2" count="50">
            <x v="0"/>
            <x v="1"/>
            <x v="2"/>
            <x v="3"/>
            <x v="4"/>
            <x v="5"/>
            <x v="6"/>
            <x v="7"/>
            <x v="8"/>
            <x v="9"/>
            <x v="11"/>
            <x v="12"/>
            <x v="13"/>
            <x v="14"/>
            <x v="15"/>
            <x v="16"/>
            <x v="17"/>
            <x v="18"/>
            <x v="19"/>
            <x v="20"/>
            <x v="21"/>
            <x v="22"/>
            <x v="23"/>
            <x v="24"/>
            <x v="25"/>
            <x v="26"/>
            <x v="27"/>
            <x v="28"/>
            <x v="29"/>
            <x v="30"/>
            <x v="31"/>
            <x v="32"/>
            <x v="33"/>
            <x v="34"/>
            <x v="35"/>
            <x v="36"/>
            <x v="37"/>
            <x v="38"/>
            <x v="39"/>
            <x v="40"/>
            <x v="41"/>
            <x v="42"/>
            <x v="43"/>
            <x v="44"/>
            <x v="45"/>
            <x v="46"/>
            <x v="47"/>
            <x v="48"/>
            <x v="49"/>
            <x v="50"/>
          </reference>
        </references>
      </pivotArea>
    </format>
    <format dxfId="168">
      <pivotArea dataOnly="0" labelOnly="1" outline="0" fieldPosition="0">
        <references count="1">
          <reference field="2" count="2">
            <x v="10"/>
            <x v="51"/>
          </reference>
        </references>
      </pivotArea>
    </format>
    <format dxfId="167">
      <pivotArea grandRow="1" outline="0" collapsedLevelsAreSubtotals="1" fieldPosition="0"/>
    </format>
    <format dxfId="166">
      <pivotArea dataOnly="0" labelOnly="1" grandRow="1" outline="0" fieldPosition="0"/>
    </format>
    <format dxfId="165">
      <pivotArea field="2" grandRow="1" outline="0" collapsedLevelsAreSubtotals="1" axis="axisCol" fieldPosition="0">
        <references count="1">
          <reference field="2" count="1" selected="0">
            <x v="2"/>
          </reference>
        </references>
      </pivotArea>
    </format>
    <format dxfId="164">
      <pivotArea type="all" dataOnly="0" outline="0" fieldPosition="0"/>
    </format>
    <format dxfId="163">
      <pivotArea outline="0" collapsedLevelsAreSubtotals="1" fieldPosition="0"/>
    </format>
    <format dxfId="162">
      <pivotArea dataOnly="0" labelOnly="1" outline="0" fieldPosition="0">
        <references count="1">
          <reference field="0" count="0"/>
        </references>
      </pivotArea>
    </format>
    <format dxfId="161">
      <pivotArea dataOnly="0" labelOnly="1" grandRow="1" outline="0" fieldPosition="0"/>
    </format>
    <format dxfId="160">
      <pivotArea dataOnly="0" labelOnly="1" outline="0" fieldPosition="0">
        <references count="1">
          <reference field="2" count="50">
            <x v="0"/>
            <x v="1"/>
            <x v="2"/>
            <x v="3"/>
            <x v="4"/>
            <x v="5"/>
            <x v="6"/>
            <x v="7"/>
            <x v="8"/>
            <x v="9"/>
            <x v="11"/>
            <x v="12"/>
            <x v="13"/>
            <x v="14"/>
            <x v="15"/>
            <x v="16"/>
            <x v="17"/>
            <x v="18"/>
            <x v="19"/>
            <x v="20"/>
            <x v="21"/>
            <x v="22"/>
            <x v="23"/>
            <x v="24"/>
            <x v="25"/>
            <x v="26"/>
            <x v="27"/>
            <x v="28"/>
            <x v="29"/>
            <x v="30"/>
            <x v="31"/>
            <x v="32"/>
            <x v="33"/>
            <x v="34"/>
            <x v="35"/>
            <x v="36"/>
            <x v="37"/>
            <x v="38"/>
            <x v="39"/>
            <x v="40"/>
            <x v="41"/>
            <x v="42"/>
            <x v="43"/>
            <x v="44"/>
            <x v="45"/>
            <x v="46"/>
            <x v="47"/>
            <x v="48"/>
            <x v="49"/>
            <x v="50"/>
          </reference>
        </references>
      </pivotArea>
    </format>
    <format dxfId="159">
      <pivotArea dataOnly="0" labelOnly="1" outline="0" fieldPosition="0">
        <references count="1">
          <reference field="2" count="2">
            <x v="10"/>
            <x v="51"/>
          </reference>
        </references>
      </pivotArea>
    </format>
    <format dxfId="158">
      <pivotArea outline="0" collapsedLevelsAreSubtotals="1" fieldPosition="0">
        <references count="1">
          <reference field="0" count="0" selected="0"/>
        </references>
      </pivotArea>
    </format>
    <format dxfId="157">
      <pivotArea dataOnly="0" labelOnly="1" outline="0" fieldPosition="0">
        <references count="1">
          <reference field="0" count="0"/>
        </references>
      </pivotArea>
    </format>
    <format dxfId="156">
      <pivotArea outline="0" collapsedLevelsAreSubtotals="1" fieldPosition="0">
        <references count="2">
          <reference field="0" count="0" selected="0"/>
          <reference field="2" count="1" selected="0">
            <x v="7"/>
          </reference>
        </references>
      </pivotArea>
    </format>
    <format dxfId="155">
      <pivotArea type="all" dataOnly="0" outline="0" fieldPosition="0"/>
    </format>
    <format dxfId="154">
      <pivotArea outline="0" collapsedLevelsAreSubtotals="1" fieldPosition="0"/>
    </format>
    <format dxfId="153">
      <pivotArea dataOnly="0" labelOnly="1" outline="0" fieldPosition="0">
        <references count="1">
          <reference field="0" count="0"/>
        </references>
      </pivotArea>
    </format>
    <format dxfId="152">
      <pivotArea dataOnly="0" labelOnly="1" grandRow="1" outline="0" fieldPosition="0"/>
    </format>
    <format dxfId="151">
      <pivotArea dataOnly="0" labelOnly="1" outline="0" fieldPosition="0">
        <references count="1">
          <reference field="2" count="50">
            <x v="0"/>
            <x v="1"/>
            <x v="2"/>
            <x v="3"/>
            <x v="4"/>
            <x v="5"/>
            <x v="6"/>
            <x v="7"/>
            <x v="8"/>
            <x v="9"/>
            <x v="11"/>
            <x v="12"/>
            <x v="13"/>
            <x v="14"/>
            <x v="15"/>
            <x v="16"/>
            <x v="17"/>
            <x v="18"/>
            <x v="19"/>
            <x v="20"/>
            <x v="21"/>
            <x v="22"/>
            <x v="23"/>
            <x v="24"/>
            <x v="25"/>
            <x v="26"/>
            <x v="27"/>
            <x v="28"/>
            <x v="29"/>
            <x v="30"/>
            <x v="31"/>
            <x v="32"/>
            <x v="33"/>
            <x v="34"/>
            <x v="35"/>
            <x v="36"/>
            <x v="37"/>
            <x v="38"/>
            <x v="39"/>
            <x v="40"/>
            <x v="41"/>
            <x v="42"/>
            <x v="43"/>
            <x v="44"/>
            <x v="45"/>
            <x v="46"/>
            <x v="47"/>
            <x v="48"/>
            <x v="49"/>
            <x v="50"/>
          </reference>
        </references>
      </pivotArea>
    </format>
    <format dxfId="150">
      <pivotArea dataOnly="0" labelOnly="1" outline="0" fieldPosition="0">
        <references count="1">
          <reference field="2" count="2">
            <x v="10"/>
            <x v="51"/>
          </reference>
        </references>
      </pivotArea>
    </format>
    <format dxfId="149">
      <pivotArea outline="0" collapsedLevelsAreSubtotals="1" fieldPosition="0">
        <references count="1">
          <reference field="0" count="0" selected="0"/>
        </references>
      </pivotArea>
    </format>
    <format dxfId="148">
      <pivotArea dataOnly="0" labelOnly="1" outline="0" fieldPosition="0">
        <references count="1">
          <reference field="0" count="0"/>
        </references>
      </pivotArea>
    </format>
    <format dxfId="147">
      <pivotArea outline="0" collapsedLevelsAreSubtotals="1" fieldPosition="0">
        <references count="2">
          <reference field="0" count="0" selected="0"/>
          <reference field="2" count="1" selected="0">
            <x v="1"/>
          </reference>
        </references>
      </pivotArea>
    </format>
    <format dxfId="146">
      <pivotArea type="all" dataOnly="0" outline="0" fieldPosition="0"/>
    </format>
    <format dxfId="145">
      <pivotArea outline="0" collapsedLevelsAreSubtotals="1" fieldPosition="0"/>
    </format>
    <format dxfId="144">
      <pivotArea dataOnly="0" labelOnly="1" outline="0" fieldPosition="0">
        <references count="1">
          <reference field="0" count="0"/>
        </references>
      </pivotArea>
    </format>
    <format dxfId="143">
      <pivotArea dataOnly="0" labelOnly="1" grandRow="1" outline="0" fieldPosition="0"/>
    </format>
    <format dxfId="142">
      <pivotArea dataOnly="0" labelOnly="1" outline="0" fieldPosition="0">
        <references count="1">
          <reference field="2" count="50">
            <x v="0"/>
            <x v="1"/>
            <x v="2"/>
            <x v="3"/>
            <x v="4"/>
            <x v="5"/>
            <x v="6"/>
            <x v="7"/>
            <x v="8"/>
            <x v="9"/>
            <x v="11"/>
            <x v="12"/>
            <x v="13"/>
            <x v="14"/>
            <x v="15"/>
            <x v="16"/>
            <x v="17"/>
            <x v="18"/>
            <x v="19"/>
            <x v="20"/>
            <x v="21"/>
            <x v="22"/>
            <x v="23"/>
            <x v="24"/>
            <x v="25"/>
            <x v="26"/>
            <x v="27"/>
            <x v="28"/>
            <x v="29"/>
            <x v="30"/>
            <x v="31"/>
            <x v="32"/>
            <x v="33"/>
            <x v="34"/>
            <x v="35"/>
            <x v="36"/>
            <x v="37"/>
            <x v="38"/>
            <x v="39"/>
            <x v="40"/>
            <x v="41"/>
            <x v="42"/>
            <x v="43"/>
            <x v="44"/>
            <x v="45"/>
            <x v="46"/>
            <x v="47"/>
            <x v="48"/>
            <x v="49"/>
            <x v="50"/>
          </reference>
        </references>
      </pivotArea>
    </format>
    <format dxfId="141">
      <pivotArea dataOnly="0" labelOnly="1" outline="0" fieldPosition="0">
        <references count="1">
          <reference field="2" count="2">
            <x v="10"/>
            <x v="51"/>
          </reference>
        </references>
      </pivotArea>
    </format>
    <format dxfId="140">
      <pivotArea grandRow="1" outline="0" collapsedLevelsAreSubtotals="1" fieldPosition="0"/>
    </format>
    <format dxfId="139">
      <pivotArea dataOnly="0" labelOnly="1" grandRow="1" outline="0" fieldPosition="0"/>
    </format>
    <format dxfId="138">
      <pivotArea field="2" grandRow="1" outline="0" collapsedLevelsAreSubtotals="1" axis="axisCol" fieldPosition="0">
        <references count="1">
          <reference field="2" count="1" selected="0">
            <x v="7"/>
          </reference>
        </references>
      </pivotArea>
    </format>
    <format dxfId="137">
      <pivotArea type="all" dataOnly="0" outline="0" fieldPosition="0"/>
    </format>
    <format dxfId="136">
      <pivotArea outline="0" collapsedLevelsAreSubtotals="1" fieldPosition="0"/>
    </format>
    <format dxfId="135">
      <pivotArea dataOnly="0" labelOnly="1" outline="0" fieldPosition="0">
        <references count="1">
          <reference field="0" count="0"/>
        </references>
      </pivotArea>
    </format>
    <format dxfId="134">
      <pivotArea dataOnly="0" labelOnly="1" grandRow="1" outline="0" fieldPosition="0"/>
    </format>
    <format dxfId="133">
      <pivotArea dataOnly="0" labelOnly="1" outline="0" fieldPosition="0">
        <references count="1">
          <reference field="2" count="50">
            <x v="0"/>
            <x v="1"/>
            <x v="2"/>
            <x v="3"/>
            <x v="4"/>
            <x v="5"/>
            <x v="6"/>
            <x v="7"/>
            <x v="8"/>
            <x v="9"/>
            <x v="11"/>
            <x v="12"/>
            <x v="13"/>
            <x v="14"/>
            <x v="15"/>
            <x v="16"/>
            <x v="17"/>
            <x v="18"/>
            <x v="19"/>
            <x v="20"/>
            <x v="21"/>
            <x v="22"/>
            <x v="23"/>
            <x v="24"/>
            <x v="25"/>
            <x v="26"/>
            <x v="27"/>
            <x v="28"/>
            <x v="29"/>
            <x v="30"/>
            <x v="31"/>
            <x v="32"/>
            <x v="33"/>
            <x v="34"/>
            <x v="35"/>
            <x v="36"/>
            <x v="37"/>
            <x v="38"/>
            <x v="39"/>
            <x v="40"/>
            <x v="41"/>
            <x v="42"/>
            <x v="43"/>
            <x v="44"/>
            <x v="45"/>
            <x v="46"/>
            <x v="47"/>
            <x v="48"/>
            <x v="49"/>
            <x v="50"/>
          </reference>
        </references>
      </pivotArea>
    </format>
    <format dxfId="132">
      <pivotArea dataOnly="0" labelOnly="1" outline="0" fieldPosition="0">
        <references count="1">
          <reference field="2" count="2">
            <x v="10"/>
            <x v="51"/>
          </reference>
        </references>
      </pivotArea>
    </format>
  </formats>
  <pivotTableStyleInfo name="PivotStyleMedium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3.xml><?xml version="1.0" encoding="utf-8"?>
<pivotTableDefinition xmlns="http://schemas.openxmlformats.org/spreadsheetml/2006/main" name="ГодСводная" cacheId="21" applyNumberFormats="0" applyBorderFormats="0" applyFontFormats="0" applyPatternFormats="0" applyAlignmentFormats="0" applyWidthHeightFormats="1" dataCaption="Значения" missingCaption="0" updatedVersion="5" minRefreshableVersion="3" showDataTips="0" useAutoFormatting="1" colGrandTotals="0" itemPrintTitles="1" createdVersion="5" indent="0" compact="0" compactData="0" gridDropZones="1" multipleFieldFilters="0">
  <location ref="A7:BB10" firstHeaderRow="1" firstDataRow="2" firstDataCol="2"/>
  <pivotFields count="4">
    <pivotField axis="axisRow" compact="0" outline="0" showAll="0">
      <items count="2">
        <item sd="0" x="0"/>
        <item t="default" sd="0"/>
      </items>
    </pivotField>
    <pivotField axis="axisRow" compact="0" outline="0" showAll="0">
      <items count="2">
        <item x="0"/>
        <item t="default"/>
      </items>
    </pivotField>
    <pivotField axis="axisCol" compact="0" outline="0" showAll="0">
      <items count="53">
        <item x="51"/>
        <item x="0"/>
        <item x="50"/>
        <item x="1"/>
        <item x="2"/>
        <item x="3"/>
        <item x="4"/>
        <item x="5"/>
        <item x="6"/>
        <item x="7"/>
        <item x="8"/>
        <item x="9"/>
        <item x="10"/>
        <item x="11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12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t="default"/>
      </items>
    </pivotField>
    <pivotField dataField="1" compact="0" outline="0" showAll="0"/>
  </pivotFields>
  <rowFields count="2">
    <field x="0"/>
    <field x="1"/>
  </rowFields>
  <rowItems count="2">
    <i>
      <x/>
    </i>
    <i t="grand">
      <x/>
    </i>
  </rowItems>
  <colFields count="1">
    <field x="2"/>
  </colFields>
  <colItems count="5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</colItems>
  <dataFields count="1">
    <dataField name=" Значения услуг" fld="3" baseField="1" baseItem="0"/>
  </dataFields>
  <formats count="101">
    <format dxfId="113">
      <pivotArea type="all" dataOnly="0" outline="0" fieldPosition="0"/>
    </format>
    <format dxfId="112">
      <pivotArea type="all" dataOnly="0" outline="0" fieldPosition="0"/>
    </format>
    <format dxfId="111">
      <pivotArea outline="0" collapsedLevelsAreSubtotals="1" fieldPosition="0"/>
    </format>
    <format dxfId="110">
      <pivotArea dataOnly="0" labelOnly="1" outline="0" fieldPosition="0">
        <references count="1">
          <reference field="0" count="0"/>
        </references>
      </pivotArea>
    </format>
    <format dxfId="109">
      <pivotArea dataOnly="0" labelOnly="1" outline="0" fieldPosition="0">
        <references count="1">
          <reference field="0" count="0" defaultSubtotal="1"/>
        </references>
      </pivotArea>
    </format>
    <format dxfId="108">
      <pivotArea dataOnly="0" labelOnly="1" grandRow="1" outline="0" fieldPosition="0"/>
    </format>
    <format dxfId="107">
      <pivotArea dataOnly="0" labelOnly="1" outline="0" fieldPosition="0">
        <references count="2">
          <reference field="0" count="0" selected="0"/>
          <reference field="1" count="0"/>
        </references>
      </pivotArea>
    </format>
    <format dxfId="106">
      <pivotArea dataOnly="0" labelOnly="1" outline="0" fieldPosition="0">
        <references count="1">
          <reference field="2" count="0"/>
        </references>
      </pivotArea>
    </format>
    <format dxfId="105">
      <pivotArea type="all" dataOnly="0" outline="0" fieldPosition="0"/>
    </format>
    <format dxfId="104">
      <pivotArea type="all" dataOnly="0" outline="0" fieldPosition="0"/>
    </format>
    <format dxfId="103">
      <pivotArea type="origin" dataOnly="0" labelOnly="1" outline="0" fieldPosition="0"/>
    </format>
    <format dxfId="102">
      <pivotArea field="0" type="button" dataOnly="0" labelOnly="1" outline="0" axis="axisRow" fieldPosition="0"/>
    </format>
    <format dxfId="101">
      <pivotArea field="0" type="button" dataOnly="0" labelOnly="1" outline="0" axis="axisRow" fieldPosition="0"/>
    </format>
    <format dxfId="100">
      <pivotArea field="1" type="button" dataOnly="0" labelOnly="1" outline="0" axis="axisRow" fieldPosition="1"/>
    </format>
    <format dxfId="99">
      <pivotArea field="1" type="button" dataOnly="0" labelOnly="1" outline="0" axis="axisRow" fieldPosition="1"/>
    </format>
    <format dxfId="98">
      <pivotArea dataOnly="0" labelOnly="1" outline="0" fieldPosition="0">
        <references count="1">
          <reference field="0" count="0"/>
        </references>
      </pivotArea>
    </format>
    <format dxfId="97">
      <pivotArea dataOnly="0" labelOnly="1" outline="0" fieldPosition="0">
        <references count="1">
          <reference field="0" count="0" defaultSubtotal="1"/>
        </references>
      </pivotArea>
    </format>
    <format dxfId="96">
      <pivotArea dataOnly="0" labelOnly="1" grandRow="1" outline="0" fieldPosition="0"/>
    </format>
    <format dxfId="95">
      <pivotArea dataOnly="0" labelOnly="1" outline="0" fieldPosition="0">
        <references count="2">
          <reference field="0" count="0" selected="0"/>
          <reference field="1" count="0"/>
        </references>
      </pivotArea>
    </format>
    <format dxfId="94">
      <pivotArea dataOnly="0" labelOnly="1" outline="0" fieldPosition="0">
        <references count="1">
          <reference field="0" count="0"/>
        </references>
      </pivotArea>
    </format>
    <format dxfId="93">
      <pivotArea dataOnly="0" labelOnly="1" outline="0" fieldPosition="0">
        <references count="1">
          <reference field="0" count="0" defaultSubtotal="1"/>
        </references>
      </pivotArea>
    </format>
    <format dxfId="92">
      <pivotArea dataOnly="0" labelOnly="1" grandRow="1" outline="0" fieldPosition="0"/>
    </format>
    <format dxfId="91">
      <pivotArea dataOnly="0" labelOnly="1" outline="0" fieldPosition="0">
        <references count="2">
          <reference field="0" count="0" selected="0"/>
          <reference field="1" count="0"/>
        </references>
      </pivotArea>
    </format>
    <format dxfId="90">
      <pivotArea type="all" dataOnly="0" outline="0" fieldPosition="0"/>
    </format>
    <format dxfId="89">
      <pivotArea dataOnly="0" labelOnly="1" outline="0" fieldPosition="0">
        <references count="1">
          <reference field="2" count="0"/>
        </references>
      </pivotArea>
    </format>
    <format dxfId="88">
      <pivotArea dataOnly="0" outline="0" fieldPosition="0">
        <references count="1">
          <reference field="2" count="1">
            <x v="2"/>
          </reference>
        </references>
      </pivotArea>
    </format>
    <format dxfId="87">
      <pivotArea dataOnly="0" labelOnly="1" outline="0" fieldPosition="0">
        <references count="1">
          <reference field="2" count="0"/>
        </references>
      </pivotArea>
    </format>
    <format dxfId="86">
      <pivotArea dataOnly="0" labelOnly="1" outline="0" fieldPosition="0">
        <references count="1">
          <reference field="2" count="1">
            <x v="1"/>
          </reference>
        </references>
      </pivotArea>
    </format>
    <format dxfId="85">
      <pivotArea dataOnly="0" labelOnly="1" outline="0" fieldPosition="0">
        <references count="1">
          <reference field="2" count="1">
            <x v="1"/>
          </reference>
        </references>
      </pivotArea>
    </format>
    <format dxfId="84">
      <pivotArea type="all" dataOnly="0" outline="0" fieldPosition="0"/>
    </format>
    <format dxfId="83">
      <pivotArea outline="0" collapsedLevelsAreSubtotals="1" fieldPosition="0"/>
    </format>
    <format dxfId="82">
      <pivotArea dataOnly="0" labelOnly="1" outline="0" fieldPosition="0">
        <references count="1">
          <reference field="0" count="0"/>
        </references>
      </pivotArea>
    </format>
    <format dxfId="81">
      <pivotArea dataOnly="0" labelOnly="1" grandRow="1" outline="0" fieldPosition="0"/>
    </format>
    <format dxfId="80">
      <pivotArea dataOnly="0" labelOnly="1" outline="0" fieldPosition="0">
        <references count="1">
          <reference field="2" count="0"/>
        </references>
      </pivotArea>
    </format>
    <format dxfId="79">
      <pivotArea type="all" dataOnly="0" outline="0" fieldPosition="0"/>
    </format>
    <format dxfId="78">
      <pivotArea outline="0" collapsedLevelsAreSubtotals="1" fieldPosition="0"/>
    </format>
    <format dxfId="77">
      <pivotArea dataOnly="0" labelOnly="1" outline="0" fieldPosition="0">
        <references count="1">
          <reference field="0" count="0"/>
        </references>
      </pivotArea>
    </format>
    <format dxfId="76">
      <pivotArea dataOnly="0" labelOnly="1" grandRow="1" outline="0" fieldPosition="0"/>
    </format>
    <format dxfId="75">
      <pivotArea dataOnly="0" labelOnly="1" outline="0" fieldPosition="0">
        <references count="1">
          <reference field="2" count="0"/>
        </references>
      </pivotArea>
    </format>
    <format dxfId="74">
      <pivotArea type="all" dataOnly="0" outline="0" fieldPosition="0"/>
    </format>
    <format dxfId="73">
      <pivotArea outline="0" collapsedLevelsAreSubtotals="1" fieldPosition="0"/>
    </format>
    <format dxfId="72">
      <pivotArea dataOnly="0" labelOnly="1" outline="0" fieldPosition="0">
        <references count="1">
          <reference field="0" count="0"/>
        </references>
      </pivotArea>
    </format>
    <format dxfId="71">
      <pivotArea dataOnly="0" labelOnly="1" grandRow="1" outline="0" fieldPosition="0"/>
    </format>
    <format dxfId="70">
      <pivotArea dataOnly="0" labelOnly="1" outline="0" fieldPosition="0">
        <references count="1">
          <reference field="2" count="0"/>
        </references>
      </pivotArea>
    </format>
    <format dxfId="69">
      <pivotArea type="all" dataOnly="0" outline="0" fieldPosition="0"/>
    </format>
    <format dxfId="68">
      <pivotArea outline="0" collapsedLevelsAreSubtotals="1" fieldPosition="0"/>
    </format>
    <format dxfId="67">
      <pivotArea dataOnly="0" labelOnly="1" grandRow="1" outline="0" fieldPosition="0"/>
    </format>
    <format dxfId="66">
      <pivotArea dataOnly="0" labelOnly="1" outline="0" fieldPosition="0">
        <references count="1">
          <reference field="2" count="0"/>
        </references>
      </pivotArea>
    </format>
    <format dxfId="65">
      <pivotArea grandRow="1" outline="0" collapsedLevelsAreSubtotals="1" fieldPosition="0"/>
    </format>
    <format dxfId="64">
      <pivotArea dataOnly="0" labelOnly="1" grandRow="1" outline="0" fieldPosition="0"/>
    </format>
    <format dxfId="63">
      <pivotArea dataOnly="0" labelOnly="1" grandRow="1" outline="0" offset="IV256" fieldPosition="0"/>
    </format>
    <format dxfId="62">
      <pivotArea type="all" dataOnly="0" outline="0" fieldPosition="0"/>
    </format>
    <format dxfId="61">
      <pivotArea outline="0" collapsedLevelsAreSubtotals="1" fieldPosition="0"/>
    </format>
    <format dxfId="60">
      <pivotArea dataOnly="0" labelOnly="1" outline="0" fieldPosition="0">
        <references count="1">
          <reference field="0" count="0"/>
        </references>
      </pivotArea>
    </format>
    <format dxfId="59">
      <pivotArea dataOnly="0" labelOnly="1" grandRow="1" outline="0" fieldPosition="0"/>
    </format>
    <format dxfId="58">
      <pivotArea dataOnly="0" labelOnly="1" outline="0" fieldPosition="0">
        <references count="1">
          <reference field="2" count="0"/>
        </references>
      </pivotArea>
    </format>
    <format dxfId="57">
      <pivotArea outline="0" collapsedLevelsAreSubtotals="1" fieldPosition="0">
        <references count="1">
          <reference field="0" count="0" selected="0"/>
        </references>
      </pivotArea>
    </format>
    <format dxfId="56">
      <pivotArea dataOnly="0" labelOnly="1" outline="0" fieldPosition="0">
        <references count="1">
          <reference field="0" count="0"/>
        </references>
      </pivotArea>
    </format>
    <format dxfId="55">
      <pivotArea outline="0" collapsedLevelsAreSubtotals="1" fieldPosition="0">
        <references count="2">
          <reference field="0" count="0" selected="0"/>
          <reference field="2" count="1" selected="0">
            <x v="7"/>
          </reference>
        </references>
      </pivotArea>
    </format>
    <format dxfId="54">
      <pivotArea type="all" dataOnly="0" outline="0" fieldPosition="0"/>
    </format>
    <format dxfId="53">
      <pivotArea outline="0" collapsedLevelsAreSubtotals="1" fieldPosition="0"/>
    </format>
    <format dxfId="52">
      <pivotArea dataOnly="0" labelOnly="1" outline="0" fieldPosition="0">
        <references count="1">
          <reference field="0" count="0"/>
        </references>
      </pivotArea>
    </format>
    <format dxfId="51">
      <pivotArea dataOnly="0" labelOnly="1" grandRow="1" outline="0" fieldPosition="0"/>
    </format>
    <format dxfId="50">
      <pivotArea dataOnly="0" labelOnly="1" outline="0" fieldPosition="0">
        <references count="1">
          <reference field="2" count="50">
            <x v="0"/>
            <x v="1"/>
            <x v="2"/>
            <x v="3"/>
            <x v="4"/>
            <x v="5"/>
            <x v="6"/>
            <x v="7"/>
            <x v="8"/>
            <x v="9"/>
            <x v="11"/>
            <x v="12"/>
            <x v="13"/>
            <x v="14"/>
            <x v="15"/>
            <x v="16"/>
            <x v="17"/>
            <x v="18"/>
            <x v="19"/>
            <x v="20"/>
            <x v="21"/>
            <x v="22"/>
            <x v="23"/>
            <x v="24"/>
            <x v="25"/>
            <x v="26"/>
            <x v="27"/>
            <x v="28"/>
            <x v="29"/>
            <x v="30"/>
            <x v="31"/>
            <x v="32"/>
            <x v="33"/>
            <x v="34"/>
            <x v="35"/>
            <x v="36"/>
            <x v="37"/>
            <x v="38"/>
            <x v="39"/>
            <x v="40"/>
            <x v="41"/>
            <x v="42"/>
            <x v="43"/>
            <x v="44"/>
            <x v="45"/>
            <x v="46"/>
            <x v="47"/>
            <x v="48"/>
            <x v="49"/>
            <x v="50"/>
          </reference>
        </references>
      </pivotArea>
    </format>
    <format dxfId="49">
      <pivotArea dataOnly="0" labelOnly="1" outline="0" fieldPosition="0">
        <references count="1">
          <reference field="2" count="2">
            <x v="10"/>
            <x v="51"/>
          </reference>
        </references>
      </pivotArea>
    </format>
    <format dxfId="48">
      <pivotArea grandRow="1" outline="0" collapsedLevelsAreSubtotals="1" fieldPosition="0"/>
    </format>
    <format dxfId="47">
      <pivotArea dataOnly="0" labelOnly="1" grandRow="1" outline="0" fieldPosition="0"/>
    </format>
    <format dxfId="46">
      <pivotArea field="2" grandRow="1" outline="0" collapsedLevelsAreSubtotals="1" axis="axisCol" fieldPosition="0">
        <references count="1">
          <reference field="2" count="1" selected="0">
            <x v="6"/>
          </reference>
        </references>
      </pivotArea>
    </format>
    <format dxfId="45">
      <pivotArea type="all" dataOnly="0" outline="0" fieldPosition="0"/>
    </format>
    <format dxfId="44">
      <pivotArea outline="0" collapsedLevelsAreSubtotals="1" fieldPosition="0"/>
    </format>
    <format dxfId="43">
      <pivotArea dataOnly="0" labelOnly="1" outline="0" fieldPosition="0">
        <references count="1">
          <reference field="0" count="0"/>
        </references>
      </pivotArea>
    </format>
    <format dxfId="42">
      <pivotArea dataOnly="0" labelOnly="1" grandRow="1" outline="0" fieldPosition="0"/>
    </format>
    <format dxfId="41">
      <pivotArea dataOnly="0" labelOnly="1" outline="0" fieldPosition="0">
        <references count="1">
          <reference field="2" count="50">
            <x v="0"/>
            <x v="1"/>
            <x v="2"/>
            <x v="3"/>
            <x v="4"/>
            <x v="5"/>
            <x v="6"/>
            <x v="7"/>
            <x v="8"/>
            <x v="9"/>
            <x v="11"/>
            <x v="12"/>
            <x v="13"/>
            <x v="14"/>
            <x v="15"/>
            <x v="16"/>
            <x v="17"/>
            <x v="18"/>
            <x v="19"/>
            <x v="20"/>
            <x v="21"/>
            <x v="22"/>
            <x v="23"/>
            <x v="24"/>
            <x v="25"/>
            <x v="26"/>
            <x v="27"/>
            <x v="28"/>
            <x v="29"/>
            <x v="30"/>
            <x v="31"/>
            <x v="32"/>
            <x v="33"/>
            <x v="34"/>
            <x v="35"/>
            <x v="36"/>
            <x v="37"/>
            <x v="38"/>
            <x v="39"/>
            <x v="40"/>
            <x v="41"/>
            <x v="42"/>
            <x v="43"/>
            <x v="44"/>
            <x v="45"/>
            <x v="46"/>
            <x v="47"/>
            <x v="48"/>
            <x v="49"/>
            <x v="50"/>
          </reference>
        </references>
      </pivotArea>
    </format>
    <format dxfId="40">
      <pivotArea dataOnly="0" labelOnly="1" outline="0" fieldPosition="0">
        <references count="1">
          <reference field="2" count="2">
            <x v="10"/>
            <x v="51"/>
          </reference>
        </references>
      </pivotArea>
    </format>
    <format dxfId="39">
      <pivotArea grandRow="1" outline="0" collapsedLevelsAreSubtotals="1" fieldPosition="0"/>
    </format>
    <format dxfId="38">
      <pivotArea dataOnly="0" labelOnly="1" grandRow="1" outline="0" fieldPosition="0"/>
    </format>
    <format dxfId="37">
      <pivotArea field="2" grandRow="1" outline="0" collapsedLevelsAreSubtotals="1" axis="axisCol" fieldPosition="0">
        <references count="1">
          <reference field="2" count="1" selected="0">
            <x v="6"/>
          </reference>
        </references>
      </pivotArea>
    </format>
    <format dxfId="36">
      <pivotArea type="all" dataOnly="0" outline="0" fieldPosition="0"/>
    </format>
    <format dxfId="35">
      <pivotArea outline="0" collapsedLevelsAreSubtotals="1" fieldPosition="0"/>
    </format>
    <format dxfId="34">
      <pivotArea dataOnly="0" labelOnly="1" outline="0" fieldPosition="0">
        <references count="1">
          <reference field="0" count="0"/>
        </references>
      </pivotArea>
    </format>
    <format dxfId="33">
      <pivotArea dataOnly="0" labelOnly="1" grandRow="1" outline="0" fieldPosition="0"/>
    </format>
    <format dxfId="32">
      <pivotArea dataOnly="0" labelOnly="1" outline="0" fieldPosition="0">
        <references count="1">
          <reference field="2" count="50">
            <x v="0"/>
            <x v="1"/>
            <x v="2"/>
            <x v="3"/>
            <x v="4"/>
            <x v="5"/>
            <x v="6"/>
            <x v="7"/>
            <x v="8"/>
            <x v="9"/>
            <x v="11"/>
            <x v="12"/>
            <x v="13"/>
            <x v="14"/>
            <x v="15"/>
            <x v="16"/>
            <x v="17"/>
            <x v="18"/>
            <x v="19"/>
            <x v="20"/>
            <x v="21"/>
            <x v="22"/>
            <x v="23"/>
            <x v="24"/>
            <x v="25"/>
            <x v="26"/>
            <x v="27"/>
            <x v="28"/>
            <x v="29"/>
            <x v="30"/>
            <x v="31"/>
            <x v="32"/>
            <x v="33"/>
            <x v="34"/>
            <x v="35"/>
            <x v="36"/>
            <x v="37"/>
            <x v="38"/>
            <x v="39"/>
            <x v="40"/>
            <x v="41"/>
            <x v="42"/>
            <x v="43"/>
            <x v="44"/>
            <x v="45"/>
            <x v="46"/>
            <x v="47"/>
            <x v="48"/>
            <x v="49"/>
            <x v="50"/>
          </reference>
        </references>
      </pivotArea>
    </format>
    <format dxfId="31">
      <pivotArea dataOnly="0" labelOnly="1" outline="0" fieldPosition="0">
        <references count="1">
          <reference field="2" count="2">
            <x v="10"/>
            <x v="51"/>
          </reference>
        </references>
      </pivotArea>
    </format>
    <format dxfId="30">
      <pivotArea outline="0" collapsedLevelsAreSubtotals="1" fieldPosition="0">
        <references count="1">
          <reference field="0" count="0" selected="0"/>
        </references>
      </pivotArea>
    </format>
    <format dxfId="29">
      <pivotArea dataOnly="0" labelOnly="1" outline="0" fieldPosition="0">
        <references count="1">
          <reference field="0" count="0"/>
        </references>
      </pivotArea>
    </format>
    <format dxfId="28">
      <pivotArea outline="0" collapsedLevelsAreSubtotals="1" fieldPosition="0">
        <references count="2">
          <reference field="0" count="0" selected="0"/>
          <reference field="2" count="1" selected="0">
            <x v="5"/>
          </reference>
        </references>
      </pivotArea>
    </format>
    <format dxfId="27">
      <pivotArea type="all" dataOnly="0" outline="0" fieldPosition="0"/>
    </format>
    <format dxfId="26">
      <pivotArea outline="0" collapsedLevelsAreSubtotals="1" fieldPosition="0"/>
    </format>
    <format dxfId="25">
      <pivotArea dataOnly="0" labelOnly="1" outline="0" fieldPosition="0">
        <references count="1">
          <reference field="0" count="0"/>
        </references>
      </pivotArea>
    </format>
    <format dxfId="24">
      <pivotArea dataOnly="0" labelOnly="1" grandRow="1" outline="0" fieldPosition="0"/>
    </format>
    <format dxfId="23">
      <pivotArea dataOnly="0" labelOnly="1" outline="0" fieldPosition="0">
        <references count="1">
          <reference field="2" count="50">
            <x v="0"/>
            <x v="1"/>
            <x v="2"/>
            <x v="3"/>
            <x v="4"/>
            <x v="5"/>
            <x v="6"/>
            <x v="7"/>
            <x v="8"/>
            <x v="9"/>
            <x v="11"/>
            <x v="12"/>
            <x v="13"/>
            <x v="14"/>
            <x v="15"/>
            <x v="16"/>
            <x v="17"/>
            <x v="18"/>
            <x v="19"/>
            <x v="20"/>
            <x v="21"/>
            <x v="22"/>
            <x v="23"/>
            <x v="24"/>
            <x v="25"/>
            <x v="26"/>
            <x v="27"/>
            <x v="28"/>
            <x v="29"/>
            <x v="30"/>
            <x v="31"/>
            <x v="32"/>
            <x v="33"/>
            <x v="34"/>
            <x v="35"/>
            <x v="36"/>
            <x v="37"/>
            <x v="38"/>
            <x v="39"/>
            <x v="40"/>
            <x v="41"/>
            <x v="42"/>
            <x v="43"/>
            <x v="44"/>
            <x v="45"/>
            <x v="46"/>
            <x v="47"/>
            <x v="48"/>
            <x v="49"/>
            <x v="50"/>
          </reference>
        </references>
      </pivotArea>
    </format>
    <format dxfId="22">
      <pivotArea dataOnly="0" labelOnly="1" outline="0" fieldPosition="0">
        <references count="1">
          <reference field="2" count="2">
            <x v="10"/>
            <x v="51"/>
          </reference>
        </references>
      </pivotArea>
    </format>
    <format dxfId="21">
      <pivotArea outline="0" collapsedLevelsAreSubtotals="1" fieldPosition="0">
        <references count="1">
          <reference field="0" count="0" selected="0"/>
        </references>
      </pivotArea>
    </format>
    <format dxfId="20">
      <pivotArea dataOnly="0" labelOnly="1" outline="0" fieldPosition="0">
        <references count="1">
          <reference field="0" count="0"/>
        </references>
      </pivotArea>
    </format>
    <format dxfId="19">
      <pivotArea dataOnly="0" labelOnly="1" outline="0" offset="IV256" fieldPosition="0">
        <references count="1">
          <reference field="0" count="0"/>
        </references>
      </pivotArea>
    </format>
    <format dxfId="18">
      <pivotArea type="all" dataOnly="0" outline="0" fieldPosition="0"/>
    </format>
    <format dxfId="17">
      <pivotArea outline="0" collapsedLevelsAreSubtotals="1" fieldPosition="0"/>
    </format>
    <format dxfId="16">
      <pivotArea dataOnly="0" labelOnly="1" outline="0" fieldPosition="0">
        <references count="1">
          <reference field="0" count="0"/>
        </references>
      </pivotArea>
    </format>
    <format dxfId="15">
      <pivotArea dataOnly="0" labelOnly="1" grandRow="1" outline="0" fieldPosition="0"/>
    </format>
    <format dxfId="14">
      <pivotArea dataOnly="0" labelOnly="1" outline="0" fieldPosition="0">
        <references count="1">
          <reference field="2" count="50">
            <x v="0"/>
            <x v="1"/>
            <x v="2"/>
            <x v="3"/>
            <x v="4"/>
            <x v="5"/>
            <x v="6"/>
            <x v="7"/>
            <x v="8"/>
            <x v="9"/>
            <x v="11"/>
            <x v="12"/>
            <x v="13"/>
            <x v="14"/>
            <x v="15"/>
            <x v="16"/>
            <x v="17"/>
            <x v="18"/>
            <x v="19"/>
            <x v="20"/>
            <x v="21"/>
            <x v="22"/>
            <x v="23"/>
            <x v="24"/>
            <x v="25"/>
            <x v="26"/>
            <x v="27"/>
            <x v="28"/>
            <x v="29"/>
            <x v="30"/>
            <x v="31"/>
            <x v="32"/>
            <x v="33"/>
            <x v="34"/>
            <x v="35"/>
            <x v="36"/>
            <x v="37"/>
            <x v="38"/>
            <x v="39"/>
            <x v="40"/>
            <x v="41"/>
            <x v="42"/>
            <x v="43"/>
            <x v="44"/>
            <x v="45"/>
            <x v="46"/>
            <x v="47"/>
            <x v="48"/>
            <x v="49"/>
            <x v="50"/>
          </reference>
        </references>
      </pivotArea>
    </format>
    <format dxfId="13">
      <pivotArea dataOnly="0" labelOnly="1" outline="0" fieldPosition="0">
        <references count="1">
          <reference field="2" count="2">
            <x v="10"/>
            <x v="51"/>
          </reference>
        </references>
      </pivotArea>
    </format>
  </formats>
  <pivotTableStyleInfo name="PivotStyleMedium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queryTables/queryTable1.xml><?xml version="1.0" encoding="utf-8"?>
<queryTable xmlns="http://schemas.openxmlformats.org/spreadsheetml/2006/main" name="ExternalData_1" connectionId="6" autoFormatId="0" applyNumberFormats="0" applyBorderFormats="0" applyFontFormats="1" applyPatternFormats="1" applyAlignmentFormats="0" applyWidthHeightFormats="0">
  <queryTableRefresh preserveSortFilterLayout="0" nextId="5">
    <queryTableFields count="4">
      <queryTableField id="1" name="Услуги" tableColumnId="1"/>
      <queryTableField id="2" name="Всего" tableColumnId="2"/>
      <queryTableField id="3" name="б/пл." tableColumnId="3"/>
      <queryTableField id="4" name="пл." tableColumnId="4"/>
    </queryTableFields>
  </queryTableRefresh>
</queryTable>
</file>

<file path=xl/queryTables/queryTable2.xml><?xml version="1.0" encoding="utf-8"?>
<queryTable xmlns="http://schemas.openxmlformats.org/spreadsheetml/2006/main" name="ExternalData_1" connectionId="8" autoFormatId="0" applyNumberFormats="0" applyBorderFormats="0" applyFontFormats="1" applyPatternFormats="1" applyAlignmentFormats="0" applyWidthHeightFormats="0">
  <queryTableRefresh preserveSortFilterLayout="0" nextId="5">
    <queryTableFields count="4">
      <queryTableField id="1" name="Услуги" tableColumnId="1"/>
      <queryTableField id="2" name="Всего" tableColumnId="2"/>
      <queryTableField id="3" name="б/пл." tableColumnId="3"/>
      <queryTableField id="4" name="пл." tableColumnId="4"/>
    </queryTableFields>
  </queryTableRefresh>
</queryTable>
</file>

<file path=xl/queryTables/queryTable3.xml><?xml version="1.0" encoding="utf-8"?>
<queryTable xmlns="http://schemas.openxmlformats.org/spreadsheetml/2006/main" name="ExternalData_1" connectionId="4" autoFormatId="0" applyNumberFormats="0" applyBorderFormats="0" applyFontFormats="1" applyPatternFormats="1" applyAlignmentFormats="0" applyWidthHeightFormats="0">
  <queryTableRefresh preserveSortFilterLayout="0" nextId="5">
    <queryTableFields count="4">
      <queryTableField id="1" name="Услуги" tableColumnId="1"/>
      <queryTableField id="2" name="Всего" tableColumnId="2"/>
      <queryTableField id="3" name="б/пл." tableColumnId="3"/>
      <queryTableField id="4" name="пл." tableColumnId="4"/>
    </queryTableFields>
  </queryTableRefresh>
</queryTable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Срез_Соц._Работник" sourceName="Соц. Работник">
  <pivotTables>
    <pivotTable tabId="1" name="МесяцыСводная"/>
  </pivotTables>
  <data>
    <tabular pivotCacheId="1">
      <items count="1">
        <i x="0" s="1"/>
      </items>
    </tabular>
  </data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Срез_Соц._Работник5" sourceName="Соц. Работник">
  <pivotTables>
    <pivotTable tabId="8" name="ГодСводная"/>
  </pivotTables>
  <data>
    <tabular pivotCacheId="6">
      <items count="1">
        <i x="0" s="1"/>
      </items>
    </tabular>
  </data>
</slicerCacheDefinition>
</file>

<file path=xl/slicerCaches/slicerCache3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Срез_Признак_учета" sourceName="Признак учета">
  <pivotTables>
    <pivotTable tabId="1" name="МесяцыСводная"/>
  </pivotTables>
  <data>
    <tabular pivotCacheId="1">
      <items count="1">
        <i x="0" s="1"/>
      </items>
    </tabular>
  </data>
</slicerCacheDefinition>
</file>

<file path=xl/slicerCaches/slicerCache4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Срез_Соц._Работник1" sourceName="Соц. Работник">
  <pivotTables>
    <pivotTable tabId="9" name="ПериодСводная"/>
  </pivotTables>
  <data>
    <tabular pivotCacheId="7">
      <items count="1">
        <i x="0" s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mc:Ignorable="x">
  <slicer name="Соц. Работник" cache="Срез_Соц._Работник" caption="Соц. Работник" rowHeight="241300"/>
  <slicer name="Признак учета" cache="Срез_Признак_учета" caption="Признак учета" rowHeight="241300"/>
</slicers>
</file>

<file path=xl/slicers/slicer2.xml><?xml version="1.0" encoding="utf-8"?>
<slicers xmlns="http://schemas.microsoft.com/office/spreadsheetml/2009/9/main" xmlns:mc="http://schemas.openxmlformats.org/markup-compatibility/2006" xmlns:x="http://schemas.openxmlformats.org/spreadsheetml/2006/main" mc:Ignorable="x">
  <slicer name="Соц. Работник 1" cache="Срез_Соц._Работник1" caption="Соц. Работник" rowHeight="241300"/>
</slicers>
</file>

<file path=xl/slicers/slicer3.xml><?xml version="1.0" encoding="utf-8"?>
<slicers xmlns="http://schemas.microsoft.com/office/spreadsheetml/2009/9/main" xmlns:mc="http://schemas.openxmlformats.org/markup-compatibility/2006" xmlns:x="http://schemas.openxmlformats.org/spreadsheetml/2006/main" mc:Ignorable="x">
  <slicer name="Соц. Работник 5" cache="Срез_Соц._Работник5" caption="Соц. Работник" rowHeight="241300"/>
</slicer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table1.xml><?xml version="1.0" encoding="utf-8"?>
<table xmlns="http://schemas.openxmlformats.org/spreadsheetml/2006/main" id="1" name="Параметры" displayName="Параметры" ref="A4:A5" totalsRowShown="0" headerRowDxfId="1532" dataDxfId="1531">
  <autoFilter ref="A4:A5">
    <filterColumn colId="0" hiddenButton="1"/>
  </autoFilter>
  <tableColumns count="1">
    <tableColumn id="1" name="Путь к исходным данным" dataDxfId="1530">
      <calculatedColumnFormula>A2&amp;C5&amp;C2</calculatedColumnFormula>
    </tableColumn>
  </tableColumns>
  <tableStyleInfo name="TableStyleLight15" showFirstColumn="0" showLastColumn="0" showRowStripes="1" showColumnStripes="0"/>
</table>
</file>

<file path=xl/tables/table2.xml><?xml version="1.0" encoding="utf-8"?>
<table xmlns="http://schemas.openxmlformats.org/spreadsheetml/2006/main" id="2" name="Месяцы" displayName="Месяцы" ref="G1:H13" totalsRowShown="0" headerRowDxfId="1529" dataDxfId="1528">
  <autoFilter ref="G1:H13">
    <filterColumn colId="0" hiddenButton="1"/>
    <filterColumn colId="1" hiddenButton="1"/>
  </autoFilter>
  <tableColumns count="2">
    <tableColumn id="1" name="Месяцы" dataDxfId="1527"/>
    <tableColumn id="2" name="Число" dataDxfId="1526"/>
  </tableColumns>
  <tableStyleInfo name="TableStyleLight15" showFirstColumn="0" showLastColumn="0" showRowStripes="1" showColumnStripes="0"/>
</table>
</file>

<file path=xl/tables/table3.xml><?xml version="1.0" encoding="utf-8"?>
<table xmlns="http://schemas.openxmlformats.org/spreadsheetml/2006/main" id="4" name="ВыборДанных" displayName="ВыборДанных" ref="B1:B2" totalsRowShown="0" headerRowDxfId="616" dataDxfId="614" headerRowBorderDxfId="615" tableBorderDxfId="613" totalsRowBorderDxfId="612">
  <autoFilter ref="B1:B2">
    <filterColumn colId="0" hiddenButton="1"/>
  </autoFilter>
  <tableColumns count="1">
    <tableColumn id="1" name="Месяц" dataDxfId="611"/>
  </tableColumns>
  <tableStyleInfo name="TableStyleLight9" showFirstColumn="0" showLastColumn="0" showRowStripes="1" showColumnStripes="0"/>
</table>
</file>

<file path=xl/tables/table4.xml><?xml version="1.0" encoding="utf-8"?>
<table xmlns="http://schemas.openxmlformats.org/spreadsheetml/2006/main" id="5" name="МесяцыИтоги" displayName="МесяцыИтоги" ref="A4:D5" tableType="queryTable" totalsRowShown="0" headerRowDxfId="610" dataDxfId="609">
  <autoFilter ref="A4:D5"/>
  <tableColumns count="4">
    <tableColumn id="1" uniqueName="1" name="Услуги" queryTableFieldId="1" dataDxfId="608"/>
    <tableColumn id="2" uniqueName="2" name="Всего" queryTableFieldId="2" dataDxfId="607"/>
    <tableColumn id="3" uniqueName="3" name="б/пл." queryTableFieldId="3" dataDxfId="606"/>
    <tableColumn id="4" uniqueName="4" name="пл." queryTableFieldId="4" dataDxfId="605"/>
  </tableColumns>
  <tableStyleInfo name="TableStyleLight15" showFirstColumn="0" showLastColumn="0" showRowStripes="1" showColumnStripes="0"/>
</table>
</file>

<file path=xl/tables/table5.xml><?xml version="1.0" encoding="utf-8"?>
<table xmlns="http://schemas.openxmlformats.org/spreadsheetml/2006/main" id="8" name="МесяцыВсего" displayName="МесяцыВсего" ref="F4:J5" totalsRowShown="0" headerRowDxfId="604" dataDxfId="603">
  <autoFilter ref="F4:J5">
    <filterColumn colId="0" hiddenButton="1"/>
    <filterColumn colId="1" hiddenButton="1"/>
    <filterColumn colId="2" hiddenButton="1"/>
    <filterColumn colId="3" hiddenButton="1"/>
    <filterColumn colId="4" hiddenButton="1"/>
  </autoFilter>
  <tableColumns count="5">
    <tableColumn id="5" name="Всего 1" dataDxfId="602">
      <calculatedColumnFormula>SUM(МесяцыИтоги[Всего])</calculatedColumnFormula>
    </tableColumn>
    <tableColumn id="1" name="Всего 2" dataDxfId="601">
      <calculatedColumnFormula>GETPIVOTDATA("Значения услуг",$A$7,"Услуги","Итого")</calculatedColumnFormula>
    </tableColumn>
    <tableColumn id="4" name="Сумма" dataDxfId="600">
      <calculatedColumnFormula>МесяцыВсего[б/пл.]+МесяцыВсего[пл.]</calculatedColumnFormula>
    </tableColumn>
    <tableColumn id="2" name="б/пл." dataDxfId="599">
      <calculatedColumnFormula>SUM(МесяцыИтоги[б/пл.])</calculatedColumnFormula>
    </tableColumn>
    <tableColumn id="3" name="пл." dataDxfId="598">
      <calculatedColumnFormula>SUM(МесяцыИтоги[пл.])</calculatedColumnFormula>
    </tableColumn>
  </tableColumns>
  <tableStyleInfo name="TableStyleLight15" showFirstColumn="0" showLastColumn="0" showRowStripes="1" showColumnStripes="0"/>
</table>
</file>

<file path=xl/tables/table6.xml><?xml version="1.0" encoding="utf-8"?>
<table xmlns="http://schemas.openxmlformats.org/spreadsheetml/2006/main" id="3" name="Диапазон" displayName="Диапазон" ref="B1:C2" totalsRowShown="0" headerRowDxfId="131" dataDxfId="130" tableBorderDxfId="129">
  <autoFilter ref="B1:C2">
    <filterColumn colId="0" hiddenButton="1"/>
    <filterColumn colId="1" hiddenButton="1"/>
  </autoFilter>
  <tableColumns count="2">
    <tableColumn id="1" name="Начало" dataDxfId="128"/>
    <tableColumn id="2" name="Конец" dataDxfId="127"/>
  </tableColumns>
  <tableStyleInfo name="TableStyleLight9" showFirstColumn="0" showLastColumn="0" showRowStripes="1" showColumnStripes="0"/>
</table>
</file>

<file path=xl/tables/table7.xml><?xml version="1.0" encoding="utf-8"?>
<table xmlns="http://schemas.openxmlformats.org/spreadsheetml/2006/main" id="6" name="ПериодИтоги" displayName="ПериодИтоги" ref="A4:D5" tableType="queryTable" totalsRowShown="0" headerRowDxfId="126" dataDxfId="125">
  <autoFilter ref="A4:D5"/>
  <tableColumns count="4">
    <tableColumn id="1" uniqueName="1" name="Услуги" queryTableFieldId="1" dataDxfId="124"/>
    <tableColumn id="2" uniqueName="2" name="Всего" queryTableFieldId="2" dataDxfId="123"/>
    <tableColumn id="3" uniqueName="3" name="б/пл." queryTableFieldId="3" dataDxfId="122"/>
    <tableColumn id="4" uniqueName="4" name="пл." queryTableFieldId="4" dataDxfId="121"/>
  </tableColumns>
  <tableStyleInfo name="TableStyleLight15" showFirstColumn="0" showLastColumn="0" showRowStripes="1" showColumnStripes="0"/>
</table>
</file>

<file path=xl/tables/table8.xml><?xml version="1.0" encoding="utf-8"?>
<table xmlns="http://schemas.openxmlformats.org/spreadsheetml/2006/main" id="7" name="ПериодВсего" displayName="ПериодВсего" ref="F4:J5" totalsRowShown="0" headerRowDxfId="120" dataDxfId="119">
  <autoFilter ref="F4:J5">
    <filterColumn colId="0" hiddenButton="1"/>
    <filterColumn colId="1" hiddenButton="1"/>
    <filterColumn colId="2" hiddenButton="1"/>
    <filterColumn colId="3" hiddenButton="1"/>
    <filterColumn colId="4" hiddenButton="1"/>
  </autoFilter>
  <tableColumns count="5">
    <tableColumn id="5" name="Всего 1" dataDxfId="118">
      <calculatedColumnFormula>SUM(ПериодИтоги[Всего])</calculatedColumnFormula>
    </tableColumn>
    <tableColumn id="2" name="Всего 2" dataDxfId="117">
      <calculatedColumnFormula>GETPIVOTDATA("Значения услуг",$A$7,"Услуги","Итого")</calculatedColumnFormula>
    </tableColumn>
    <tableColumn id="1" name="Сумма" dataDxfId="116">
      <calculatedColumnFormula>ПериодВсего[б/пл.]+ПериодВсего[пл.]</calculatedColumnFormula>
    </tableColumn>
    <tableColumn id="3" name="б/пл." dataDxfId="115">
      <calculatedColumnFormula>SUM(ПериодИтоги[б/пл.])</calculatedColumnFormula>
    </tableColumn>
    <tableColumn id="4" name="пл." dataDxfId="114">
      <calculatedColumnFormula>SUM(ПериодИтоги[пл.])</calculatedColumnFormula>
    </tableColumn>
  </tableColumns>
  <tableStyleInfo name="TableStyleLight15" showFirstColumn="0" showLastColumn="0" showRowStripes="1" showColumnStripes="0"/>
</table>
</file>

<file path=xl/tables/table9.xml><?xml version="1.0" encoding="utf-8"?>
<table xmlns="http://schemas.openxmlformats.org/spreadsheetml/2006/main" id="16" name="ГодИтоги" displayName="ГодИтоги" ref="A4:D5" tableType="queryTable" totalsRowShown="0" headerRowDxfId="8" dataDxfId="7">
  <autoFilter ref="A4:D5"/>
  <tableColumns count="4">
    <tableColumn id="1" uniqueName="1" name="Услуги" queryTableFieldId="1" dataDxfId="12"/>
    <tableColumn id="2" uniqueName="2" name="Всего" queryTableFieldId="2" dataDxfId="11"/>
    <tableColumn id="3" uniqueName="3" name="б/пл." queryTableFieldId="3" dataDxfId="10"/>
    <tableColumn id="4" uniqueName="4" name="пл." queryTableFieldId="4" dataDxfId="9"/>
  </tableColumns>
  <tableStyleInfo name="TableStyleLight15" showFirstColumn="0" showLastColumn="0" showRowStripes="1" showColumnStripes="0"/>
</table>
</file>

<file path=xl/tables/table10.xml><?xml version="1.0" encoding="utf-8"?>
<table xmlns="http://schemas.openxmlformats.org/spreadsheetml/2006/main" id="9" name="ГодВсего" displayName="ГодВсего" ref="F4:J5" totalsRowShown="0" headerRowDxfId="1" dataDxfId="0">
  <autoFilter ref="F4:J5">
    <filterColumn colId="0" hiddenButton="1"/>
    <filterColumn colId="1" hiddenButton="1"/>
    <filterColumn colId="2" hiddenButton="1"/>
    <filterColumn colId="3" hiddenButton="1"/>
    <filterColumn colId="4" hiddenButton="1"/>
  </autoFilter>
  <tableColumns count="5">
    <tableColumn id="5" name="Всего 1" dataDxfId="6">
      <calculatedColumnFormula>SUM(ГодИтоги[Всего])</calculatedColumnFormula>
    </tableColumn>
    <tableColumn id="1" name="Всего 2" dataDxfId="5">
      <calculatedColumnFormula>GETPIVOTDATA("Значения услуг",$A$7,"Услуги","Итого")</calculatedColumnFormula>
    </tableColumn>
    <tableColumn id="4" name="Сумма" dataDxfId="4">
      <calculatedColumnFormula>ГодВсего[б/пл.]+ГодВсего[пл.]</calculatedColumnFormula>
    </tableColumn>
    <tableColumn id="2" name="б/пл." dataDxfId="3">
      <calculatedColumnFormula>SUM(ГодИтоги[б/пл.])</calculatedColumnFormula>
    </tableColumn>
    <tableColumn id="3" name="пл." dataDxfId="2">
      <calculatedColumnFormula>SUM(ГодИтоги[пл.])</calculatedColumnFormula>
    </tableColumn>
  </tableColumns>
  <tableStyleInfo name="TableStyleLight15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7" Type="http://schemas.microsoft.com/office/2007/relationships/slicer" Target="../slicers/slicer1.xml"/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1.xml"/><Relationship Id="rId6" Type="http://schemas.openxmlformats.org/officeDocument/2006/relationships/table" Target="../tables/table5.xml"/><Relationship Id="rId5" Type="http://schemas.openxmlformats.org/officeDocument/2006/relationships/table" Target="../tables/table4.xml"/><Relationship Id="rId4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7" Type="http://schemas.microsoft.com/office/2007/relationships/slicer" Target="../slicers/slicer2.xml"/><Relationship Id="rId2" Type="http://schemas.openxmlformats.org/officeDocument/2006/relationships/printerSettings" Target="../printerSettings/printerSettings4.bin"/><Relationship Id="rId1" Type="http://schemas.openxmlformats.org/officeDocument/2006/relationships/pivotTable" Target="../pivotTables/pivotTable2.xml"/><Relationship Id="rId6" Type="http://schemas.openxmlformats.org/officeDocument/2006/relationships/table" Target="../tables/table8.xml"/><Relationship Id="rId5" Type="http://schemas.openxmlformats.org/officeDocument/2006/relationships/table" Target="../tables/table7.xml"/><Relationship Id="rId4" Type="http://schemas.openxmlformats.org/officeDocument/2006/relationships/table" Target="../tables/table6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5.bin"/><Relationship Id="rId1" Type="http://schemas.openxmlformats.org/officeDocument/2006/relationships/pivotTable" Target="../pivotTables/pivotTable3.xml"/><Relationship Id="rId6" Type="http://schemas.microsoft.com/office/2007/relationships/slicer" Target="../slicers/slicer3.xml"/><Relationship Id="rId5" Type="http://schemas.openxmlformats.org/officeDocument/2006/relationships/table" Target="../tables/table10.xml"/><Relationship Id="rId4" Type="http://schemas.openxmlformats.org/officeDocument/2006/relationships/table" Target="../tables/table9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1:H13"/>
  <sheetViews>
    <sheetView workbookViewId="0">
      <selection activeCell="E3" sqref="E3"/>
    </sheetView>
  </sheetViews>
  <sheetFormatPr defaultColWidth="9.140625" defaultRowHeight="15.75" x14ac:dyDescent="0.25"/>
  <cols>
    <col min="1" max="1" width="46.5703125" style="6" bestFit="1" customWidth="1"/>
    <col min="2" max="2" width="9.140625" style="1" customWidth="1"/>
    <col min="3" max="3" width="33" style="1" bestFit="1" customWidth="1"/>
    <col min="4" max="4" width="9.140625" style="1"/>
    <col min="5" max="5" width="30.28515625" style="9" bestFit="1" customWidth="1"/>
    <col min="6" max="6" width="9.140625" style="1"/>
    <col min="7" max="7" width="11" style="1" customWidth="1"/>
    <col min="8" max="16384" width="9.140625" style="1"/>
  </cols>
  <sheetData>
    <row r="1" spans="1:8" s="4" customFormat="1" ht="31.5" x14ac:dyDescent="0.25">
      <c r="A1" s="10" t="s">
        <v>1</v>
      </c>
      <c r="C1" s="11" t="s">
        <v>5</v>
      </c>
      <c r="E1" s="7" t="s">
        <v>21</v>
      </c>
      <c r="G1" s="4" t="s">
        <v>23</v>
      </c>
      <c r="H1" s="33" t="s">
        <v>37</v>
      </c>
    </row>
    <row r="2" spans="1:8" ht="32.25" thickBot="1" x14ac:dyDescent="0.3">
      <c r="A2" s="5" t="s">
        <v>45</v>
      </c>
      <c r="C2" s="3" t="s">
        <v>6</v>
      </c>
      <c r="E2" s="8" t="s">
        <v>46</v>
      </c>
      <c r="G2" s="1" t="s">
        <v>4</v>
      </c>
      <c r="H2" s="32">
        <v>1</v>
      </c>
    </row>
    <row r="3" spans="1:8" ht="16.5" thickBot="1" x14ac:dyDescent="0.3">
      <c r="E3" s="8"/>
      <c r="G3" s="1" t="s">
        <v>9</v>
      </c>
      <c r="H3" s="32">
        <v>2</v>
      </c>
    </row>
    <row r="4" spans="1:8" x14ac:dyDescent="0.25">
      <c r="A4" s="6" t="s">
        <v>0</v>
      </c>
      <c r="C4" s="2" t="s">
        <v>22</v>
      </c>
      <c r="E4" s="8"/>
      <c r="G4" s="1" t="s">
        <v>10</v>
      </c>
      <c r="H4" s="32">
        <v>3</v>
      </c>
    </row>
    <row r="5" spans="1:8" ht="32.25" thickBot="1" x14ac:dyDescent="0.3">
      <c r="A5" s="6" t="str">
        <f>A2&amp;C5&amp;C2</f>
        <v>D:\Загрузки\Разработка\Social_Develop\social-services-2025\Услуги-Сиделка-2025.xlsm</v>
      </c>
      <c r="C5" s="3" t="s">
        <v>46</v>
      </c>
      <c r="G5" s="1" t="s">
        <v>11</v>
      </c>
      <c r="H5" s="32">
        <v>4</v>
      </c>
    </row>
    <row r="6" spans="1:8" x14ac:dyDescent="0.25">
      <c r="G6" s="1" t="s">
        <v>12</v>
      </c>
      <c r="H6" s="32">
        <v>5</v>
      </c>
    </row>
    <row r="7" spans="1:8" x14ac:dyDescent="0.25">
      <c r="G7" s="1" t="s">
        <v>13</v>
      </c>
      <c r="H7" s="32">
        <v>6</v>
      </c>
    </row>
    <row r="8" spans="1:8" x14ac:dyDescent="0.25">
      <c r="A8" s="12"/>
      <c r="B8" s="13"/>
      <c r="C8" s="13"/>
      <c r="G8" s="1" t="s">
        <v>14</v>
      </c>
      <c r="H8" s="32">
        <v>7</v>
      </c>
    </row>
    <row r="9" spans="1:8" x14ac:dyDescent="0.25">
      <c r="A9" s="14"/>
      <c r="B9" s="13"/>
      <c r="C9" s="13"/>
      <c r="G9" s="1" t="s">
        <v>15</v>
      </c>
      <c r="H9" s="32">
        <v>8</v>
      </c>
    </row>
    <row r="10" spans="1:8" x14ac:dyDescent="0.25">
      <c r="A10" s="14"/>
      <c r="B10" s="13"/>
      <c r="C10" s="13"/>
      <c r="G10" s="1" t="s">
        <v>16</v>
      </c>
      <c r="H10" s="32">
        <v>9</v>
      </c>
    </row>
    <row r="11" spans="1:8" x14ac:dyDescent="0.25">
      <c r="A11" s="14"/>
      <c r="B11" s="13"/>
      <c r="C11" s="13"/>
      <c r="G11" s="1" t="s">
        <v>17</v>
      </c>
      <c r="H11" s="32">
        <v>10</v>
      </c>
    </row>
    <row r="12" spans="1:8" x14ac:dyDescent="0.25">
      <c r="A12" s="14"/>
      <c r="B12" s="13"/>
      <c r="C12" s="13"/>
      <c r="G12" s="1" t="s">
        <v>18</v>
      </c>
      <c r="H12" s="32">
        <v>11</v>
      </c>
    </row>
    <row r="13" spans="1:8" x14ac:dyDescent="0.25">
      <c r="A13" s="14"/>
      <c r="B13" s="13"/>
      <c r="C13" s="13"/>
      <c r="G13" s="1" t="s">
        <v>19</v>
      </c>
      <c r="H13" s="32">
        <v>12</v>
      </c>
    </row>
  </sheetData>
  <dataValidations count="1">
    <dataValidation type="list" allowBlank="1" showInputMessage="1" showErrorMessage="1" sqref="C5">
      <formula1>СписокФайлов</formula1>
    </dataValidation>
  </dataValidations>
  <pageMargins left="0.7" right="0.7" top="0.75" bottom="0.75" header="0.3" footer="0.3"/>
  <pageSetup paperSize="9" orientation="portrait" horizontalDpi="300" verticalDpi="300" r:id="rId1"/>
  <tableParts count="2">
    <tablePart r:id="rId2"/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B1:E8"/>
  <sheetViews>
    <sheetView zoomScale="90" zoomScaleNormal="90" workbookViewId="0">
      <selection activeCell="C8" sqref="C8"/>
    </sheetView>
  </sheetViews>
  <sheetFormatPr defaultColWidth="9.140625" defaultRowHeight="15.75" x14ac:dyDescent="0.25"/>
  <cols>
    <col min="1" max="1" width="9.140625" style="1"/>
    <col min="2" max="4" width="28.5703125" style="1" customWidth="1"/>
    <col min="5" max="5" width="28.7109375" style="1" customWidth="1"/>
    <col min="6" max="16384" width="9.140625" style="1"/>
  </cols>
  <sheetData>
    <row r="1" spans="2:5" ht="25.5" x14ac:dyDescent="0.25">
      <c r="B1" s="44" t="s">
        <v>7</v>
      </c>
      <c r="C1" s="44"/>
      <c r="D1" s="44"/>
      <c r="E1" s="44"/>
    </row>
    <row r="2" spans="2:5" ht="18.75" x14ac:dyDescent="0.25">
      <c r="B2" s="45" t="s">
        <v>8</v>
      </c>
      <c r="C2" s="45"/>
      <c r="D2" s="45"/>
      <c r="E2" s="45"/>
    </row>
    <row r="3" spans="2:5" ht="16.5" thickBot="1" x14ac:dyDescent="0.3"/>
    <row r="4" spans="2:5" ht="18.75" x14ac:dyDescent="0.25">
      <c r="B4" s="46" t="s">
        <v>23</v>
      </c>
      <c r="C4" s="47"/>
      <c r="D4" s="47"/>
      <c r="E4" s="48"/>
    </row>
    <row r="5" spans="2:5" ht="18.75" x14ac:dyDescent="0.25">
      <c r="B5" s="52" t="s">
        <v>41</v>
      </c>
      <c r="C5" s="53"/>
      <c r="D5" s="53"/>
      <c r="E5" s="54"/>
    </row>
    <row r="6" spans="2:5" ht="19.5" thickBot="1" x14ac:dyDescent="0.3">
      <c r="B6" s="49" t="s">
        <v>36</v>
      </c>
      <c r="C6" s="50"/>
      <c r="D6" s="50"/>
      <c r="E6" s="51"/>
    </row>
    <row r="8" spans="2:5" ht="18.75" x14ac:dyDescent="0.25">
      <c r="B8" s="15" t="s">
        <v>20</v>
      </c>
    </row>
  </sheetData>
  <mergeCells count="5">
    <mergeCell ref="B1:E1"/>
    <mergeCell ref="B2:E2"/>
    <mergeCell ref="B4:E4"/>
    <mergeCell ref="B6:E6"/>
    <mergeCell ref="B5:E5"/>
  </mergeCells>
  <hyperlinks>
    <hyperlink ref="B8" location="Настройки!A1" display="Настройки"/>
    <hyperlink ref="B4:E4" location="Месяцы!A1" display="Месяцы"/>
    <hyperlink ref="B6:E6" location="Год!A1" display="Год"/>
    <hyperlink ref="B5:E5" location="Период!A1" display="Период"/>
  </hyperlinks>
  <pageMargins left="0.7" right="0.7" top="0.75" bottom="0.75" header="0.3" footer="0.3"/>
  <pageSetup paperSize="9" orientation="portrait" horizontalDpi="300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1:BB369"/>
  <sheetViews>
    <sheetView tabSelected="1" view="pageBreakPreview" zoomScale="70" zoomScaleNormal="70" zoomScaleSheetLayoutView="70" workbookViewId="0">
      <pane ySplit="8" topLeftCell="A9" activePane="bottomLeft" state="frozen"/>
      <selection pane="bottomLeft" activeCell="C2" sqref="C2"/>
    </sheetView>
  </sheetViews>
  <sheetFormatPr defaultColWidth="9.140625" defaultRowHeight="15.75" x14ac:dyDescent="0.25"/>
  <cols>
    <col min="1" max="1" width="25.5703125" style="18" bestFit="1" customWidth="1"/>
    <col min="2" max="2" width="29.42578125" style="18" bestFit="1" customWidth="1"/>
    <col min="3" max="3" width="17" style="18" bestFit="1" customWidth="1"/>
    <col min="4" max="4" width="9" style="18" bestFit="1" customWidth="1"/>
    <col min="5" max="5" width="7.5703125" style="18" bestFit="1" customWidth="1"/>
    <col min="6" max="7" width="9.42578125" style="18" bestFit="1" customWidth="1"/>
    <col min="8" max="8" width="9" style="18" bestFit="1" customWidth="1"/>
    <col min="9" max="9" width="7.5703125" style="18" bestFit="1" customWidth="1"/>
    <col min="10" max="10" width="5.140625" style="18" bestFit="1" customWidth="1"/>
    <col min="11" max="11" width="4.42578125" style="18" customWidth="1"/>
    <col min="12" max="12" width="7.5703125" style="18" bestFit="1" customWidth="1"/>
    <col min="13" max="14" width="4.42578125" style="18" customWidth="1"/>
    <col min="15" max="15" width="7.5703125" style="18" bestFit="1" customWidth="1"/>
    <col min="16" max="16" width="10.5703125" style="18" bestFit="1" customWidth="1"/>
    <col min="17" max="17" width="13.7109375" style="18" bestFit="1" customWidth="1"/>
    <col min="18" max="18" width="4.42578125" style="18" customWidth="1"/>
    <col min="19" max="19" width="7.5703125" style="18" bestFit="1" customWidth="1"/>
    <col min="20" max="21" width="4.42578125" style="18" customWidth="1"/>
    <col min="22" max="23" width="7.5703125" style="18" bestFit="1" customWidth="1"/>
    <col min="24" max="25" width="4.42578125" style="18" customWidth="1"/>
    <col min="26" max="27" width="7.5703125" style="18" bestFit="1" customWidth="1"/>
    <col min="28" max="30" width="4.42578125" style="18" customWidth="1"/>
    <col min="31" max="31" width="7.5703125" style="18" bestFit="1" customWidth="1"/>
    <col min="32" max="32" width="4.42578125" style="18" customWidth="1"/>
    <col min="33" max="33" width="7.5703125" style="18" bestFit="1" customWidth="1"/>
    <col min="34" max="34" width="4.42578125" style="18" customWidth="1"/>
    <col min="35" max="35" width="7.5703125" style="18" bestFit="1" customWidth="1"/>
    <col min="36" max="36" width="10.5703125" style="18" bestFit="1" customWidth="1"/>
    <col min="37" max="37" width="7.5703125" style="18" bestFit="1" customWidth="1"/>
    <col min="38" max="38" width="10.5703125" style="18" bestFit="1" customWidth="1"/>
    <col min="39" max="39" width="13.7109375" style="18" bestFit="1" customWidth="1"/>
    <col min="40" max="40" width="10.5703125" style="18" bestFit="1" customWidth="1"/>
    <col min="41" max="41" width="4.42578125" style="18" customWidth="1"/>
    <col min="42" max="42" width="7.5703125" style="18" bestFit="1" customWidth="1"/>
    <col min="43" max="43" width="4.42578125" style="18" customWidth="1"/>
    <col min="44" max="44" width="7.5703125" style="18" bestFit="1" customWidth="1"/>
    <col min="45" max="46" width="10.5703125" style="18" bestFit="1" customWidth="1"/>
    <col min="47" max="48" width="7.5703125" style="18" bestFit="1" customWidth="1"/>
    <col min="49" max="50" width="10.5703125" style="18" bestFit="1" customWidth="1"/>
    <col min="51" max="51" width="7.5703125" style="18" bestFit="1" customWidth="1"/>
    <col min="52" max="52" width="10.5703125" style="18" bestFit="1" customWidth="1"/>
    <col min="53" max="53" width="13.7109375" style="18" bestFit="1" customWidth="1"/>
    <col min="54" max="54" width="10.5703125" style="18" bestFit="1" customWidth="1"/>
    <col min="55" max="63" width="10.28515625" style="18" customWidth="1"/>
    <col min="64" max="64" width="10.85546875" style="18" customWidth="1"/>
    <col min="65" max="68" width="10.28515625" style="18" customWidth="1"/>
    <col min="69" max="69" width="13" style="18" customWidth="1"/>
    <col min="70" max="80" width="10.28515625" style="18" customWidth="1"/>
    <col min="81" max="81" width="10.85546875" style="18" customWidth="1"/>
    <col min="82" max="82" width="10.28515625" style="18" customWidth="1"/>
    <col min="83" max="83" width="3.85546875" style="18" customWidth="1"/>
    <col min="84" max="84" width="18.140625" style="18" customWidth="1"/>
    <col min="85" max="85" width="15.7109375" style="18" customWidth="1"/>
    <col min="86" max="87" width="14.140625" style="18" customWidth="1"/>
    <col min="88" max="88" width="23.140625" style="18" customWidth="1"/>
    <col min="89" max="89" width="30.140625" style="18" customWidth="1"/>
    <col min="90" max="90" width="29.140625" style="18" customWidth="1"/>
    <col min="91" max="91" width="21.5703125" style="18" customWidth="1"/>
    <col min="92" max="92" width="41.28515625" style="18" customWidth="1"/>
    <col min="93" max="93" width="18" style="18" customWidth="1"/>
    <col min="94" max="94" width="19.28515625" style="18" customWidth="1"/>
    <col min="95" max="95" width="35.5703125" style="18" customWidth="1"/>
    <col min="96" max="96" width="50.42578125" style="18" customWidth="1"/>
    <col min="97" max="97" width="44.140625" style="18" customWidth="1"/>
    <col min="98" max="98" width="24.42578125" style="18" customWidth="1"/>
    <col min="99" max="99" width="11.5703125" style="18" customWidth="1"/>
    <col min="100" max="100" width="8.5703125" style="18" customWidth="1"/>
    <col min="101" max="101" width="57.28515625" style="18" customWidth="1"/>
    <col min="102" max="102" width="43.28515625" style="18" customWidth="1"/>
    <col min="103" max="103" width="12.28515625" style="18" customWidth="1"/>
    <col min="104" max="104" width="28.140625" style="18" customWidth="1"/>
    <col min="105" max="105" width="27.140625" style="18" customWidth="1"/>
    <col min="106" max="106" width="37.85546875" style="18" customWidth="1"/>
    <col min="107" max="107" width="41.7109375" style="18" customWidth="1"/>
    <col min="108" max="108" width="45.42578125" style="18" customWidth="1"/>
    <col min="109" max="109" width="31.42578125" style="18" customWidth="1"/>
    <col min="110" max="110" width="38.140625" style="18" customWidth="1"/>
    <col min="111" max="111" width="10.7109375" style="18" customWidth="1"/>
    <col min="112" max="112" width="19.28515625" style="18" customWidth="1"/>
    <col min="113" max="113" width="50.85546875" style="18" customWidth="1"/>
    <col min="114" max="114" width="35.5703125" style="18" customWidth="1"/>
    <col min="115" max="115" width="16.28515625" style="18" customWidth="1"/>
    <col min="116" max="116" width="10" style="18" bestFit="1" customWidth="1"/>
    <col min="117" max="117" width="43.5703125" style="18" bestFit="1" customWidth="1"/>
    <col min="118" max="118" width="23.5703125" style="18" bestFit="1" customWidth="1"/>
    <col min="119" max="119" width="36.5703125" style="18" bestFit="1" customWidth="1"/>
    <col min="120" max="120" width="15" style="18" bestFit="1" customWidth="1"/>
    <col min="121" max="121" width="43.42578125" style="18" bestFit="1" customWidth="1"/>
    <col min="122" max="122" width="18.140625" style="18" bestFit="1" customWidth="1"/>
    <col min="123" max="123" width="15.7109375" style="18" bestFit="1" customWidth="1"/>
    <col min="124" max="125" width="14.140625" style="18" bestFit="1" customWidth="1"/>
    <col min="126" max="126" width="23.140625" style="18" bestFit="1" customWidth="1"/>
    <col min="127" max="127" width="30.140625" style="18" bestFit="1" customWidth="1"/>
    <col min="128" max="128" width="29.140625" style="18" bestFit="1" customWidth="1"/>
    <col min="129" max="129" width="21.5703125" style="18" bestFit="1" customWidth="1"/>
    <col min="130" max="130" width="41.28515625" style="18" bestFit="1" customWidth="1"/>
    <col min="131" max="131" width="18" style="18" bestFit="1" customWidth="1"/>
    <col min="132" max="132" width="19.28515625" style="18" bestFit="1" customWidth="1"/>
    <col min="133" max="133" width="35.5703125" style="18" bestFit="1" customWidth="1"/>
    <col min="134" max="134" width="50.42578125" style="18" customWidth="1"/>
    <col min="135" max="135" width="44.140625" style="18" bestFit="1" customWidth="1"/>
    <col min="136" max="136" width="24.42578125" style="18" bestFit="1" customWidth="1"/>
    <col min="137" max="137" width="11.5703125" style="18" bestFit="1" customWidth="1"/>
    <col min="138" max="138" width="8.5703125" style="18" customWidth="1"/>
    <col min="139" max="139" width="57.28515625" style="18" bestFit="1" customWidth="1"/>
    <col min="140" max="140" width="43.28515625" style="18" bestFit="1" customWidth="1"/>
    <col min="141" max="141" width="12.28515625" style="18" customWidth="1"/>
    <col min="142" max="142" width="28.140625" style="18" bestFit="1" customWidth="1"/>
    <col min="143" max="143" width="27.140625" style="18" bestFit="1" customWidth="1"/>
    <col min="144" max="144" width="37.85546875" style="18" bestFit="1" customWidth="1"/>
    <col min="145" max="145" width="41.7109375" style="18" customWidth="1"/>
    <col min="146" max="146" width="45.42578125" style="18" bestFit="1" customWidth="1"/>
    <col min="147" max="147" width="31.42578125" style="18" bestFit="1" customWidth="1"/>
    <col min="148" max="148" width="38.140625" style="18" bestFit="1" customWidth="1"/>
    <col min="149" max="149" width="10.7109375" style="18" bestFit="1" customWidth="1"/>
    <col min="150" max="150" width="19.28515625" style="18" bestFit="1" customWidth="1"/>
    <col min="151" max="151" width="50.85546875" style="18" bestFit="1" customWidth="1"/>
    <col min="152" max="152" width="35.5703125" style="18" bestFit="1" customWidth="1"/>
    <col min="153" max="153" width="16.28515625" style="18" bestFit="1" customWidth="1"/>
    <col min="154" max="16384" width="9.140625" style="18"/>
  </cols>
  <sheetData>
    <row r="1" spans="1:54" ht="22.5" x14ac:dyDescent="0.3">
      <c r="A1" s="16" t="s">
        <v>2</v>
      </c>
      <c r="B1" s="17" t="s">
        <v>28</v>
      </c>
    </row>
    <row r="2" spans="1:54" ht="22.5" x14ac:dyDescent="0.3">
      <c r="A2" s="16" t="s">
        <v>3</v>
      </c>
      <c r="B2" s="19" t="s">
        <v>4</v>
      </c>
    </row>
    <row r="4" spans="1:54" x14ac:dyDescent="0.25">
      <c r="A4" s="20" t="s">
        <v>2</v>
      </c>
      <c r="B4" s="20" t="s">
        <v>24</v>
      </c>
      <c r="C4" s="20" t="s">
        <v>25</v>
      </c>
      <c r="D4" s="21" t="s">
        <v>26</v>
      </c>
      <c r="F4" s="39" t="s">
        <v>43</v>
      </c>
      <c r="G4" s="18" t="s">
        <v>42</v>
      </c>
      <c r="H4" s="18" t="s">
        <v>40</v>
      </c>
      <c r="I4" s="18" t="s">
        <v>25</v>
      </c>
      <c r="J4" s="18" t="s">
        <v>26</v>
      </c>
    </row>
    <row r="5" spans="1:54" x14ac:dyDescent="0.25">
      <c r="A5" s="20" t="s">
        <v>27</v>
      </c>
      <c r="B5" s="20">
        <v>0</v>
      </c>
      <c r="C5" s="20">
        <v>0</v>
      </c>
      <c r="D5" s="21">
        <v>0</v>
      </c>
      <c r="F5" s="39">
        <f>SUM(МесяцыИтоги[Всего])</f>
        <v>0</v>
      </c>
      <c r="G5" s="18">
        <f>GETPIVOTDATA("Значения услуг",$A$7,"Услуги","Итого")</f>
        <v>0</v>
      </c>
      <c r="H5" s="18">
        <f>МесяцыВсего[б/пл.]+МесяцыВсего[пл.]</f>
        <v>0</v>
      </c>
      <c r="I5" s="18">
        <f>SUM(МесяцыИтоги[б/пл.])</f>
        <v>0</v>
      </c>
      <c r="J5" s="18">
        <f>SUM(МесяцыИтоги[пл.])</f>
        <v>0</v>
      </c>
    </row>
    <row r="7" spans="1:54" x14ac:dyDescent="0.25">
      <c r="A7" s="25" t="s">
        <v>35</v>
      </c>
      <c r="B7" s="25"/>
      <c r="C7" s="26" t="s">
        <v>2</v>
      </c>
      <c r="D7" s="26"/>
      <c r="E7" s="26"/>
      <c r="F7" s="26"/>
      <c r="G7" s="26"/>
      <c r="H7" s="26"/>
      <c r="I7" s="26"/>
      <c r="J7" s="26"/>
      <c r="K7" s="26"/>
      <c r="L7" s="26"/>
      <c r="M7" s="26"/>
      <c r="N7" s="26"/>
      <c r="O7" s="26"/>
      <c r="P7" s="26"/>
      <c r="Q7" s="26"/>
      <c r="R7" s="26"/>
      <c r="S7" s="26"/>
      <c r="T7" s="26"/>
      <c r="U7" s="26"/>
      <c r="V7" s="26"/>
      <c r="W7" s="26"/>
      <c r="X7" s="26"/>
      <c r="Y7" s="26"/>
      <c r="Z7" s="26"/>
      <c r="AA7" s="26"/>
      <c r="AB7" s="26"/>
      <c r="AC7" s="26"/>
      <c r="AD7" s="26"/>
      <c r="AE7" s="26"/>
      <c r="AF7" s="26"/>
      <c r="AG7" s="26"/>
      <c r="AH7" s="26"/>
      <c r="AI7" s="26"/>
      <c r="AJ7" s="26"/>
      <c r="AK7" s="26"/>
      <c r="AL7" s="26"/>
      <c r="AM7" s="26"/>
      <c r="AN7" s="26"/>
      <c r="AO7" s="26"/>
      <c r="AP7" s="26"/>
      <c r="AQ7" s="26"/>
      <c r="AR7" s="26"/>
      <c r="AS7" s="26"/>
      <c r="AT7" s="26"/>
      <c r="AU7" s="26"/>
      <c r="AV7" s="26"/>
      <c r="AW7" s="26"/>
      <c r="AX7" s="26"/>
      <c r="AY7" s="26"/>
      <c r="AZ7" s="26"/>
      <c r="BA7" s="26"/>
      <c r="BB7" s="26"/>
    </row>
    <row r="8" spans="1:54" ht="182.1" customHeight="1" x14ac:dyDescent="0.25">
      <c r="A8" s="26" t="s">
        <v>29</v>
      </c>
      <c r="B8" s="26" t="s">
        <v>31</v>
      </c>
      <c r="C8" s="28" t="s">
        <v>33</v>
      </c>
      <c r="D8" s="26" t="s">
        <v>32</v>
      </c>
      <c r="E8" s="29" t="s">
        <v>34</v>
      </c>
      <c r="F8" s="28" t="s">
        <v>49</v>
      </c>
      <c r="G8" s="28" t="s">
        <v>50</v>
      </c>
      <c r="H8" s="28" t="s">
        <v>51</v>
      </c>
      <c r="I8" s="28" t="s">
        <v>52</v>
      </c>
      <c r="J8" s="28" t="s">
        <v>53</v>
      </c>
      <c r="K8" s="28" t="s">
        <v>54</v>
      </c>
      <c r="L8" s="28" t="s">
        <v>93</v>
      </c>
      <c r="M8" s="28" t="s">
        <v>55</v>
      </c>
      <c r="N8" s="28" t="s">
        <v>94</v>
      </c>
      <c r="O8" s="28" t="s">
        <v>56</v>
      </c>
      <c r="P8" s="28" t="s">
        <v>57</v>
      </c>
      <c r="Q8" s="28" t="s">
        <v>58</v>
      </c>
      <c r="R8" s="28" t="s">
        <v>59</v>
      </c>
      <c r="S8" s="28" t="s">
        <v>95</v>
      </c>
      <c r="T8" s="28" t="s">
        <v>60</v>
      </c>
      <c r="U8" s="28" t="s">
        <v>61</v>
      </c>
      <c r="V8" s="28" t="s">
        <v>62</v>
      </c>
      <c r="W8" s="28" t="s">
        <v>63</v>
      </c>
      <c r="X8" s="28" t="s">
        <v>64</v>
      </c>
      <c r="Y8" s="28" t="s">
        <v>65</v>
      </c>
      <c r="Z8" s="28" t="s">
        <v>66</v>
      </c>
      <c r="AA8" s="28" t="s">
        <v>67</v>
      </c>
      <c r="AB8" s="28" t="s">
        <v>68</v>
      </c>
      <c r="AC8" s="28" t="s">
        <v>69</v>
      </c>
      <c r="AD8" s="28" t="s">
        <v>70</v>
      </c>
      <c r="AE8" s="28" t="s">
        <v>71</v>
      </c>
      <c r="AF8" s="28" t="s">
        <v>48</v>
      </c>
      <c r="AG8" s="28" t="s">
        <v>72</v>
      </c>
      <c r="AH8" s="28" t="s">
        <v>47</v>
      </c>
      <c r="AI8" s="28" t="s">
        <v>73</v>
      </c>
      <c r="AJ8" s="28" t="s">
        <v>74</v>
      </c>
      <c r="AK8" s="28" t="s">
        <v>75</v>
      </c>
      <c r="AL8" s="28" t="s">
        <v>76</v>
      </c>
      <c r="AM8" s="28" t="s">
        <v>77</v>
      </c>
      <c r="AN8" s="28" t="s">
        <v>78</v>
      </c>
      <c r="AO8" s="28" t="s">
        <v>79</v>
      </c>
      <c r="AP8" s="28" t="s">
        <v>80</v>
      </c>
      <c r="AQ8" s="28" t="s">
        <v>81</v>
      </c>
      <c r="AR8" s="28" t="s">
        <v>82</v>
      </c>
      <c r="AS8" s="28" t="s">
        <v>83</v>
      </c>
      <c r="AT8" s="28" t="s">
        <v>84</v>
      </c>
      <c r="AU8" s="28" t="s">
        <v>85</v>
      </c>
      <c r="AV8" s="28" t="s">
        <v>86</v>
      </c>
      <c r="AW8" s="28" t="s">
        <v>87</v>
      </c>
      <c r="AX8" s="28" t="s">
        <v>88</v>
      </c>
      <c r="AY8" s="28" t="s">
        <v>89</v>
      </c>
      <c r="AZ8" s="28" t="s">
        <v>90</v>
      </c>
      <c r="BA8" s="28" t="s">
        <v>91</v>
      </c>
      <c r="BB8" s="28" t="s">
        <v>92</v>
      </c>
    </row>
    <row r="9" spans="1:54" x14ac:dyDescent="0.25">
      <c r="A9" s="25" t="s">
        <v>44</v>
      </c>
      <c r="B9" s="26"/>
      <c r="C9" s="30">
        <v>1</v>
      </c>
      <c r="D9" s="30">
        <v>0</v>
      </c>
      <c r="E9" s="31">
        <v>0</v>
      </c>
      <c r="F9" s="30">
        <v>0</v>
      </c>
      <c r="G9" s="30">
        <v>0</v>
      </c>
      <c r="H9" s="30">
        <v>0</v>
      </c>
      <c r="I9" s="30">
        <v>0</v>
      </c>
      <c r="J9" s="30">
        <v>0</v>
      </c>
      <c r="K9" s="30">
        <v>0</v>
      </c>
      <c r="L9" s="30">
        <v>0</v>
      </c>
      <c r="M9" s="30">
        <v>0</v>
      </c>
      <c r="N9" s="30">
        <v>0</v>
      </c>
      <c r="O9" s="30">
        <v>0</v>
      </c>
      <c r="P9" s="30">
        <v>0</v>
      </c>
      <c r="Q9" s="30">
        <v>0</v>
      </c>
      <c r="R9" s="30">
        <v>0</v>
      </c>
      <c r="S9" s="30">
        <v>0</v>
      </c>
      <c r="T9" s="30">
        <v>0</v>
      </c>
      <c r="U9" s="30">
        <v>0</v>
      </c>
      <c r="V9" s="30">
        <v>0</v>
      </c>
      <c r="W9" s="30">
        <v>0</v>
      </c>
      <c r="X9" s="30">
        <v>0</v>
      </c>
      <c r="Y9" s="30">
        <v>0</v>
      </c>
      <c r="Z9" s="30">
        <v>0</v>
      </c>
      <c r="AA9" s="30">
        <v>0</v>
      </c>
      <c r="AB9" s="30">
        <v>0</v>
      </c>
      <c r="AC9" s="30">
        <v>0</v>
      </c>
      <c r="AD9" s="30">
        <v>0</v>
      </c>
      <c r="AE9" s="30">
        <v>0</v>
      </c>
      <c r="AF9" s="30">
        <v>0</v>
      </c>
      <c r="AG9" s="30">
        <v>0</v>
      </c>
      <c r="AH9" s="30">
        <v>0</v>
      </c>
      <c r="AI9" s="30">
        <v>0</v>
      </c>
      <c r="AJ9" s="30">
        <v>0</v>
      </c>
      <c r="AK9" s="30">
        <v>0</v>
      </c>
      <c r="AL9" s="30">
        <v>0</v>
      </c>
      <c r="AM9" s="30">
        <v>0</v>
      </c>
      <c r="AN9" s="30">
        <v>0</v>
      </c>
      <c r="AO9" s="30">
        <v>0</v>
      </c>
      <c r="AP9" s="30">
        <v>0</v>
      </c>
      <c r="AQ9" s="30">
        <v>0</v>
      </c>
      <c r="AR9" s="30">
        <v>0</v>
      </c>
      <c r="AS9" s="30">
        <v>0</v>
      </c>
      <c r="AT9" s="30">
        <v>0</v>
      </c>
      <c r="AU9" s="30">
        <v>0</v>
      </c>
      <c r="AV9" s="30">
        <v>0</v>
      </c>
      <c r="AW9" s="30">
        <v>0</v>
      </c>
      <c r="AX9" s="30">
        <v>0</v>
      </c>
      <c r="AY9" s="30">
        <v>0</v>
      </c>
      <c r="AZ9" s="30">
        <v>0</v>
      </c>
      <c r="BA9" s="30">
        <v>0</v>
      </c>
      <c r="BB9" s="30">
        <v>0</v>
      </c>
    </row>
    <row r="10" spans="1:54" x14ac:dyDescent="0.25">
      <c r="A10" s="27" t="s">
        <v>30</v>
      </c>
      <c r="B10" s="27"/>
      <c r="C10" s="30">
        <v>1</v>
      </c>
      <c r="D10" s="30">
        <v>0</v>
      </c>
      <c r="E10" s="31">
        <v>0</v>
      </c>
      <c r="F10" s="30">
        <v>0</v>
      </c>
      <c r="G10" s="30">
        <v>0</v>
      </c>
      <c r="H10" s="30">
        <v>0</v>
      </c>
      <c r="I10" s="30">
        <v>0</v>
      </c>
      <c r="J10" s="30">
        <v>0</v>
      </c>
      <c r="K10" s="30">
        <v>0</v>
      </c>
      <c r="L10" s="30">
        <v>0</v>
      </c>
      <c r="M10" s="30">
        <v>0</v>
      </c>
      <c r="N10" s="30">
        <v>0</v>
      </c>
      <c r="O10" s="30">
        <v>0</v>
      </c>
      <c r="P10" s="30">
        <v>0</v>
      </c>
      <c r="Q10" s="30">
        <v>0</v>
      </c>
      <c r="R10" s="30">
        <v>0</v>
      </c>
      <c r="S10" s="30">
        <v>0</v>
      </c>
      <c r="T10" s="30">
        <v>0</v>
      </c>
      <c r="U10" s="30">
        <v>0</v>
      </c>
      <c r="V10" s="30">
        <v>0</v>
      </c>
      <c r="W10" s="30">
        <v>0</v>
      </c>
      <c r="X10" s="30">
        <v>0</v>
      </c>
      <c r="Y10" s="30">
        <v>0</v>
      </c>
      <c r="Z10" s="30">
        <v>0</v>
      </c>
      <c r="AA10" s="30">
        <v>0</v>
      </c>
      <c r="AB10" s="30">
        <v>0</v>
      </c>
      <c r="AC10" s="30">
        <v>0</v>
      </c>
      <c r="AD10" s="30">
        <v>0</v>
      </c>
      <c r="AE10" s="30">
        <v>0</v>
      </c>
      <c r="AF10" s="30">
        <v>0</v>
      </c>
      <c r="AG10" s="30">
        <v>0</v>
      </c>
      <c r="AH10" s="30">
        <v>0</v>
      </c>
      <c r="AI10" s="30">
        <v>0</v>
      </c>
      <c r="AJ10" s="30">
        <v>0</v>
      </c>
      <c r="AK10" s="30">
        <v>0</v>
      </c>
      <c r="AL10" s="30">
        <v>0</v>
      </c>
      <c r="AM10" s="30">
        <v>0</v>
      </c>
      <c r="AN10" s="30">
        <v>0</v>
      </c>
      <c r="AO10" s="30">
        <v>0</v>
      </c>
      <c r="AP10" s="30">
        <v>0</v>
      </c>
      <c r="AQ10" s="30">
        <v>0</v>
      </c>
      <c r="AR10" s="30">
        <v>0</v>
      </c>
      <c r="AS10" s="30">
        <v>0</v>
      </c>
      <c r="AT10" s="30">
        <v>0</v>
      </c>
      <c r="AU10" s="30">
        <v>0</v>
      </c>
      <c r="AV10" s="30">
        <v>0</v>
      </c>
      <c r="AW10" s="30">
        <v>0</v>
      </c>
      <c r="AX10" s="30">
        <v>0</v>
      </c>
      <c r="AY10" s="30">
        <v>0</v>
      </c>
      <c r="AZ10" s="30">
        <v>0</v>
      </c>
      <c r="BA10" s="30">
        <v>0</v>
      </c>
      <c r="BB10" s="30">
        <v>0</v>
      </c>
    </row>
    <row r="11" spans="1:54" x14ac:dyDescent="0.25">
      <c r="A11" s="22"/>
      <c r="B11" s="22"/>
      <c r="C11" s="22"/>
      <c r="D11" s="22"/>
      <c r="E11" s="22"/>
      <c r="F11" s="22"/>
      <c r="G11" s="22"/>
      <c r="H11" s="22"/>
      <c r="I11" s="22"/>
      <c r="J11" s="22"/>
      <c r="K11" s="22"/>
      <c r="L11" s="22"/>
      <c r="M11" s="22"/>
      <c r="N11" s="22"/>
      <c r="O11" s="22"/>
      <c r="P11" s="22"/>
      <c r="Q11" s="22"/>
      <c r="R11" s="22"/>
      <c r="S11" s="22"/>
      <c r="T11" s="22"/>
      <c r="U11" s="22"/>
      <c r="V11" s="22"/>
      <c r="W11" s="22"/>
      <c r="X11" s="22"/>
      <c r="Y11" s="22"/>
      <c r="Z11" s="22"/>
      <c r="AA11" s="22"/>
      <c r="AB11" s="22"/>
      <c r="AC11" s="22"/>
      <c r="AD11" s="22"/>
      <c r="AE11" s="22"/>
      <c r="AF11" s="22"/>
      <c r="AG11" s="22"/>
      <c r="AH11" s="22"/>
      <c r="AI11" s="22"/>
      <c r="AJ11" s="22"/>
      <c r="AK11" s="22"/>
      <c r="AL11" s="22"/>
      <c r="AM11" s="22"/>
      <c r="AN11" s="22"/>
      <c r="AO11" s="22"/>
      <c r="AP11" s="22"/>
      <c r="AQ11" s="22"/>
      <c r="AR11" s="22"/>
      <c r="AS11" s="22"/>
      <c r="AT11" s="22"/>
      <c r="AU11" s="22"/>
      <c r="AV11" s="22"/>
      <c r="AW11" s="22"/>
      <c r="AX11" s="22"/>
      <c r="AY11" s="22"/>
    </row>
    <row r="12" spans="1:54" x14ac:dyDescent="0.25">
      <c r="A12" s="22"/>
      <c r="B12" s="22"/>
      <c r="C12" s="22"/>
      <c r="D12" s="22"/>
      <c r="E12" s="22"/>
      <c r="F12" s="22"/>
      <c r="G12" s="22"/>
      <c r="H12" s="22"/>
      <c r="I12" s="22"/>
      <c r="J12" s="22"/>
      <c r="K12" s="22"/>
      <c r="L12" s="22"/>
      <c r="M12" s="22"/>
      <c r="N12" s="22"/>
      <c r="O12" s="22"/>
      <c r="P12" s="22"/>
      <c r="Q12" s="22"/>
      <c r="R12" s="22"/>
      <c r="S12" s="22"/>
      <c r="T12" s="22"/>
      <c r="U12" s="22"/>
      <c r="V12" s="22"/>
      <c r="W12" s="22"/>
      <c r="X12" s="22"/>
      <c r="Y12" s="22"/>
      <c r="Z12" s="22"/>
      <c r="AA12" s="22"/>
      <c r="AB12" s="22"/>
      <c r="AC12" s="22"/>
      <c r="AD12" s="22"/>
      <c r="AE12" s="22"/>
      <c r="AF12" s="22"/>
      <c r="AG12" s="22"/>
      <c r="AH12" s="22"/>
      <c r="AI12" s="22"/>
      <c r="AJ12" s="22"/>
      <c r="AK12" s="22"/>
      <c r="AL12" s="22"/>
      <c r="AM12" s="22"/>
      <c r="AN12" s="22"/>
      <c r="AO12" s="22"/>
    </row>
    <row r="13" spans="1:54" x14ac:dyDescent="0.25">
      <c r="A13" s="22"/>
      <c r="B13" s="22"/>
      <c r="C13" s="22"/>
      <c r="D13" s="22"/>
      <c r="E13" s="22"/>
      <c r="F13" s="22"/>
      <c r="G13" s="22"/>
      <c r="H13" s="22"/>
      <c r="I13" s="22"/>
      <c r="J13" s="22"/>
      <c r="K13" s="22"/>
      <c r="L13" s="22"/>
      <c r="M13" s="22"/>
      <c r="N13" s="22"/>
      <c r="O13" s="22"/>
      <c r="P13" s="22"/>
      <c r="Q13" s="22"/>
      <c r="R13" s="22"/>
      <c r="S13" s="22"/>
      <c r="T13" s="22"/>
      <c r="U13" s="22"/>
      <c r="V13" s="22"/>
      <c r="W13" s="22"/>
      <c r="X13" s="22"/>
      <c r="Y13" s="22"/>
      <c r="Z13" s="22"/>
      <c r="AA13" s="22"/>
      <c r="AB13" s="22"/>
      <c r="AC13" s="22"/>
      <c r="AD13" s="22"/>
      <c r="AE13" s="22"/>
      <c r="AF13" s="22"/>
      <c r="AG13" s="22"/>
      <c r="AH13" s="22"/>
      <c r="AI13" s="22"/>
      <c r="AJ13" s="22"/>
      <c r="AK13" s="22"/>
      <c r="AL13" s="22"/>
      <c r="AM13" s="22"/>
      <c r="AN13" s="22"/>
      <c r="AO13" s="22"/>
    </row>
    <row r="14" spans="1:54" x14ac:dyDescent="0.25">
      <c r="A14" s="22"/>
      <c r="B14" s="22"/>
      <c r="C14" s="22"/>
      <c r="D14" s="22"/>
      <c r="E14" s="22"/>
      <c r="F14" s="22"/>
      <c r="G14" s="22"/>
      <c r="H14" s="22"/>
      <c r="I14" s="22"/>
      <c r="J14" s="22"/>
      <c r="K14" s="22"/>
      <c r="L14" s="22"/>
      <c r="M14" s="22"/>
      <c r="N14" s="22"/>
      <c r="O14" s="22"/>
      <c r="P14" s="22"/>
      <c r="Q14" s="22"/>
      <c r="R14" s="22"/>
      <c r="S14" s="22"/>
      <c r="T14" s="22"/>
      <c r="U14" s="22"/>
      <c r="V14" s="22"/>
      <c r="W14" s="22"/>
      <c r="X14" s="22"/>
      <c r="Y14" s="22"/>
      <c r="Z14" s="22"/>
      <c r="AA14" s="22"/>
      <c r="AB14" s="22"/>
      <c r="AC14" s="22"/>
      <c r="AD14" s="22"/>
      <c r="AE14" s="22"/>
      <c r="AF14" s="22"/>
      <c r="AG14" s="22"/>
      <c r="AH14" s="22"/>
      <c r="AI14" s="22"/>
      <c r="AJ14" s="22"/>
      <c r="AK14" s="22"/>
      <c r="AL14" s="22"/>
      <c r="AM14" s="22"/>
      <c r="AN14" s="22"/>
      <c r="AO14" s="22"/>
    </row>
    <row r="15" spans="1:54" x14ac:dyDescent="0.25">
      <c r="A15" s="22"/>
      <c r="B15" s="22"/>
      <c r="C15" s="22"/>
      <c r="D15" s="22"/>
      <c r="E15" s="22"/>
      <c r="F15" s="22"/>
      <c r="G15" s="22"/>
      <c r="H15" s="22"/>
      <c r="I15" s="22"/>
      <c r="J15" s="22"/>
      <c r="K15" s="22"/>
      <c r="L15" s="22"/>
      <c r="M15" s="22"/>
      <c r="N15" s="22"/>
      <c r="O15" s="22"/>
      <c r="P15" s="22"/>
      <c r="Q15" s="22"/>
      <c r="R15" s="22"/>
      <c r="S15" s="22"/>
      <c r="T15" s="22"/>
      <c r="U15" s="22"/>
      <c r="V15" s="22"/>
      <c r="W15" s="22"/>
      <c r="X15" s="22"/>
      <c r="Y15" s="22"/>
      <c r="Z15" s="22"/>
      <c r="AA15" s="22"/>
      <c r="AB15" s="22"/>
      <c r="AC15" s="22"/>
      <c r="AD15" s="22"/>
      <c r="AE15" s="22"/>
      <c r="AF15" s="22"/>
      <c r="AG15" s="22"/>
      <c r="AH15" s="22"/>
      <c r="AI15" s="22"/>
      <c r="AJ15" s="22"/>
      <c r="AK15" s="22"/>
      <c r="AL15" s="22"/>
      <c r="AM15" s="22"/>
      <c r="AN15" s="22"/>
      <c r="AO15" s="22"/>
    </row>
    <row r="16" spans="1:54" x14ac:dyDescent="0.25">
      <c r="A16" s="22"/>
      <c r="B16" s="22"/>
      <c r="C16" s="22"/>
      <c r="D16" s="22"/>
      <c r="E16" s="22"/>
      <c r="F16" s="22"/>
      <c r="G16" s="22"/>
      <c r="H16" s="22"/>
      <c r="I16" s="22"/>
      <c r="J16" s="22"/>
      <c r="K16" s="22"/>
      <c r="L16" s="22"/>
      <c r="M16" s="22"/>
      <c r="N16" s="22"/>
      <c r="O16" s="22"/>
      <c r="P16" s="22"/>
      <c r="Q16" s="22"/>
      <c r="R16" s="22"/>
      <c r="S16" s="22"/>
      <c r="T16" s="22"/>
      <c r="U16" s="22"/>
      <c r="V16" s="22"/>
      <c r="W16" s="22"/>
      <c r="X16" s="22"/>
      <c r="Y16" s="22"/>
      <c r="Z16" s="22"/>
      <c r="AA16" s="22"/>
      <c r="AB16" s="22"/>
      <c r="AC16" s="22"/>
      <c r="AD16" s="22"/>
      <c r="AE16" s="22"/>
      <c r="AF16" s="22"/>
      <c r="AG16" s="22"/>
      <c r="AH16" s="22"/>
      <c r="AI16" s="22"/>
      <c r="AJ16" s="22"/>
      <c r="AK16" s="22"/>
      <c r="AL16" s="22"/>
      <c r="AM16" s="22"/>
      <c r="AN16" s="22"/>
      <c r="AO16" s="22"/>
    </row>
    <row r="17" spans="1:41" x14ac:dyDescent="0.25">
      <c r="A17" s="22"/>
      <c r="B17" s="22"/>
      <c r="C17" s="22"/>
      <c r="D17" s="22"/>
      <c r="E17" s="22"/>
      <c r="F17" s="22"/>
      <c r="G17" s="22"/>
      <c r="H17" s="22"/>
      <c r="I17" s="22"/>
      <c r="J17" s="22"/>
      <c r="K17" s="22"/>
      <c r="L17" s="22"/>
      <c r="M17" s="22"/>
      <c r="N17" s="22"/>
      <c r="O17" s="22"/>
      <c r="P17" s="22"/>
      <c r="Q17" s="22"/>
      <c r="R17" s="22"/>
      <c r="S17" s="22"/>
      <c r="T17" s="22"/>
      <c r="U17" s="22"/>
      <c r="V17" s="22"/>
      <c r="W17" s="22"/>
      <c r="X17" s="22"/>
      <c r="Y17" s="22"/>
      <c r="Z17" s="22"/>
      <c r="AA17" s="22"/>
      <c r="AB17" s="22"/>
      <c r="AC17" s="22"/>
      <c r="AD17" s="22"/>
      <c r="AE17" s="22"/>
      <c r="AF17" s="22"/>
      <c r="AG17" s="22"/>
      <c r="AH17" s="22"/>
      <c r="AI17" s="22"/>
      <c r="AJ17" s="22"/>
      <c r="AK17" s="22"/>
      <c r="AL17" s="22"/>
      <c r="AM17" s="22"/>
      <c r="AN17" s="22"/>
      <c r="AO17" s="22"/>
    </row>
    <row r="18" spans="1:41" x14ac:dyDescent="0.25">
      <c r="A18" s="22"/>
      <c r="B18" s="22"/>
      <c r="C18" s="22"/>
      <c r="D18" s="22"/>
      <c r="E18" s="22"/>
      <c r="F18" s="22"/>
      <c r="G18" s="22"/>
      <c r="H18" s="22"/>
      <c r="I18" s="22"/>
      <c r="J18" s="22"/>
      <c r="K18" s="22"/>
      <c r="L18" s="22"/>
      <c r="M18" s="22"/>
      <c r="N18" s="22"/>
      <c r="O18" s="22"/>
      <c r="P18" s="22"/>
      <c r="Q18" s="22"/>
      <c r="R18" s="22"/>
      <c r="S18" s="22"/>
      <c r="T18" s="22"/>
      <c r="U18" s="22"/>
      <c r="V18" s="22"/>
      <c r="W18" s="22"/>
      <c r="X18" s="22"/>
      <c r="Y18" s="22"/>
      <c r="Z18" s="22"/>
      <c r="AA18" s="22"/>
      <c r="AB18" s="22"/>
      <c r="AC18" s="22"/>
      <c r="AD18" s="22"/>
      <c r="AE18" s="22"/>
      <c r="AF18" s="22"/>
      <c r="AG18" s="22"/>
      <c r="AH18" s="22"/>
      <c r="AI18" s="22"/>
      <c r="AJ18" s="22"/>
      <c r="AK18" s="22"/>
      <c r="AL18" s="22"/>
      <c r="AM18" s="22"/>
      <c r="AN18" s="22"/>
      <c r="AO18" s="22"/>
    </row>
    <row r="19" spans="1:41" x14ac:dyDescent="0.25">
      <c r="A19" s="22"/>
      <c r="B19" s="22"/>
      <c r="C19" s="22"/>
      <c r="D19" s="22"/>
      <c r="E19" s="22"/>
      <c r="F19" s="22"/>
      <c r="G19" s="22"/>
      <c r="H19" s="22"/>
      <c r="I19" s="22"/>
      <c r="J19" s="22"/>
      <c r="K19" s="22"/>
      <c r="L19" s="22"/>
      <c r="M19" s="22"/>
      <c r="N19" s="22"/>
      <c r="O19" s="22"/>
      <c r="P19" s="22"/>
      <c r="Q19" s="22"/>
      <c r="R19" s="22"/>
      <c r="S19" s="22"/>
      <c r="T19" s="22"/>
      <c r="U19" s="22"/>
      <c r="V19" s="22"/>
      <c r="W19" s="22"/>
      <c r="X19" s="22"/>
      <c r="Y19" s="22"/>
      <c r="Z19" s="22"/>
      <c r="AA19" s="22"/>
      <c r="AB19" s="22"/>
      <c r="AC19" s="22"/>
      <c r="AD19" s="22"/>
      <c r="AE19" s="22"/>
      <c r="AF19" s="22"/>
      <c r="AG19" s="22"/>
      <c r="AH19" s="22"/>
      <c r="AI19" s="22"/>
      <c r="AJ19" s="22"/>
      <c r="AK19" s="22"/>
      <c r="AL19" s="22"/>
      <c r="AM19" s="22"/>
      <c r="AN19" s="22"/>
      <c r="AO19" s="22"/>
    </row>
    <row r="20" spans="1:41" x14ac:dyDescent="0.25">
      <c r="A20" s="22"/>
      <c r="B20" s="22"/>
      <c r="C20" s="22"/>
      <c r="D20" s="22"/>
      <c r="E20" s="22"/>
      <c r="F20" s="22"/>
      <c r="G20" s="22"/>
      <c r="H20" s="22"/>
      <c r="I20" s="22"/>
      <c r="J20" s="22"/>
      <c r="K20" s="22"/>
      <c r="L20" s="22"/>
      <c r="M20" s="22"/>
      <c r="N20" s="22"/>
      <c r="O20" s="22"/>
      <c r="P20" s="22"/>
      <c r="Q20" s="22"/>
      <c r="R20" s="22"/>
      <c r="S20" s="22"/>
      <c r="T20" s="22"/>
      <c r="U20" s="22"/>
      <c r="V20" s="22"/>
      <c r="W20" s="22"/>
      <c r="X20" s="22"/>
      <c r="Y20" s="22"/>
      <c r="Z20" s="22"/>
      <c r="AA20" s="22"/>
      <c r="AB20" s="22"/>
      <c r="AC20" s="22"/>
      <c r="AD20" s="22"/>
      <c r="AE20" s="22"/>
      <c r="AF20" s="22"/>
      <c r="AG20" s="22"/>
      <c r="AH20" s="22"/>
      <c r="AI20" s="22"/>
      <c r="AJ20" s="22"/>
      <c r="AK20" s="22"/>
      <c r="AL20" s="22"/>
      <c r="AM20" s="22"/>
      <c r="AN20" s="22"/>
      <c r="AO20" s="22"/>
    </row>
    <row r="21" spans="1:41" x14ac:dyDescent="0.25">
      <c r="A21" s="22"/>
      <c r="B21" s="22"/>
      <c r="C21" s="22"/>
      <c r="D21" s="22"/>
      <c r="E21" s="22"/>
      <c r="F21" s="22"/>
      <c r="G21" s="22"/>
      <c r="H21" s="22"/>
      <c r="I21" s="22"/>
      <c r="J21" s="22"/>
      <c r="K21" s="22"/>
      <c r="L21" s="22"/>
      <c r="M21" s="22"/>
      <c r="N21" s="22"/>
      <c r="O21" s="22"/>
      <c r="P21" s="22"/>
      <c r="Q21" s="22"/>
      <c r="R21" s="22"/>
      <c r="S21" s="22"/>
      <c r="T21" s="22"/>
      <c r="U21" s="22"/>
      <c r="V21" s="22"/>
      <c r="W21" s="22"/>
      <c r="X21" s="22"/>
      <c r="Y21" s="22"/>
      <c r="Z21" s="22"/>
      <c r="AA21" s="22"/>
      <c r="AB21" s="22"/>
      <c r="AC21" s="22"/>
      <c r="AD21" s="22"/>
      <c r="AE21" s="22"/>
      <c r="AF21" s="22"/>
      <c r="AG21" s="22"/>
      <c r="AH21" s="22"/>
      <c r="AI21" s="22"/>
      <c r="AJ21" s="22"/>
      <c r="AK21" s="22"/>
      <c r="AL21" s="22"/>
      <c r="AM21" s="22"/>
      <c r="AN21" s="22"/>
      <c r="AO21" s="22"/>
    </row>
    <row r="22" spans="1:41" x14ac:dyDescent="0.25">
      <c r="A22" s="22"/>
      <c r="B22" s="22"/>
      <c r="C22" s="22"/>
      <c r="D22" s="22"/>
      <c r="E22" s="22"/>
      <c r="F22" s="22"/>
      <c r="G22" s="22"/>
      <c r="H22" s="22"/>
      <c r="I22" s="22"/>
      <c r="J22" s="22"/>
      <c r="K22" s="22"/>
      <c r="L22" s="22"/>
      <c r="M22" s="22"/>
      <c r="N22" s="22"/>
      <c r="O22" s="22"/>
      <c r="P22" s="22"/>
      <c r="Q22" s="22"/>
      <c r="R22" s="22"/>
      <c r="S22" s="22"/>
      <c r="T22" s="22"/>
      <c r="U22" s="22"/>
      <c r="V22" s="22"/>
      <c r="W22" s="22"/>
      <c r="X22" s="22"/>
      <c r="Y22" s="22"/>
      <c r="Z22" s="22"/>
      <c r="AA22" s="22"/>
      <c r="AB22" s="22"/>
      <c r="AC22" s="22"/>
      <c r="AD22" s="22"/>
      <c r="AE22" s="22"/>
      <c r="AF22" s="22"/>
      <c r="AG22" s="22"/>
      <c r="AH22" s="22"/>
      <c r="AI22" s="22"/>
      <c r="AJ22" s="22"/>
      <c r="AK22" s="22"/>
      <c r="AL22" s="22"/>
      <c r="AM22" s="22"/>
      <c r="AN22" s="22"/>
      <c r="AO22" s="22"/>
    </row>
    <row r="23" spans="1:41" x14ac:dyDescent="0.25">
      <c r="A23" s="22"/>
      <c r="B23" s="22"/>
      <c r="C23" s="22"/>
      <c r="D23" s="22"/>
      <c r="E23" s="22"/>
      <c r="F23" s="22"/>
      <c r="G23" s="22"/>
      <c r="H23" s="22"/>
      <c r="I23" s="22"/>
      <c r="J23" s="22"/>
      <c r="K23" s="22"/>
      <c r="L23" s="22"/>
      <c r="M23" s="22"/>
      <c r="N23" s="22"/>
      <c r="O23" s="22"/>
      <c r="P23" s="22"/>
      <c r="Q23" s="22"/>
      <c r="R23" s="22"/>
      <c r="S23" s="22"/>
      <c r="T23" s="22"/>
      <c r="U23" s="22"/>
      <c r="V23" s="22"/>
      <c r="W23" s="22"/>
      <c r="X23" s="22"/>
      <c r="Y23" s="22"/>
      <c r="Z23" s="22"/>
      <c r="AA23" s="22"/>
      <c r="AB23" s="22"/>
      <c r="AC23" s="22"/>
      <c r="AD23" s="22"/>
      <c r="AE23" s="22"/>
      <c r="AF23" s="22"/>
      <c r="AG23" s="22"/>
      <c r="AH23" s="22"/>
      <c r="AI23" s="22"/>
      <c r="AJ23" s="22"/>
      <c r="AK23" s="22"/>
      <c r="AL23" s="22"/>
      <c r="AM23" s="22"/>
      <c r="AN23" s="22"/>
      <c r="AO23" s="22"/>
    </row>
    <row r="24" spans="1:41" x14ac:dyDescent="0.25">
      <c r="A24" s="22"/>
      <c r="B24" s="22"/>
      <c r="C24" s="22"/>
      <c r="D24" s="22"/>
      <c r="E24" s="22"/>
      <c r="F24" s="22"/>
      <c r="G24" s="22"/>
      <c r="H24" s="22"/>
      <c r="I24" s="22"/>
      <c r="J24" s="22"/>
      <c r="K24" s="22"/>
      <c r="L24" s="22"/>
      <c r="M24" s="22"/>
      <c r="N24" s="22"/>
      <c r="O24" s="22"/>
      <c r="P24" s="22"/>
      <c r="Q24" s="22"/>
      <c r="R24" s="22"/>
      <c r="S24" s="22"/>
      <c r="T24" s="22"/>
      <c r="U24" s="22"/>
      <c r="V24" s="22"/>
      <c r="W24" s="22"/>
      <c r="X24" s="22"/>
      <c r="Y24" s="22"/>
      <c r="Z24" s="22"/>
      <c r="AA24" s="22"/>
      <c r="AB24" s="22"/>
      <c r="AC24" s="22"/>
      <c r="AD24" s="22"/>
      <c r="AE24" s="22"/>
      <c r="AF24" s="22"/>
      <c r="AG24" s="22"/>
      <c r="AH24" s="22"/>
      <c r="AI24" s="22"/>
      <c r="AJ24" s="22"/>
      <c r="AK24" s="22"/>
      <c r="AL24" s="22"/>
      <c r="AM24" s="22"/>
      <c r="AN24" s="22"/>
      <c r="AO24" s="22"/>
    </row>
    <row r="25" spans="1:41" x14ac:dyDescent="0.25">
      <c r="A25" s="22"/>
      <c r="B25" s="22"/>
      <c r="C25" s="22"/>
      <c r="D25" s="22"/>
      <c r="E25" s="22"/>
      <c r="F25" s="22"/>
      <c r="G25" s="22"/>
      <c r="H25" s="22"/>
      <c r="I25" s="22"/>
      <c r="J25" s="22"/>
      <c r="K25" s="22"/>
      <c r="L25" s="22"/>
      <c r="M25" s="22"/>
      <c r="N25" s="22"/>
      <c r="O25" s="22"/>
      <c r="P25" s="22"/>
      <c r="Q25" s="22"/>
      <c r="R25" s="22"/>
      <c r="S25" s="22"/>
      <c r="T25" s="22"/>
      <c r="U25" s="22"/>
      <c r="V25" s="22"/>
      <c r="W25" s="22"/>
      <c r="X25" s="22"/>
      <c r="Y25" s="22"/>
      <c r="Z25" s="22"/>
      <c r="AA25" s="22"/>
      <c r="AB25" s="22"/>
      <c r="AC25" s="22"/>
      <c r="AD25" s="22"/>
      <c r="AE25" s="22"/>
      <c r="AF25" s="22"/>
      <c r="AG25" s="22"/>
      <c r="AH25" s="22"/>
      <c r="AI25" s="22"/>
      <c r="AJ25" s="22"/>
      <c r="AK25" s="22"/>
      <c r="AL25" s="22"/>
      <c r="AM25" s="22"/>
      <c r="AN25" s="22"/>
      <c r="AO25" s="22"/>
    </row>
    <row r="26" spans="1:41" x14ac:dyDescent="0.25">
      <c r="A26" s="22"/>
      <c r="B26" s="22"/>
      <c r="C26" s="22"/>
      <c r="D26" s="22"/>
      <c r="E26" s="22"/>
      <c r="F26" s="22"/>
      <c r="G26" s="22"/>
      <c r="H26" s="22"/>
      <c r="I26" s="22"/>
      <c r="J26" s="22"/>
      <c r="K26" s="22"/>
      <c r="L26" s="22"/>
      <c r="M26" s="22"/>
      <c r="N26" s="22"/>
      <c r="O26" s="22"/>
      <c r="P26" s="22"/>
      <c r="Q26" s="22"/>
      <c r="R26" s="22"/>
      <c r="S26" s="22"/>
      <c r="T26" s="22"/>
      <c r="U26" s="22"/>
      <c r="V26" s="22"/>
      <c r="W26" s="22"/>
      <c r="X26" s="22"/>
      <c r="Y26" s="22"/>
      <c r="Z26" s="22"/>
      <c r="AA26" s="22"/>
      <c r="AB26" s="22"/>
      <c r="AC26" s="22"/>
      <c r="AD26" s="22"/>
      <c r="AE26" s="22"/>
      <c r="AF26" s="22"/>
      <c r="AG26" s="22"/>
      <c r="AH26" s="22"/>
      <c r="AI26" s="22"/>
      <c r="AJ26" s="22"/>
      <c r="AK26" s="22"/>
      <c r="AL26" s="22"/>
      <c r="AM26" s="22"/>
      <c r="AN26" s="22"/>
      <c r="AO26" s="22"/>
    </row>
    <row r="27" spans="1:41" x14ac:dyDescent="0.25">
      <c r="A27" s="22"/>
      <c r="B27" s="22"/>
      <c r="C27" s="22"/>
      <c r="D27" s="22"/>
      <c r="E27" s="22"/>
      <c r="F27" s="22"/>
      <c r="G27" s="22"/>
      <c r="H27" s="22"/>
      <c r="I27" s="22"/>
      <c r="J27" s="22"/>
      <c r="K27" s="22"/>
      <c r="L27" s="22"/>
      <c r="M27" s="22"/>
      <c r="N27" s="22"/>
      <c r="O27" s="22"/>
      <c r="P27" s="22"/>
      <c r="Q27" s="22"/>
      <c r="R27" s="22"/>
      <c r="S27" s="22"/>
      <c r="T27" s="22"/>
      <c r="U27" s="22"/>
      <c r="V27" s="22"/>
      <c r="W27" s="22"/>
      <c r="X27" s="22"/>
      <c r="Y27" s="22"/>
      <c r="Z27" s="22"/>
      <c r="AA27" s="22"/>
      <c r="AB27" s="22"/>
      <c r="AC27" s="22"/>
      <c r="AD27" s="22"/>
      <c r="AE27" s="22"/>
      <c r="AF27" s="22"/>
      <c r="AG27" s="22"/>
      <c r="AH27" s="22"/>
      <c r="AI27" s="22"/>
      <c r="AJ27" s="22"/>
      <c r="AK27" s="22"/>
      <c r="AL27" s="22"/>
      <c r="AM27" s="22"/>
      <c r="AN27" s="22"/>
      <c r="AO27" s="22"/>
    </row>
    <row r="28" spans="1:41" x14ac:dyDescent="0.25">
      <c r="A28" s="22"/>
      <c r="B28" s="22"/>
      <c r="C28" s="22"/>
      <c r="D28" s="22"/>
      <c r="E28" s="22"/>
      <c r="F28" s="22"/>
      <c r="G28" s="22"/>
      <c r="H28" s="22"/>
      <c r="I28" s="22"/>
      <c r="J28" s="22"/>
      <c r="K28" s="22"/>
      <c r="L28" s="22"/>
      <c r="M28" s="22"/>
      <c r="N28" s="22"/>
      <c r="O28" s="22"/>
      <c r="P28" s="22"/>
      <c r="Q28" s="22"/>
      <c r="R28" s="22"/>
      <c r="S28" s="22"/>
      <c r="T28" s="22"/>
      <c r="U28" s="22"/>
      <c r="V28" s="22"/>
      <c r="W28" s="22"/>
      <c r="X28" s="22"/>
      <c r="Y28" s="22"/>
      <c r="Z28" s="22"/>
      <c r="AA28" s="22"/>
      <c r="AB28" s="22"/>
      <c r="AC28" s="22"/>
      <c r="AD28" s="22"/>
      <c r="AE28" s="22"/>
      <c r="AF28" s="22"/>
      <c r="AG28" s="22"/>
      <c r="AH28" s="22"/>
      <c r="AI28" s="22"/>
      <c r="AJ28" s="22"/>
      <c r="AK28" s="22"/>
      <c r="AL28" s="22"/>
      <c r="AM28" s="22"/>
      <c r="AN28" s="22"/>
      <c r="AO28" s="22"/>
    </row>
    <row r="29" spans="1:41" x14ac:dyDescent="0.25">
      <c r="A29" s="22"/>
      <c r="B29" s="22"/>
      <c r="C29" s="22"/>
      <c r="D29" s="22"/>
      <c r="E29" s="22"/>
      <c r="F29" s="22"/>
      <c r="G29" s="22"/>
      <c r="H29" s="22"/>
      <c r="I29" s="22"/>
      <c r="J29" s="22"/>
      <c r="K29" s="22"/>
      <c r="L29" s="22"/>
      <c r="M29" s="22"/>
      <c r="N29" s="22"/>
      <c r="O29" s="22"/>
      <c r="P29" s="22"/>
      <c r="Q29" s="22"/>
      <c r="R29" s="22"/>
      <c r="S29" s="22"/>
      <c r="T29" s="22"/>
      <c r="U29" s="22"/>
      <c r="V29" s="22"/>
      <c r="W29" s="22"/>
      <c r="X29" s="22"/>
      <c r="Y29" s="22"/>
      <c r="Z29" s="22"/>
      <c r="AA29" s="22"/>
      <c r="AB29" s="22"/>
      <c r="AC29" s="22"/>
      <c r="AD29" s="22"/>
      <c r="AE29" s="22"/>
      <c r="AF29" s="22"/>
      <c r="AG29" s="22"/>
      <c r="AH29" s="22"/>
      <c r="AI29" s="22"/>
      <c r="AJ29" s="22"/>
      <c r="AK29" s="22"/>
      <c r="AL29" s="22"/>
      <c r="AM29" s="22"/>
      <c r="AN29" s="22"/>
      <c r="AO29" s="22"/>
    </row>
    <row r="30" spans="1:41" x14ac:dyDescent="0.25">
      <c r="A30" s="22"/>
      <c r="B30" s="22"/>
      <c r="C30" s="22"/>
      <c r="D30" s="22"/>
      <c r="E30" s="22"/>
      <c r="F30" s="22"/>
      <c r="G30" s="22"/>
      <c r="H30" s="22"/>
      <c r="I30" s="22"/>
      <c r="J30" s="22"/>
      <c r="K30" s="22"/>
      <c r="L30" s="22"/>
      <c r="M30" s="22"/>
      <c r="N30" s="22"/>
      <c r="O30" s="22"/>
      <c r="P30" s="22"/>
      <c r="Q30" s="22"/>
      <c r="R30" s="22"/>
      <c r="S30" s="22"/>
      <c r="T30" s="22"/>
      <c r="U30" s="22"/>
      <c r="V30" s="22"/>
      <c r="W30" s="22"/>
      <c r="X30" s="22"/>
      <c r="Y30" s="22"/>
      <c r="Z30" s="22"/>
      <c r="AA30" s="22"/>
      <c r="AB30" s="22"/>
      <c r="AC30" s="22"/>
      <c r="AD30" s="22"/>
      <c r="AE30" s="22"/>
      <c r="AF30" s="22"/>
      <c r="AG30" s="22"/>
      <c r="AH30" s="22"/>
      <c r="AI30" s="22"/>
      <c r="AJ30" s="22"/>
      <c r="AK30" s="22"/>
      <c r="AL30" s="22"/>
      <c r="AM30" s="22"/>
      <c r="AN30" s="22"/>
      <c r="AO30" s="22"/>
    </row>
    <row r="31" spans="1:41" x14ac:dyDescent="0.25">
      <c r="A31" s="22"/>
      <c r="B31" s="22"/>
      <c r="C31" s="22"/>
      <c r="D31" s="22"/>
      <c r="E31" s="22"/>
      <c r="F31" s="22"/>
      <c r="G31" s="22"/>
      <c r="H31" s="22"/>
      <c r="I31" s="22"/>
      <c r="J31" s="22"/>
      <c r="K31" s="22"/>
      <c r="L31" s="22"/>
      <c r="M31" s="22"/>
      <c r="N31" s="22"/>
      <c r="O31" s="22"/>
      <c r="P31" s="22"/>
      <c r="Q31" s="22"/>
      <c r="R31" s="22"/>
      <c r="S31" s="22"/>
      <c r="T31" s="22"/>
      <c r="U31" s="22"/>
      <c r="V31" s="22"/>
      <c r="W31" s="22"/>
      <c r="X31" s="22"/>
      <c r="Y31" s="22"/>
      <c r="Z31" s="22"/>
      <c r="AA31" s="22"/>
      <c r="AB31" s="22"/>
      <c r="AC31" s="22"/>
      <c r="AD31" s="22"/>
      <c r="AE31" s="22"/>
      <c r="AF31" s="22"/>
      <c r="AG31" s="22"/>
      <c r="AH31" s="22"/>
      <c r="AI31" s="22"/>
      <c r="AJ31" s="22"/>
      <c r="AK31" s="22"/>
      <c r="AL31" s="22"/>
      <c r="AM31" s="22"/>
      <c r="AN31" s="22"/>
      <c r="AO31" s="22"/>
    </row>
    <row r="32" spans="1:41" x14ac:dyDescent="0.25">
      <c r="A32" s="22"/>
      <c r="B32" s="22"/>
      <c r="C32" s="22"/>
      <c r="D32" s="22"/>
      <c r="E32" s="22"/>
      <c r="F32" s="22"/>
      <c r="G32" s="22"/>
      <c r="H32" s="22"/>
      <c r="I32" s="22"/>
      <c r="J32" s="22"/>
      <c r="K32" s="22"/>
      <c r="L32" s="22"/>
      <c r="M32" s="22"/>
      <c r="N32" s="22"/>
      <c r="O32" s="22"/>
      <c r="P32" s="22"/>
      <c r="Q32" s="22"/>
      <c r="R32" s="22"/>
      <c r="S32" s="22"/>
      <c r="T32" s="22"/>
      <c r="U32" s="22"/>
      <c r="V32" s="22"/>
      <c r="W32" s="22"/>
      <c r="X32" s="22"/>
      <c r="Y32" s="22"/>
      <c r="Z32" s="22"/>
      <c r="AA32" s="22"/>
      <c r="AB32" s="22"/>
      <c r="AC32" s="22"/>
      <c r="AD32" s="22"/>
      <c r="AE32" s="22"/>
      <c r="AF32" s="22"/>
      <c r="AG32" s="22"/>
      <c r="AH32" s="22"/>
      <c r="AI32" s="22"/>
      <c r="AJ32" s="22"/>
      <c r="AK32" s="22"/>
      <c r="AL32" s="22"/>
      <c r="AM32" s="22"/>
      <c r="AN32" s="22"/>
      <c r="AO32" s="22"/>
    </row>
    <row r="33" spans="1:41" x14ac:dyDescent="0.25">
      <c r="A33" s="22"/>
      <c r="B33" s="22"/>
      <c r="C33" s="22"/>
      <c r="D33" s="22"/>
      <c r="E33" s="22"/>
      <c r="F33" s="22"/>
      <c r="G33" s="22"/>
      <c r="H33" s="22"/>
      <c r="I33" s="22"/>
      <c r="J33" s="22"/>
      <c r="K33" s="22"/>
      <c r="L33" s="22"/>
      <c r="M33" s="22"/>
      <c r="N33" s="22"/>
      <c r="O33" s="22"/>
      <c r="P33" s="22"/>
      <c r="Q33" s="22"/>
      <c r="R33" s="22"/>
      <c r="S33" s="22"/>
      <c r="T33" s="22"/>
      <c r="U33" s="22"/>
      <c r="V33" s="22"/>
      <c r="W33" s="22"/>
      <c r="X33" s="22"/>
      <c r="Y33" s="22"/>
      <c r="Z33" s="22"/>
      <c r="AA33" s="22"/>
      <c r="AB33" s="22"/>
      <c r="AC33" s="22"/>
      <c r="AD33" s="22"/>
      <c r="AE33" s="22"/>
      <c r="AF33" s="22"/>
      <c r="AG33" s="22"/>
      <c r="AH33" s="22"/>
      <c r="AI33" s="22"/>
      <c r="AJ33" s="22"/>
      <c r="AK33" s="22"/>
      <c r="AL33" s="22"/>
      <c r="AM33" s="22"/>
      <c r="AN33" s="22"/>
      <c r="AO33" s="22"/>
    </row>
    <row r="34" spans="1:41" x14ac:dyDescent="0.25">
      <c r="A34" s="22"/>
      <c r="B34" s="22"/>
      <c r="C34" s="22"/>
      <c r="D34" s="22"/>
      <c r="E34" s="22"/>
      <c r="F34" s="22"/>
      <c r="G34" s="22"/>
      <c r="H34" s="22"/>
      <c r="I34" s="22"/>
      <c r="J34" s="22"/>
      <c r="K34" s="22"/>
      <c r="L34" s="22"/>
      <c r="M34" s="22"/>
      <c r="N34" s="22"/>
      <c r="O34" s="22"/>
      <c r="P34" s="22"/>
      <c r="Q34" s="22"/>
      <c r="R34" s="22"/>
      <c r="S34" s="22"/>
      <c r="T34" s="22"/>
      <c r="U34" s="22"/>
      <c r="V34" s="22"/>
      <c r="W34" s="22"/>
      <c r="X34" s="22"/>
      <c r="Y34" s="22"/>
      <c r="Z34" s="22"/>
      <c r="AA34" s="22"/>
      <c r="AB34" s="22"/>
      <c r="AC34" s="22"/>
      <c r="AD34" s="22"/>
      <c r="AE34" s="22"/>
      <c r="AF34" s="22"/>
      <c r="AG34" s="22"/>
      <c r="AH34" s="22"/>
      <c r="AI34" s="22"/>
      <c r="AJ34" s="22"/>
      <c r="AK34" s="22"/>
      <c r="AL34" s="22"/>
      <c r="AM34" s="22"/>
      <c r="AN34" s="22"/>
      <c r="AO34" s="22"/>
    </row>
    <row r="35" spans="1:41" x14ac:dyDescent="0.25">
      <c r="A35" s="22"/>
      <c r="B35" s="22"/>
      <c r="C35" s="22"/>
      <c r="D35" s="22"/>
      <c r="E35" s="22"/>
      <c r="F35" s="22"/>
      <c r="G35" s="22"/>
      <c r="H35" s="22"/>
      <c r="I35" s="22"/>
      <c r="J35" s="22"/>
      <c r="K35" s="22"/>
      <c r="L35" s="22"/>
      <c r="M35" s="22"/>
      <c r="N35" s="22"/>
      <c r="O35" s="22"/>
      <c r="P35" s="22"/>
      <c r="Q35" s="22"/>
      <c r="R35" s="22"/>
      <c r="S35" s="22"/>
      <c r="T35" s="22"/>
      <c r="U35" s="22"/>
      <c r="V35" s="22"/>
      <c r="W35" s="22"/>
      <c r="X35" s="22"/>
      <c r="Y35" s="22"/>
      <c r="Z35" s="22"/>
      <c r="AA35" s="22"/>
      <c r="AB35" s="22"/>
      <c r="AC35" s="22"/>
      <c r="AD35" s="22"/>
      <c r="AE35" s="22"/>
      <c r="AF35" s="22"/>
      <c r="AG35" s="22"/>
      <c r="AH35" s="22"/>
      <c r="AI35" s="22"/>
      <c r="AJ35" s="22"/>
      <c r="AK35" s="22"/>
      <c r="AL35" s="22"/>
      <c r="AM35" s="22"/>
      <c r="AN35" s="22"/>
      <c r="AO35" s="22"/>
    </row>
    <row r="36" spans="1:41" x14ac:dyDescent="0.25">
      <c r="A36" s="22"/>
      <c r="B36" s="22"/>
      <c r="C36" s="22"/>
      <c r="D36" s="22"/>
      <c r="E36" s="22"/>
      <c r="F36" s="22"/>
      <c r="G36" s="22"/>
      <c r="H36" s="22"/>
      <c r="I36" s="22"/>
      <c r="J36" s="22"/>
      <c r="K36" s="22"/>
      <c r="L36" s="22"/>
      <c r="M36" s="22"/>
      <c r="N36" s="22"/>
      <c r="O36" s="22"/>
      <c r="P36" s="22"/>
      <c r="Q36" s="22"/>
      <c r="R36" s="22"/>
      <c r="S36" s="22"/>
      <c r="T36" s="22"/>
      <c r="U36" s="22"/>
      <c r="V36" s="22"/>
      <c r="W36" s="22"/>
      <c r="X36" s="22"/>
      <c r="Y36" s="22"/>
      <c r="Z36" s="22"/>
      <c r="AA36" s="22"/>
      <c r="AB36" s="22"/>
      <c r="AC36" s="22"/>
      <c r="AD36" s="22"/>
      <c r="AE36" s="22"/>
      <c r="AF36" s="22"/>
      <c r="AG36" s="22"/>
      <c r="AH36" s="22"/>
      <c r="AI36" s="22"/>
      <c r="AJ36" s="22"/>
      <c r="AK36" s="22"/>
      <c r="AL36" s="22"/>
      <c r="AM36" s="22"/>
      <c r="AN36" s="22"/>
      <c r="AO36" s="22"/>
    </row>
    <row r="37" spans="1:41" x14ac:dyDescent="0.25">
      <c r="A37" s="22"/>
      <c r="B37" s="22"/>
      <c r="C37" s="22"/>
      <c r="D37" s="22"/>
      <c r="E37" s="22"/>
      <c r="F37" s="22"/>
      <c r="G37" s="22"/>
      <c r="H37" s="22"/>
      <c r="I37" s="22"/>
      <c r="J37" s="22"/>
      <c r="K37" s="22"/>
      <c r="L37" s="22"/>
      <c r="M37" s="22"/>
      <c r="N37" s="22"/>
      <c r="O37" s="22"/>
      <c r="P37" s="22"/>
      <c r="Q37" s="22"/>
      <c r="R37" s="22"/>
      <c r="S37" s="22"/>
      <c r="T37" s="22"/>
      <c r="U37" s="22"/>
      <c r="V37" s="22"/>
      <c r="W37" s="22"/>
      <c r="X37" s="22"/>
      <c r="Y37" s="22"/>
      <c r="Z37" s="22"/>
      <c r="AA37" s="22"/>
      <c r="AB37" s="22"/>
      <c r="AC37" s="22"/>
      <c r="AD37" s="22"/>
      <c r="AE37" s="22"/>
      <c r="AF37" s="22"/>
      <c r="AG37" s="22"/>
      <c r="AH37" s="22"/>
      <c r="AI37" s="22"/>
      <c r="AJ37" s="22"/>
      <c r="AK37" s="22"/>
      <c r="AL37" s="22"/>
      <c r="AM37" s="22"/>
      <c r="AN37" s="22"/>
      <c r="AO37" s="22"/>
    </row>
    <row r="38" spans="1:41" x14ac:dyDescent="0.25">
      <c r="A38" s="22"/>
      <c r="B38" s="22"/>
      <c r="C38" s="22"/>
      <c r="D38" s="22"/>
      <c r="E38" s="22"/>
      <c r="F38" s="22"/>
      <c r="G38" s="22"/>
      <c r="H38" s="22"/>
      <c r="I38" s="22"/>
      <c r="J38" s="22"/>
      <c r="K38" s="22"/>
      <c r="L38" s="22"/>
      <c r="M38" s="22"/>
      <c r="N38" s="22"/>
      <c r="O38" s="22"/>
      <c r="P38" s="22"/>
      <c r="Q38" s="22"/>
      <c r="R38" s="22"/>
      <c r="S38" s="22"/>
      <c r="T38" s="22"/>
      <c r="U38" s="22"/>
      <c r="V38" s="22"/>
      <c r="W38" s="22"/>
      <c r="X38" s="22"/>
      <c r="Y38" s="22"/>
      <c r="Z38" s="22"/>
      <c r="AA38" s="22"/>
      <c r="AB38" s="22"/>
      <c r="AC38" s="22"/>
      <c r="AD38" s="22"/>
      <c r="AE38" s="22"/>
      <c r="AF38" s="22"/>
      <c r="AG38" s="22"/>
      <c r="AH38" s="22"/>
      <c r="AI38" s="22"/>
      <c r="AJ38" s="22"/>
      <c r="AK38" s="22"/>
      <c r="AL38" s="22"/>
      <c r="AM38" s="22"/>
      <c r="AN38" s="22"/>
      <c r="AO38" s="22"/>
    </row>
    <row r="39" spans="1:41" x14ac:dyDescent="0.25">
      <c r="A39" s="22"/>
      <c r="B39" s="22"/>
      <c r="C39" s="22"/>
      <c r="D39" s="22"/>
      <c r="E39" s="22"/>
      <c r="F39" s="22"/>
      <c r="G39" s="22"/>
      <c r="H39" s="22"/>
      <c r="I39" s="22"/>
      <c r="J39" s="22"/>
      <c r="K39" s="22"/>
      <c r="L39" s="22"/>
      <c r="M39" s="22"/>
      <c r="N39" s="22"/>
      <c r="O39" s="22"/>
      <c r="P39" s="22"/>
      <c r="Q39" s="22"/>
      <c r="R39" s="22"/>
      <c r="S39" s="22"/>
      <c r="T39" s="22"/>
      <c r="U39" s="22"/>
      <c r="V39" s="22"/>
      <c r="W39" s="22"/>
      <c r="X39" s="22"/>
      <c r="Y39" s="22"/>
      <c r="Z39" s="22"/>
      <c r="AA39" s="22"/>
      <c r="AB39" s="22"/>
      <c r="AC39" s="22"/>
      <c r="AD39" s="22"/>
      <c r="AE39" s="22"/>
      <c r="AF39" s="22"/>
      <c r="AG39" s="22"/>
      <c r="AH39" s="22"/>
      <c r="AI39" s="22"/>
      <c r="AJ39" s="22"/>
      <c r="AK39" s="22"/>
      <c r="AL39" s="22"/>
      <c r="AM39" s="22"/>
      <c r="AN39" s="22"/>
      <c r="AO39" s="22"/>
    </row>
    <row r="40" spans="1:41" x14ac:dyDescent="0.25">
      <c r="A40" s="22"/>
      <c r="B40" s="22"/>
      <c r="C40" s="22"/>
      <c r="D40" s="22"/>
      <c r="E40" s="22"/>
      <c r="F40" s="22"/>
      <c r="G40" s="22"/>
      <c r="H40" s="22"/>
      <c r="I40" s="22"/>
      <c r="J40" s="22"/>
      <c r="K40" s="22"/>
      <c r="L40" s="22"/>
      <c r="M40" s="22"/>
      <c r="N40" s="22"/>
      <c r="O40" s="22"/>
      <c r="P40" s="22"/>
      <c r="Q40" s="22"/>
      <c r="R40" s="22"/>
      <c r="S40" s="22"/>
      <c r="T40" s="22"/>
      <c r="U40" s="22"/>
      <c r="V40" s="22"/>
      <c r="W40" s="22"/>
      <c r="X40" s="22"/>
      <c r="Y40" s="22"/>
      <c r="Z40" s="22"/>
      <c r="AA40" s="22"/>
      <c r="AB40" s="22"/>
      <c r="AC40" s="22"/>
      <c r="AD40" s="22"/>
      <c r="AE40" s="22"/>
      <c r="AF40" s="22"/>
      <c r="AG40" s="22"/>
      <c r="AH40" s="22"/>
      <c r="AI40" s="22"/>
      <c r="AJ40" s="22"/>
      <c r="AK40" s="22"/>
      <c r="AL40" s="22"/>
      <c r="AM40" s="22"/>
      <c r="AN40" s="22"/>
      <c r="AO40" s="22"/>
    </row>
    <row r="41" spans="1:41" x14ac:dyDescent="0.25">
      <c r="A41" s="22"/>
      <c r="B41" s="22"/>
      <c r="C41" s="22"/>
      <c r="D41" s="22"/>
      <c r="E41" s="22"/>
      <c r="F41" s="22"/>
      <c r="G41" s="22"/>
      <c r="H41" s="22"/>
      <c r="I41" s="22"/>
      <c r="J41" s="22"/>
      <c r="K41" s="22"/>
      <c r="L41" s="22"/>
      <c r="M41" s="22"/>
      <c r="N41" s="22"/>
      <c r="O41" s="22"/>
      <c r="P41" s="22"/>
      <c r="Q41" s="22"/>
      <c r="R41" s="22"/>
      <c r="S41" s="22"/>
      <c r="T41" s="22"/>
      <c r="U41" s="22"/>
      <c r="V41" s="22"/>
      <c r="W41" s="22"/>
      <c r="X41" s="22"/>
      <c r="Y41" s="22"/>
      <c r="Z41" s="22"/>
      <c r="AA41" s="22"/>
      <c r="AB41" s="22"/>
      <c r="AC41" s="22"/>
      <c r="AD41" s="22"/>
      <c r="AE41" s="22"/>
      <c r="AF41" s="22"/>
      <c r="AG41" s="22"/>
      <c r="AH41" s="22"/>
      <c r="AI41" s="22"/>
      <c r="AJ41" s="22"/>
      <c r="AK41" s="22"/>
      <c r="AL41" s="22"/>
      <c r="AM41" s="22"/>
      <c r="AN41" s="22"/>
      <c r="AO41" s="22"/>
    </row>
    <row r="42" spans="1:41" x14ac:dyDescent="0.25">
      <c r="A42" s="22"/>
      <c r="B42" s="22"/>
      <c r="C42" s="22"/>
      <c r="D42" s="22"/>
      <c r="E42" s="22"/>
      <c r="F42" s="22"/>
      <c r="G42" s="22"/>
      <c r="H42" s="22"/>
      <c r="I42" s="22"/>
      <c r="J42" s="22"/>
      <c r="K42" s="22"/>
      <c r="L42" s="22"/>
      <c r="M42" s="22"/>
      <c r="N42" s="22"/>
      <c r="O42" s="22"/>
      <c r="P42" s="22"/>
      <c r="Q42" s="22"/>
      <c r="R42" s="22"/>
      <c r="S42" s="22"/>
      <c r="T42" s="22"/>
      <c r="U42" s="22"/>
      <c r="V42" s="22"/>
      <c r="W42" s="22"/>
      <c r="X42" s="22"/>
      <c r="Y42" s="22"/>
      <c r="Z42" s="22"/>
      <c r="AA42" s="22"/>
      <c r="AB42" s="22"/>
      <c r="AC42" s="22"/>
      <c r="AD42" s="22"/>
      <c r="AE42" s="22"/>
      <c r="AF42" s="22"/>
      <c r="AG42" s="22"/>
      <c r="AH42" s="22"/>
      <c r="AI42" s="22"/>
      <c r="AJ42" s="22"/>
      <c r="AK42" s="22"/>
      <c r="AL42" s="22"/>
      <c r="AM42" s="22"/>
      <c r="AN42" s="22"/>
      <c r="AO42" s="22"/>
    </row>
    <row r="43" spans="1:41" x14ac:dyDescent="0.25">
      <c r="A43" s="22"/>
      <c r="B43" s="22"/>
      <c r="C43" s="22"/>
      <c r="D43" s="22"/>
      <c r="E43" s="22"/>
      <c r="F43" s="22"/>
      <c r="G43" s="22"/>
      <c r="H43" s="22"/>
      <c r="I43" s="22"/>
      <c r="J43" s="22"/>
      <c r="K43" s="22"/>
      <c r="L43" s="22"/>
      <c r="M43" s="22"/>
      <c r="N43" s="22"/>
      <c r="O43" s="22"/>
      <c r="P43" s="22"/>
      <c r="Q43" s="22"/>
      <c r="R43" s="22"/>
      <c r="S43" s="22"/>
      <c r="T43" s="22"/>
      <c r="U43" s="22"/>
      <c r="V43" s="22"/>
      <c r="W43" s="22"/>
      <c r="X43" s="22"/>
      <c r="Y43" s="22"/>
      <c r="Z43" s="22"/>
      <c r="AA43" s="22"/>
      <c r="AB43" s="22"/>
      <c r="AC43" s="22"/>
      <c r="AD43" s="22"/>
      <c r="AE43" s="22"/>
      <c r="AF43" s="22"/>
      <c r="AG43" s="22"/>
      <c r="AH43" s="22"/>
      <c r="AI43" s="22"/>
      <c r="AJ43" s="22"/>
      <c r="AK43" s="22"/>
      <c r="AL43" s="22"/>
      <c r="AM43" s="22"/>
      <c r="AN43" s="22"/>
      <c r="AO43" s="22"/>
    </row>
    <row r="44" spans="1:41" x14ac:dyDescent="0.25">
      <c r="A44" s="22"/>
      <c r="B44" s="22"/>
      <c r="C44" s="22"/>
      <c r="D44" s="22"/>
      <c r="E44" s="22"/>
      <c r="F44" s="22"/>
      <c r="G44" s="22"/>
      <c r="H44" s="22"/>
      <c r="I44" s="22"/>
      <c r="J44" s="22"/>
      <c r="K44" s="22"/>
      <c r="L44" s="22"/>
      <c r="M44" s="22"/>
      <c r="N44" s="22"/>
      <c r="O44" s="22"/>
      <c r="P44" s="22"/>
      <c r="Q44" s="22"/>
      <c r="R44" s="22"/>
      <c r="S44" s="22"/>
      <c r="T44" s="22"/>
      <c r="U44" s="22"/>
      <c r="V44" s="22"/>
      <c r="W44" s="22"/>
      <c r="X44" s="22"/>
      <c r="Y44" s="22"/>
      <c r="Z44" s="22"/>
      <c r="AA44" s="22"/>
      <c r="AB44" s="22"/>
      <c r="AC44" s="22"/>
      <c r="AD44" s="22"/>
      <c r="AE44" s="22"/>
      <c r="AF44" s="22"/>
      <c r="AG44" s="22"/>
      <c r="AH44" s="22"/>
      <c r="AI44" s="22"/>
      <c r="AJ44" s="22"/>
      <c r="AK44" s="22"/>
      <c r="AL44" s="22"/>
      <c r="AM44" s="22"/>
      <c r="AN44" s="22"/>
      <c r="AO44" s="22"/>
    </row>
    <row r="45" spans="1:41" x14ac:dyDescent="0.25">
      <c r="A45" s="22"/>
      <c r="B45" s="22"/>
      <c r="C45" s="22"/>
      <c r="D45" s="22"/>
      <c r="E45" s="22"/>
      <c r="F45" s="22"/>
      <c r="G45" s="22"/>
      <c r="H45" s="22"/>
      <c r="I45" s="22"/>
      <c r="J45" s="22"/>
      <c r="K45" s="22"/>
      <c r="L45" s="22"/>
      <c r="M45" s="22"/>
      <c r="N45" s="22"/>
      <c r="O45" s="22"/>
      <c r="P45" s="22"/>
      <c r="Q45" s="22"/>
      <c r="R45" s="22"/>
      <c r="S45" s="22"/>
      <c r="T45" s="22"/>
      <c r="U45" s="22"/>
      <c r="V45" s="22"/>
      <c r="W45" s="22"/>
      <c r="X45" s="22"/>
      <c r="Y45" s="22"/>
      <c r="Z45" s="22"/>
      <c r="AA45" s="22"/>
      <c r="AB45" s="22"/>
      <c r="AC45" s="22"/>
      <c r="AD45" s="22"/>
      <c r="AE45" s="22"/>
      <c r="AF45" s="22"/>
      <c r="AG45" s="22"/>
      <c r="AH45" s="22"/>
      <c r="AI45" s="22"/>
      <c r="AJ45" s="22"/>
      <c r="AK45" s="22"/>
      <c r="AL45" s="22"/>
      <c r="AM45" s="22"/>
      <c r="AN45" s="22"/>
      <c r="AO45" s="22"/>
    </row>
    <row r="46" spans="1:41" x14ac:dyDescent="0.25">
      <c r="A46" s="22"/>
      <c r="B46" s="22"/>
      <c r="C46" s="22"/>
      <c r="D46" s="22"/>
      <c r="E46" s="22"/>
      <c r="F46" s="22"/>
      <c r="G46" s="22"/>
      <c r="H46" s="22"/>
      <c r="I46" s="22"/>
      <c r="J46" s="22"/>
      <c r="K46" s="22"/>
      <c r="L46" s="22"/>
      <c r="M46" s="22"/>
      <c r="N46" s="22"/>
      <c r="O46" s="22"/>
      <c r="P46" s="22"/>
      <c r="Q46" s="22"/>
      <c r="R46" s="22"/>
      <c r="S46" s="22"/>
      <c r="T46" s="22"/>
      <c r="U46" s="22"/>
      <c r="V46" s="22"/>
      <c r="W46" s="22"/>
      <c r="X46" s="22"/>
      <c r="Y46" s="22"/>
      <c r="Z46" s="22"/>
      <c r="AA46" s="22"/>
      <c r="AB46" s="22"/>
      <c r="AC46" s="22"/>
      <c r="AD46" s="22"/>
      <c r="AE46" s="22"/>
      <c r="AF46" s="22"/>
      <c r="AG46" s="22"/>
      <c r="AH46" s="22"/>
      <c r="AI46" s="22"/>
      <c r="AJ46" s="22"/>
      <c r="AK46" s="22"/>
      <c r="AL46" s="22"/>
      <c r="AM46" s="22"/>
      <c r="AN46" s="22"/>
      <c r="AO46" s="22"/>
    </row>
    <row r="47" spans="1:41" x14ac:dyDescent="0.25">
      <c r="A47" s="22"/>
      <c r="B47" s="22"/>
      <c r="C47" s="22"/>
      <c r="D47" s="22"/>
      <c r="E47" s="22"/>
      <c r="F47" s="22"/>
      <c r="G47" s="22"/>
      <c r="H47" s="22"/>
      <c r="I47" s="22"/>
      <c r="J47" s="22"/>
      <c r="K47" s="22"/>
      <c r="L47" s="22"/>
      <c r="M47" s="22"/>
      <c r="N47" s="22"/>
      <c r="O47" s="22"/>
      <c r="P47" s="22"/>
      <c r="Q47" s="22"/>
      <c r="R47" s="22"/>
      <c r="S47" s="22"/>
      <c r="T47" s="22"/>
      <c r="U47" s="22"/>
      <c r="V47" s="22"/>
      <c r="W47" s="22"/>
      <c r="X47" s="22"/>
      <c r="Y47" s="22"/>
      <c r="Z47" s="22"/>
      <c r="AA47" s="22"/>
      <c r="AB47" s="22"/>
      <c r="AC47" s="22"/>
      <c r="AD47" s="22"/>
      <c r="AE47" s="22"/>
      <c r="AF47" s="22"/>
      <c r="AG47" s="22"/>
      <c r="AH47" s="22"/>
      <c r="AI47" s="22"/>
      <c r="AJ47" s="22"/>
      <c r="AK47" s="22"/>
      <c r="AL47" s="22"/>
      <c r="AM47" s="22"/>
      <c r="AN47" s="22"/>
      <c r="AO47" s="22"/>
    </row>
    <row r="48" spans="1:41" x14ac:dyDescent="0.25">
      <c r="A48" s="22"/>
      <c r="B48" s="22"/>
      <c r="C48" s="22"/>
      <c r="D48" s="22"/>
      <c r="E48" s="22"/>
      <c r="F48" s="22"/>
      <c r="G48" s="22"/>
      <c r="H48" s="22"/>
      <c r="I48" s="22"/>
      <c r="J48" s="22"/>
      <c r="K48" s="22"/>
      <c r="L48" s="22"/>
      <c r="M48" s="22"/>
      <c r="N48" s="22"/>
      <c r="O48" s="22"/>
      <c r="P48" s="22"/>
      <c r="Q48" s="22"/>
      <c r="R48" s="22"/>
      <c r="S48" s="22"/>
      <c r="T48" s="22"/>
      <c r="U48" s="22"/>
      <c r="V48" s="22"/>
      <c r="W48" s="22"/>
      <c r="X48" s="22"/>
      <c r="Y48" s="22"/>
      <c r="Z48" s="22"/>
      <c r="AA48" s="22"/>
      <c r="AB48" s="22"/>
      <c r="AC48" s="22"/>
      <c r="AD48" s="22"/>
      <c r="AE48" s="22"/>
      <c r="AF48" s="22"/>
      <c r="AG48" s="22"/>
      <c r="AH48" s="22"/>
      <c r="AI48" s="22"/>
      <c r="AJ48" s="22"/>
      <c r="AK48" s="22"/>
      <c r="AL48" s="22"/>
      <c r="AM48" s="22"/>
      <c r="AN48" s="22"/>
      <c r="AO48" s="22"/>
    </row>
    <row r="49" spans="1:41" x14ac:dyDescent="0.25">
      <c r="A49" s="22"/>
      <c r="B49" s="22"/>
      <c r="C49" s="22"/>
      <c r="D49" s="22"/>
      <c r="E49" s="22"/>
      <c r="F49" s="22"/>
      <c r="G49" s="22"/>
      <c r="H49" s="22"/>
      <c r="I49" s="22"/>
      <c r="J49" s="22"/>
      <c r="K49" s="22"/>
      <c r="L49" s="22"/>
      <c r="M49" s="22"/>
      <c r="N49" s="22"/>
      <c r="O49" s="22"/>
      <c r="P49" s="22"/>
      <c r="Q49" s="22"/>
      <c r="R49" s="22"/>
      <c r="S49" s="22"/>
      <c r="T49" s="22"/>
      <c r="U49" s="22"/>
      <c r="V49" s="22"/>
      <c r="W49" s="22"/>
      <c r="X49" s="22"/>
      <c r="Y49" s="22"/>
      <c r="Z49" s="22"/>
      <c r="AA49" s="22"/>
      <c r="AB49" s="22"/>
      <c r="AC49" s="22"/>
      <c r="AD49" s="22"/>
      <c r="AE49" s="22"/>
      <c r="AF49" s="22"/>
      <c r="AG49" s="22"/>
      <c r="AH49" s="22"/>
      <c r="AI49" s="22"/>
      <c r="AJ49" s="22"/>
      <c r="AK49" s="22"/>
      <c r="AL49" s="22"/>
      <c r="AM49" s="22"/>
      <c r="AN49" s="22"/>
      <c r="AO49" s="22"/>
    </row>
    <row r="50" spans="1:41" x14ac:dyDescent="0.25">
      <c r="A50" s="22"/>
      <c r="B50" s="22"/>
      <c r="C50" s="22"/>
      <c r="D50" s="22"/>
      <c r="E50" s="22"/>
      <c r="F50" s="22"/>
      <c r="G50" s="22"/>
      <c r="H50" s="22"/>
      <c r="I50" s="22"/>
      <c r="J50" s="22"/>
      <c r="K50" s="22"/>
      <c r="L50" s="22"/>
      <c r="M50" s="22"/>
      <c r="N50" s="22"/>
      <c r="O50" s="22"/>
      <c r="P50" s="22"/>
      <c r="Q50" s="22"/>
      <c r="R50" s="22"/>
      <c r="S50" s="22"/>
      <c r="T50" s="22"/>
      <c r="U50" s="22"/>
      <c r="V50" s="22"/>
      <c r="W50" s="22"/>
      <c r="X50" s="22"/>
      <c r="Y50" s="22"/>
      <c r="Z50" s="22"/>
      <c r="AA50" s="22"/>
      <c r="AB50" s="22"/>
      <c r="AC50" s="22"/>
      <c r="AD50" s="22"/>
      <c r="AE50" s="22"/>
      <c r="AF50" s="22"/>
      <c r="AG50" s="22"/>
      <c r="AH50" s="22"/>
      <c r="AI50" s="22"/>
      <c r="AJ50" s="22"/>
      <c r="AK50" s="22"/>
      <c r="AL50" s="22"/>
      <c r="AM50" s="22"/>
      <c r="AN50" s="22"/>
      <c r="AO50" s="22"/>
    </row>
    <row r="51" spans="1:41" x14ac:dyDescent="0.25">
      <c r="A51" s="22"/>
      <c r="B51" s="22"/>
      <c r="C51" s="22"/>
      <c r="D51" s="22"/>
      <c r="E51" s="22"/>
      <c r="F51" s="22"/>
      <c r="G51" s="22"/>
      <c r="H51" s="22"/>
      <c r="I51" s="22"/>
      <c r="J51" s="22"/>
      <c r="K51" s="22"/>
      <c r="L51" s="22"/>
      <c r="M51" s="22"/>
      <c r="N51" s="22"/>
      <c r="O51" s="22"/>
      <c r="P51" s="22"/>
      <c r="Q51" s="22"/>
      <c r="R51" s="22"/>
      <c r="S51" s="22"/>
      <c r="T51" s="22"/>
      <c r="U51" s="22"/>
      <c r="V51" s="22"/>
      <c r="W51" s="22"/>
      <c r="X51" s="22"/>
      <c r="Y51" s="22"/>
      <c r="Z51" s="22"/>
      <c r="AA51" s="22"/>
      <c r="AB51" s="22"/>
      <c r="AC51" s="22"/>
      <c r="AD51" s="22"/>
      <c r="AE51" s="22"/>
      <c r="AF51" s="22"/>
      <c r="AG51" s="22"/>
      <c r="AH51" s="22"/>
      <c r="AI51" s="22"/>
      <c r="AJ51" s="22"/>
      <c r="AK51" s="22"/>
      <c r="AL51" s="22"/>
      <c r="AM51" s="22"/>
      <c r="AN51" s="22"/>
      <c r="AO51" s="22"/>
    </row>
    <row r="52" spans="1:41" x14ac:dyDescent="0.25">
      <c r="A52" s="22"/>
      <c r="B52" s="22"/>
      <c r="C52" s="22"/>
      <c r="D52" s="22"/>
      <c r="E52" s="22"/>
      <c r="F52" s="22"/>
      <c r="G52" s="22"/>
      <c r="H52" s="22"/>
      <c r="I52" s="22"/>
      <c r="J52" s="22"/>
      <c r="K52" s="22"/>
      <c r="L52" s="22"/>
      <c r="M52" s="22"/>
      <c r="N52" s="22"/>
      <c r="O52" s="22"/>
      <c r="P52" s="22"/>
      <c r="Q52" s="22"/>
      <c r="R52" s="22"/>
      <c r="S52" s="22"/>
      <c r="T52" s="22"/>
      <c r="U52" s="22"/>
      <c r="V52" s="22"/>
      <c r="W52" s="22"/>
      <c r="X52" s="22"/>
      <c r="Y52" s="22"/>
      <c r="Z52" s="22"/>
      <c r="AA52" s="22"/>
      <c r="AB52" s="22"/>
      <c r="AC52" s="22"/>
      <c r="AD52" s="22"/>
      <c r="AE52" s="22"/>
      <c r="AF52" s="22"/>
      <c r="AG52" s="22"/>
      <c r="AH52" s="22"/>
      <c r="AI52" s="22"/>
      <c r="AJ52" s="22"/>
      <c r="AK52" s="22"/>
      <c r="AL52" s="22"/>
      <c r="AM52" s="22"/>
      <c r="AN52" s="22"/>
      <c r="AO52" s="22"/>
    </row>
    <row r="53" spans="1:41" x14ac:dyDescent="0.25">
      <c r="A53" s="22"/>
      <c r="B53" s="22"/>
      <c r="C53" s="22"/>
      <c r="D53" s="22"/>
      <c r="E53" s="22"/>
      <c r="F53" s="22"/>
      <c r="G53" s="22"/>
      <c r="H53" s="22"/>
      <c r="I53" s="22"/>
      <c r="J53" s="22"/>
      <c r="K53" s="22"/>
      <c r="L53" s="22"/>
      <c r="M53" s="22"/>
      <c r="N53" s="22"/>
      <c r="O53" s="22"/>
      <c r="P53" s="22"/>
      <c r="Q53" s="22"/>
      <c r="R53" s="22"/>
      <c r="S53" s="22"/>
      <c r="T53" s="22"/>
      <c r="U53" s="22"/>
      <c r="V53" s="22"/>
      <c r="W53" s="22"/>
      <c r="X53" s="22"/>
      <c r="Y53" s="22"/>
      <c r="Z53" s="22"/>
      <c r="AA53" s="22"/>
      <c r="AB53" s="22"/>
      <c r="AC53" s="22"/>
      <c r="AD53" s="22"/>
      <c r="AE53" s="22"/>
      <c r="AF53" s="22"/>
      <c r="AG53" s="22"/>
      <c r="AH53" s="22"/>
      <c r="AI53" s="22"/>
      <c r="AJ53" s="22"/>
      <c r="AK53" s="22"/>
      <c r="AL53" s="22"/>
      <c r="AM53" s="22"/>
      <c r="AN53" s="22"/>
      <c r="AO53" s="22"/>
    </row>
    <row r="54" spans="1:41" x14ac:dyDescent="0.25">
      <c r="A54" s="22"/>
      <c r="B54" s="22"/>
      <c r="C54" s="22"/>
      <c r="D54" s="22"/>
      <c r="E54" s="22"/>
      <c r="F54" s="22"/>
      <c r="G54" s="22"/>
      <c r="H54" s="22"/>
      <c r="I54" s="22"/>
      <c r="J54" s="22"/>
      <c r="K54" s="22"/>
      <c r="L54" s="22"/>
      <c r="M54" s="22"/>
      <c r="N54" s="22"/>
      <c r="O54" s="22"/>
      <c r="P54" s="22"/>
      <c r="Q54" s="22"/>
      <c r="R54" s="22"/>
      <c r="S54" s="22"/>
      <c r="T54" s="22"/>
      <c r="U54" s="22"/>
      <c r="V54" s="22"/>
      <c r="W54" s="22"/>
      <c r="X54" s="22"/>
      <c r="Y54" s="22"/>
      <c r="Z54" s="22"/>
      <c r="AA54" s="22"/>
      <c r="AB54" s="22"/>
      <c r="AC54" s="22"/>
      <c r="AD54" s="22"/>
      <c r="AE54" s="22"/>
      <c r="AF54" s="22"/>
      <c r="AG54" s="22"/>
      <c r="AH54" s="22"/>
      <c r="AI54" s="22"/>
      <c r="AJ54" s="22"/>
      <c r="AK54" s="22"/>
      <c r="AL54" s="22"/>
      <c r="AM54" s="22"/>
      <c r="AN54" s="22"/>
      <c r="AO54" s="22"/>
    </row>
    <row r="55" spans="1:41" x14ac:dyDescent="0.25">
      <c r="A55" s="22"/>
      <c r="B55" s="22"/>
      <c r="C55" s="22"/>
      <c r="D55" s="22"/>
      <c r="E55" s="22"/>
      <c r="F55" s="22"/>
      <c r="G55" s="22"/>
      <c r="H55" s="22"/>
      <c r="I55" s="22"/>
      <c r="J55" s="22"/>
      <c r="K55" s="22"/>
      <c r="L55" s="22"/>
      <c r="M55" s="22"/>
      <c r="N55" s="22"/>
      <c r="O55" s="22"/>
      <c r="P55" s="22"/>
      <c r="Q55" s="22"/>
      <c r="R55" s="22"/>
      <c r="S55" s="22"/>
      <c r="T55" s="22"/>
      <c r="U55" s="22"/>
      <c r="V55" s="22"/>
      <c r="W55" s="22"/>
      <c r="X55" s="22"/>
      <c r="Y55" s="22"/>
      <c r="Z55" s="22"/>
      <c r="AA55" s="22"/>
      <c r="AB55" s="22"/>
      <c r="AC55" s="22"/>
      <c r="AD55" s="22"/>
      <c r="AE55" s="22"/>
      <c r="AF55" s="22"/>
      <c r="AG55" s="22"/>
      <c r="AH55" s="22"/>
      <c r="AI55" s="22"/>
      <c r="AJ55" s="22"/>
      <c r="AK55" s="22"/>
      <c r="AL55" s="22"/>
      <c r="AM55" s="22"/>
      <c r="AN55" s="22"/>
      <c r="AO55" s="22"/>
    </row>
    <row r="56" spans="1:41" x14ac:dyDescent="0.25">
      <c r="A56" s="22"/>
      <c r="B56" s="22"/>
      <c r="C56" s="22"/>
      <c r="D56" s="22"/>
      <c r="E56" s="22"/>
      <c r="F56" s="22"/>
      <c r="G56" s="22"/>
      <c r="H56" s="22"/>
      <c r="I56" s="22"/>
      <c r="J56" s="22"/>
      <c r="K56" s="22"/>
      <c r="L56" s="22"/>
      <c r="M56" s="22"/>
      <c r="N56" s="22"/>
      <c r="O56" s="22"/>
      <c r="P56" s="22"/>
      <c r="Q56" s="22"/>
      <c r="R56" s="22"/>
      <c r="S56" s="22"/>
      <c r="T56" s="22"/>
      <c r="U56" s="22"/>
      <c r="V56" s="22"/>
      <c r="W56" s="22"/>
      <c r="X56" s="22"/>
      <c r="Y56" s="22"/>
      <c r="Z56" s="22"/>
      <c r="AA56" s="22"/>
      <c r="AB56" s="22"/>
      <c r="AC56" s="22"/>
      <c r="AD56" s="22"/>
      <c r="AE56" s="22"/>
      <c r="AF56" s="22"/>
      <c r="AG56" s="22"/>
      <c r="AH56" s="22"/>
      <c r="AI56" s="22"/>
      <c r="AJ56" s="22"/>
      <c r="AK56" s="22"/>
      <c r="AL56" s="22"/>
      <c r="AM56" s="22"/>
      <c r="AN56" s="22"/>
      <c r="AO56" s="22"/>
    </row>
    <row r="57" spans="1:41" x14ac:dyDescent="0.25">
      <c r="A57" s="22"/>
      <c r="B57" s="22"/>
      <c r="C57" s="22"/>
      <c r="D57" s="22"/>
      <c r="E57" s="22"/>
      <c r="F57" s="22"/>
      <c r="G57" s="22"/>
      <c r="H57" s="22"/>
      <c r="I57" s="22"/>
      <c r="J57" s="22"/>
      <c r="K57" s="22"/>
      <c r="L57" s="22"/>
      <c r="M57" s="22"/>
      <c r="N57" s="22"/>
      <c r="O57" s="22"/>
      <c r="P57" s="22"/>
      <c r="Q57" s="22"/>
      <c r="R57" s="22"/>
      <c r="S57" s="22"/>
      <c r="T57" s="22"/>
      <c r="U57" s="22"/>
      <c r="V57" s="22"/>
      <c r="W57" s="22"/>
      <c r="X57" s="22"/>
      <c r="Y57" s="22"/>
      <c r="Z57" s="22"/>
      <c r="AA57" s="22"/>
      <c r="AB57" s="22"/>
      <c r="AC57" s="22"/>
      <c r="AD57" s="22"/>
      <c r="AE57" s="22"/>
      <c r="AF57" s="22"/>
      <c r="AG57" s="22"/>
      <c r="AH57" s="22"/>
      <c r="AI57" s="22"/>
      <c r="AJ57" s="22"/>
      <c r="AK57" s="22"/>
      <c r="AL57" s="22"/>
      <c r="AM57" s="22"/>
      <c r="AN57" s="22"/>
      <c r="AO57" s="22"/>
    </row>
    <row r="58" spans="1:41" x14ac:dyDescent="0.25">
      <c r="A58" s="22"/>
      <c r="B58" s="22"/>
      <c r="C58" s="22"/>
      <c r="D58" s="22"/>
      <c r="E58" s="22"/>
      <c r="F58" s="22"/>
      <c r="G58" s="22"/>
      <c r="H58" s="22"/>
      <c r="I58" s="22"/>
      <c r="J58" s="22"/>
      <c r="K58" s="22"/>
      <c r="L58" s="22"/>
      <c r="M58" s="22"/>
      <c r="N58" s="22"/>
      <c r="O58" s="22"/>
      <c r="P58" s="22"/>
      <c r="Q58" s="22"/>
      <c r="R58" s="22"/>
      <c r="S58" s="22"/>
      <c r="T58" s="22"/>
      <c r="U58" s="22"/>
      <c r="V58" s="22"/>
      <c r="W58" s="22"/>
      <c r="X58" s="22"/>
      <c r="Y58" s="22"/>
      <c r="Z58" s="22"/>
      <c r="AA58" s="22"/>
      <c r="AB58" s="22"/>
      <c r="AC58" s="22"/>
      <c r="AD58" s="22"/>
      <c r="AE58" s="22"/>
      <c r="AF58" s="22"/>
      <c r="AG58" s="22"/>
      <c r="AH58" s="22"/>
      <c r="AI58" s="22"/>
      <c r="AJ58" s="22"/>
      <c r="AK58" s="22"/>
      <c r="AL58" s="22"/>
      <c r="AM58" s="22"/>
      <c r="AN58" s="22"/>
      <c r="AO58" s="22"/>
    </row>
    <row r="59" spans="1:41" x14ac:dyDescent="0.25">
      <c r="A59" s="22"/>
      <c r="B59" s="22"/>
      <c r="C59" s="22"/>
      <c r="D59" s="22"/>
      <c r="E59" s="22"/>
      <c r="F59" s="22"/>
      <c r="G59" s="22"/>
      <c r="H59" s="22"/>
      <c r="I59" s="22"/>
      <c r="J59" s="22"/>
      <c r="K59" s="22"/>
      <c r="L59" s="22"/>
      <c r="M59" s="22"/>
      <c r="N59" s="22"/>
      <c r="O59" s="22"/>
      <c r="P59" s="22"/>
      <c r="Q59" s="22"/>
      <c r="R59" s="22"/>
      <c r="S59" s="22"/>
      <c r="T59" s="22"/>
      <c r="U59" s="22"/>
      <c r="V59" s="22"/>
      <c r="W59" s="22"/>
      <c r="X59" s="22"/>
      <c r="Y59" s="22"/>
      <c r="Z59" s="22"/>
      <c r="AA59" s="22"/>
      <c r="AB59" s="22"/>
      <c r="AC59" s="22"/>
      <c r="AD59" s="22"/>
      <c r="AE59" s="22"/>
      <c r="AF59" s="22"/>
      <c r="AG59" s="22"/>
      <c r="AH59" s="22"/>
      <c r="AI59" s="22"/>
      <c r="AJ59" s="22"/>
      <c r="AK59" s="22"/>
      <c r="AL59" s="22"/>
      <c r="AM59" s="22"/>
      <c r="AN59" s="22"/>
      <c r="AO59" s="22"/>
    </row>
    <row r="60" spans="1:41" x14ac:dyDescent="0.25">
      <c r="A60" s="22"/>
      <c r="B60" s="22"/>
      <c r="C60" s="22"/>
      <c r="D60" s="22"/>
      <c r="E60" s="22"/>
      <c r="F60" s="22"/>
      <c r="G60" s="22"/>
      <c r="H60" s="22"/>
      <c r="I60" s="22"/>
      <c r="J60" s="22"/>
      <c r="K60" s="22"/>
      <c r="L60" s="22"/>
      <c r="M60" s="22"/>
      <c r="N60" s="22"/>
      <c r="O60" s="22"/>
      <c r="P60" s="22"/>
      <c r="Q60" s="22"/>
      <c r="R60" s="22"/>
      <c r="S60" s="22"/>
      <c r="T60" s="22"/>
      <c r="U60" s="22"/>
      <c r="V60" s="22"/>
      <c r="W60" s="22"/>
      <c r="X60" s="22"/>
      <c r="Y60" s="22"/>
      <c r="Z60" s="22"/>
      <c r="AA60" s="22"/>
      <c r="AB60" s="22"/>
      <c r="AC60" s="22"/>
      <c r="AD60" s="22"/>
      <c r="AE60" s="22"/>
      <c r="AF60" s="22"/>
      <c r="AG60" s="22"/>
      <c r="AH60" s="22"/>
      <c r="AI60" s="22"/>
      <c r="AJ60" s="22"/>
      <c r="AK60" s="22"/>
      <c r="AL60" s="22"/>
      <c r="AM60" s="22"/>
      <c r="AN60" s="22"/>
      <c r="AO60" s="22"/>
    </row>
    <row r="61" spans="1:41" x14ac:dyDescent="0.25">
      <c r="A61" s="22"/>
      <c r="B61" s="22"/>
      <c r="C61" s="22"/>
      <c r="D61" s="22"/>
      <c r="E61" s="22"/>
      <c r="F61" s="22"/>
      <c r="G61" s="22"/>
      <c r="H61" s="22"/>
      <c r="I61" s="22"/>
      <c r="J61" s="22"/>
      <c r="K61" s="22"/>
      <c r="L61" s="22"/>
      <c r="M61" s="22"/>
      <c r="N61" s="22"/>
      <c r="O61" s="22"/>
      <c r="P61" s="22"/>
      <c r="Q61" s="22"/>
      <c r="R61" s="22"/>
      <c r="S61" s="22"/>
      <c r="T61" s="22"/>
      <c r="U61" s="22"/>
      <c r="V61" s="22"/>
      <c r="W61" s="22"/>
      <c r="X61" s="22"/>
      <c r="Y61" s="22"/>
      <c r="Z61" s="22"/>
      <c r="AA61" s="22"/>
      <c r="AB61" s="22"/>
      <c r="AC61" s="22"/>
      <c r="AD61" s="22"/>
      <c r="AE61" s="22"/>
      <c r="AF61" s="22"/>
      <c r="AG61" s="22"/>
      <c r="AH61" s="22"/>
      <c r="AI61" s="22"/>
      <c r="AJ61" s="22"/>
      <c r="AK61" s="22"/>
      <c r="AL61" s="22"/>
      <c r="AM61" s="22"/>
      <c r="AN61" s="22"/>
      <c r="AO61" s="22"/>
    </row>
    <row r="62" spans="1:41" x14ac:dyDescent="0.25">
      <c r="A62" s="22"/>
      <c r="B62" s="22"/>
      <c r="C62" s="22"/>
      <c r="D62" s="22"/>
      <c r="E62" s="22"/>
      <c r="F62" s="22"/>
      <c r="G62" s="22"/>
      <c r="H62" s="22"/>
      <c r="I62" s="22"/>
      <c r="J62" s="22"/>
      <c r="K62" s="22"/>
      <c r="L62" s="22"/>
      <c r="M62" s="22"/>
      <c r="N62" s="22"/>
      <c r="O62" s="22"/>
      <c r="P62" s="22"/>
      <c r="Q62" s="22"/>
      <c r="R62" s="22"/>
      <c r="S62" s="22"/>
      <c r="T62" s="22"/>
      <c r="U62" s="22"/>
      <c r="V62" s="22"/>
      <c r="W62" s="22"/>
      <c r="X62" s="22"/>
      <c r="Y62" s="22"/>
      <c r="Z62" s="22"/>
      <c r="AA62" s="22"/>
      <c r="AB62" s="22"/>
      <c r="AC62" s="22"/>
      <c r="AD62" s="22"/>
      <c r="AE62" s="22"/>
      <c r="AF62" s="22"/>
      <c r="AG62" s="22"/>
      <c r="AH62" s="22"/>
      <c r="AI62" s="22"/>
      <c r="AJ62" s="22"/>
      <c r="AK62" s="22"/>
      <c r="AL62" s="22"/>
      <c r="AM62" s="22"/>
      <c r="AN62" s="22"/>
      <c r="AO62" s="22"/>
    </row>
    <row r="63" spans="1:41" x14ac:dyDescent="0.25">
      <c r="A63" s="22"/>
      <c r="B63" s="22"/>
      <c r="C63" s="22"/>
      <c r="D63" s="22"/>
      <c r="E63" s="22"/>
      <c r="F63" s="22"/>
      <c r="G63" s="22"/>
      <c r="H63" s="22"/>
      <c r="I63" s="22"/>
      <c r="J63" s="22"/>
      <c r="K63" s="22"/>
      <c r="L63" s="22"/>
      <c r="M63" s="22"/>
      <c r="N63" s="22"/>
      <c r="O63" s="22"/>
      <c r="P63" s="22"/>
      <c r="Q63" s="22"/>
      <c r="R63" s="22"/>
      <c r="S63" s="22"/>
      <c r="T63" s="22"/>
      <c r="U63" s="22"/>
      <c r="V63" s="22"/>
      <c r="W63" s="22"/>
      <c r="X63" s="22"/>
      <c r="Y63" s="22"/>
      <c r="Z63" s="22"/>
      <c r="AA63" s="22"/>
      <c r="AB63" s="22"/>
      <c r="AC63" s="22"/>
      <c r="AD63" s="22"/>
      <c r="AE63" s="22"/>
      <c r="AF63" s="22"/>
      <c r="AG63" s="22"/>
      <c r="AH63" s="22"/>
      <c r="AI63" s="22"/>
      <c r="AJ63" s="22"/>
      <c r="AK63" s="22"/>
      <c r="AL63" s="22"/>
      <c r="AM63" s="22"/>
      <c r="AN63" s="22"/>
      <c r="AO63" s="22"/>
    </row>
    <row r="64" spans="1:41" x14ac:dyDescent="0.25">
      <c r="A64" s="22"/>
      <c r="B64" s="22"/>
      <c r="C64" s="22"/>
      <c r="D64" s="22"/>
      <c r="E64" s="22"/>
      <c r="F64" s="22"/>
      <c r="G64" s="22"/>
      <c r="H64" s="22"/>
      <c r="I64" s="22"/>
      <c r="J64" s="22"/>
      <c r="K64" s="22"/>
      <c r="L64" s="22"/>
      <c r="M64" s="22"/>
      <c r="N64" s="22"/>
      <c r="O64" s="22"/>
      <c r="P64" s="22"/>
      <c r="Q64" s="22"/>
      <c r="R64" s="22"/>
      <c r="S64" s="22"/>
      <c r="T64" s="22"/>
      <c r="U64" s="22"/>
      <c r="V64" s="22"/>
      <c r="W64" s="22"/>
      <c r="X64" s="22"/>
      <c r="Y64" s="22"/>
      <c r="Z64" s="22"/>
      <c r="AA64" s="22"/>
      <c r="AB64" s="22"/>
      <c r="AC64" s="22"/>
      <c r="AD64" s="22"/>
      <c r="AE64" s="22"/>
      <c r="AF64" s="22"/>
      <c r="AG64" s="22"/>
      <c r="AH64" s="22"/>
      <c r="AI64" s="22"/>
      <c r="AJ64" s="22"/>
      <c r="AK64" s="22"/>
      <c r="AL64" s="22"/>
      <c r="AM64" s="22"/>
      <c r="AN64" s="22"/>
      <c r="AO64" s="22"/>
    </row>
    <row r="65" spans="1:41" x14ac:dyDescent="0.25">
      <c r="A65" s="22"/>
      <c r="B65" s="22"/>
      <c r="C65" s="22"/>
      <c r="D65" s="22"/>
      <c r="E65" s="22"/>
      <c r="F65" s="22"/>
      <c r="G65" s="22"/>
      <c r="H65" s="22"/>
      <c r="I65" s="22"/>
      <c r="J65" s="22"/>
      <c r="K65" s="22"/>
      <c r="L65" s="22"/>
      <c r="M65" s="22"/>
      <c r="N65" s="22"/>
      <c r="O65" s="22"/>
      <c r="P65" s="22"/>
      <c r="Q65" s="22"/>
      <c r="R65" s="22"/>
      <c r="S65" s="22"/>
      <c r="T65" s="22"/>
      <c r="U65" s="22"/>
      <c r="V65" s="22"/>
      <c r="W65" s="22"/>
      <c r="X65" s="22"/>
      <c r="Y65" s="22"/>
      <c r="Z65" s="22"/>
      <c r="AA65" s="22"/>
      <c r="AB65" s="22"/>
      <c r="AC65" s="22"/>
      <c r="AD65" s="22"/>
      <c r="AE65" s="22"/>
      <c r="AF65" s="22"/>
      <c r="AG65" s="22"/>
      <c r="AH65" s="22"/>
      <c r="AI65" s="22"/>
      <c r="AJ65" s="22"/>
      <c r="AK65" s="22"/>
      <c r="AL65" s="22"/>
      <c r="AM65" s="22"/>
      <c r="AN65" s="22"/>
      <c r="AO65" s="22"/>
    </row>
    <row r="66" spans="1:41" x14ac:dyDescent="0.25">
      <c r="A66" s="22"/>
      <c r="B66" s="22"/>
      <c r="C66" s="22"/>
      <c r="D66" s="22"/>
      <c r="E66" s="22"/>
      <c r="F66" s="22"/>
      <c r="G66" s="22"/>
      <c r="H66" s="22"/>
      <c r="I66" s="22"/>
      <c r="J66" s="22"/>
      <c r="K66" s="22"/>
      <c r="L66" s="22"/>
      <c r="M66" s="22"/>
      <c r="N66" s="22"/>
      <c r="O66" s="22"/>
      <c r="P66" s="22"/>
      <c r="Q66" s="22"/>
      <c r="R66" s="22"/>
      <c r="S66" s="22"/>
      <c r="T66" s="22"/>
      <c r="U66" s="22"/>
      <c r="V66" s="22"/>
      <c r="W66" s="22"/>
      <c r="X66" s="22"/>
      <c r="Y66" s="22"/>
      <c r="Z66" s="22"/>
      <c r="AA66" s="22"/>
      <c r="AB66" s="22"/>
      <c r="AC66" s="22"/>
      <c r="AD66" s="22"/>
      <c r="AE66" s="22"/>
      <c r="AF66" s="22"/>
      <c r="AG66" s="22"/>
      <c r="AH66" s="22"/>
      <c r="AI66" s="22"/>
      <c r="AJ66" s="22"/>
      <c r="AK66" s="22"/>
      <c r="AL66" s="22"/>
      <c r="AM66" s="22"/>
      <c r="AN66" s="22"/>
      <c r="AO66" s="22"/>
    </row>
    <row r="67" spans="1:41" x14ac:dyDescent="0.25">
      <c r="A67" s="22"/>
      <c r="B67" s="22"/>
      <c r="C67" s="22"/>
      <c r="D67" s="22"/>
      <c r="E67" s="22"/>
      <c r="F67" s="22"/>
      <c r="G67" s="22"/>
      <c r="H67" s="22"/>
      <c r="I67" s="22"/>
      <c r="J67" s="22"/>
      <c r="K67" s="22"/>
      <c r="L67" s="22"/>
      <c r="M67" s="22"/>
      <c r="N67" s="22"/>
      <c r="O67" s="22"/>
      <c r="P67" s="22"/>
      <c r="Q67" s="22"/>
      <c r="R67" s="22"/>
      <c r="S67" s="22"/>
      <c r="T67" s="22"/>
      <c r="U67" s="22"/>
      <c r="V67" s="22"/>
      <c r="W67" s="22"/>
      <c r="X67" s="22"/>
      <c r="Y67" s="22"/>
      <c r="Z67" s="22"/>
      <c r="AA67" s="22"/>
      <c r="AB67" s="22"/>
      <c r="AC67" s="22"/>
      <c r="AD67" s="22"/>
      <c r="AE67" s="22"/>
      <c r="AF67" s="22"/>
      <c r="AG67" s="22"/>
      <c r="AH67" s="22"/>
      <c r="AI67" s="22"/>
      <c r="AJ67" s="22"/>
      <c r="AK67" s="22"/>
      <c r="AL67" s="22"/>
      <c r="AM67" s="22"/>
      <c r="AN67" s="22"/>
      <c r="AO67" s="22"/>
    </row>
    <row r="68" spans="1:41" x14ac:dyDescent="0.25">
      <c r="A68" s="22"/>
      <c r="B68" s="22"/>
      <c r="C68" s="22"/>
      <c r="D68" s="22"/>
      <c r="E68" s="22"/>
      <c r="F68" s="22"/>
      <c r="G68" s="22"/>
      <c r="H68" s="22"/>
      <c r="I68" s="22"/>
      <c r="J68" s="22"/>
      <c r="K68" s="22"/>
      <c r="L68" s="22"/>
      <c r="M68" s="22"/>
      <c r="N68" s="22"/>
      <c r="O68" s="22"/>
      <c r="P68" s="22"/>
      <c r="Q68" s="22"/>
      <c r="R68" s="22"/>
      <c r="S68" s="22"/>
      <c r="T68" s="22"/>
      <c r="U68" s="22"/>
      <c r="V68" s="22"/>
      <c r="W68" s="22"/>
      <c r="X68" s="22"/>
      <c r="Y68" s="22"/>
      <c r="Z68" s="22"/>
      <c r="AA68" s="22"/>
      <c r="AB68" s="22"/>
      <c r="AC68" s="22"/>
      <c r="AD68" s="22"/>
      <c r="AE68" s="22"/>
      <c r="AF68" s="22"/>
      <c r="AG68" s="22"/>
      <c r="AH68" s="22"/>
      <c r="AI68" s="22"/>
      <c r="AJ68" s="22"/>
      <c r="AK68" s="22"/>
      <c r="AL68" s="22"/>
      <c r="AM68" s="22"/>
      <c r="AN68" s="22"/>
      <c r="AO68" s="22"/>
    </row>
    <row r="69" spans="1:41" x14ac:dyDescent="0.25">
      <c r="A69" s="22"/>
      <c r="B69" s="22"/>
      <c r="C69" s="22"/>
      <c r="D69" s="22"/>
      <c r="E69" s="22"/>
      <c r="F69" s="22"/>
      <c r="G69" s="22"/>
      <c r="H69" s="22"/>
      <c r="I69" s="22"/>
      <c r="J69" s="22"/>
      <c r="K69" s="22"/>
      <c r="L69" s="22"/>
      <c r="M69" s="22"/>
      <c r="N69" s="22"/>
      <c r="O69" s="22"/>
      <c r="P69" s="22"/>
      <c r="Q69" s="22"/>
      <c r="R69" s="22"/>
      <c r="S69" s="22"/>
      <c r="T69" s="22"/>
      <c r="U69" s="22"/>
      <c r="V69" s="22"/>
      <c r="W69" s="22"/>
      <c r="X69" s="22"/>
      <c r="Y69" s="22"/>
      <c r="Z69" s="22"/>
      <c r="AA69" s="22"/>
      <c r="AB69" s="22"/>
      <c r="AC69" s="22"/>
      <c r="AD69" s="22"/>
      <c r="AE69" s="22"/>
      <c r="AF69" s="22"/>
      <c r="AG69" s="22"/>
      <c r="AH69" s="22"/>
      <c r="AI69" s="22"/>
      <c r="AJ69" s="22"/>
      <c r="AK69" s="22"/>
      <c r="AL69" s="22"/>
      <c r="AM69" s="22"/>
      <c r="AN69" s="22"/>
      <c r="AO69" s="22"/>
    </row>
    <row r="70" spans="1:41" x14ac:dyDescent="0.25">
      <c r="A70" s="22"/>
      <c r="B70" s="22"/>
      <c r="C70" s="22"/>
      <c r="D70" s="22"/>
      <c r="E70" s="22"/>
      <c r="F70" s="22"/>
      <c r="G70" s="22"/>
      <c r="H70" s="22"/>
      <c r="I70" s="22"/>
      <c r="J70" s="22"/>
      <c r="K70" s="22"/>
      <c r="L70" s="22"/>
      <c r="M70" s="22"/>
      <c r="N70" s="22"/>
      <c r="O70" s="22"/>
      <c r="P70" s="22"/>
      <c r="Q70" s="22"/>
      <c r="R70" s="22"/>
      <c r="S70" s="22"/>
      <c r="T70" s="22"/>
      <c r="U70" s="22"/>
      <c r="V70" s="22"/>
      <c r="W70" s="22"/>
      <c r="X70" s="22"/>
      <c r="Y70" s="22"/>
      <c r="Z70" s="22"/>
      <c r="AA70" s="22"/>
      <c r="AB70" s="22"/>
      <c r="AC70" s="22"/>
      <c r="AD70" s="22"/>
      <c r="AE70" s="22"/>
      <c r="AF70" s="22"/>
      <c r="AG70" s="22"/>
      <c r="AH70" s="22"/>
      <c r="AI70" s="22"/>
      <c r="AJ70" s="22"/>
      <c r="AK70" s="22"/>
      <c r="AL70" s="22"/>
      <c r="AM70" s="22"/>
      <c r="AN70" s="22"/>
      <c r="AO70" s="22"/>
    </row>
    <row r="71" spans="1:41" x14ac:dyDescent="0.25">
      <c r="A71" s="22"/>
      <c r="B71" s="22"/>
      <c r="C71" s="22"/>
      <c r="D71" s="22"/>
      <c r="E71" s="22"/>
      <c r="F71" s="22"/>
      <c r="G71" s="22"/>
      <c r="H71" s="22"/>
      <c r="I71" s="22"/>
      <c r="J71" s="22"/>
      <c r="K71" s="22"/>
      <c r="L71" s="22"/>
      <c r="M71" s="22"/>
      <c r="N71" s="22"/>
      <c r="O71" s="22"/>
      <c r="P71" s="22"/>
      <c r="Q71" s="22"/>
      <c r="R71" s="22"/>
      <c r="S71" s="22"/>
      <c r="T71" s="22"/>
      <c r="U71" s="22"/>
      <c r="V71" s="22"/>
      <c r="W71" s="22"/>
      <c r="X71" s="22"/>
      <c r="Y71" s="22"/>
      <c r="Z71" s="22"/>
      <c r="AA71" s="22"/>
      <c r="AB71" s="22"/>
      <c r="AC71" s="22"/>
      <c r="AD71" s="22"/>
      <c r="AE71" s="22"/>
      <c r="AF71" s="22"/>
      <c r="AG71" s="22"/>
      <c r="AH71" s="22"/>
      <c r="AI71" s="22"/>
      <c r="AJ71" s="22"/>
      <c r="AK71" s="22"/>
      <c r="AL71" s="22"/>
      <c r="AM71" s="22"/>
      <c r="AN71" s="22"/>
      <c r="AO71" s="22"/>
    </row>
    <row r="72" spans="1:41" x14ac:dyDescent="0.25">
      <c r="A72" s="22"/>
      <c r="B72" s="22"/>
      <c r="C72" s="22"/>
      <c r="D72" s="22"/>
      <c r="E72" s="22"/>
      <c r="F72" s="22"/>
      <c r="G72" s="22"/>
      <c r="H72" s="22"/>
      <c r="I72" s="22"/>
      <c r="J72" s="22"/>
      <c r="K72" s="22"/>
      <c r="L72" s="22"/>
      <c r="M72" s="22"/>
      <c r="N72" s="22"/>
      <c r="O72" s="22"/>
      <c r="P72" s="22"/>
      <c r="Q72" s="22"/>
      <c r="R72" s="22"/>
      <c r="S72" s="22"/>
      <c r="T72" s="22"/>
      <c r="U72" s="22"/>
      <c r="V72" s="22"/>
      <c r="W72" s="22"/>
      <c r="X72" s="22"/>
      <c r="Y72" s="22"/>
      <c r="Z72" s="22"/>
      <c r="AA72" s="22"/>
      <c r="AB72" s="22"/>
      <c r="AC72" s="22"/>
      <c r="AD72" s="22"/>
      <c r="AE72" s="22"/>
      <c r="AF72" s="22"/>
      <c r="AG72" s="22"/>
      <c r="AH72" s="22"/>
      <c r="AI72" s="22"/>
      <c r="AJ72" s="22"/>
      <c r="AK72" s="22"/>
      <c r="AL72" s="22"/>
      <c r="AM72" s="22"/>
      <c r="AN72" s="22"/>
      <c r="AO72" s="22"/>
    </row>
    <row r="73" spans="1:41" x14ac:dyDescent="0.25">
      <c r="A73" s="22"/>
      <c r="B73" s="22"/>
      <c r="C73" s="22"/>
      <c r="D73" s="22"/>
      <c r="E73" s="22"/>
      <c r="F73" s="22"/>
      <c r="G73" s="22"/>
      <c r="H73" s="22"/>
      <c r="I73" s="22"/>
      <c r="J73" s="22"/>
      <c r="K73" s="22"/>
      <c r="L73" s="22"/>
      <c r="M73" s="22"/>
      <c r="N73" s="22"/>
      <c r="O73" s="22"/>
      <c r="P73" s="22"/>
      <c r="Q73" s="22"/>
      <c r="R73" s="22"/>
      <c r="S73" s="22"/>
      <c r="T73" s="22"/>
      <c r="U73" s="22"/>
      <c r="V73" s="22"/>
      <c r="W73" s="22"/>
      <c r="X73" s="22"/>
      <c r="Y73" s="22"/>
      <c r="Z73" s="22"/>
      <c r="AA73" s="22"/>
      <c r="AB73" s="22"/>
      <c r="AC73" s="22"/>
      <c r="AD73" s="22"/>
      <c r="AE73" s="22"/>
      <c r="AF73" s="22"/>
      <c r="AG73" s="22"/>
      <c r="AH73" s="22"/>
      <c r="AI73" s="22"/>
      <c r="AJ73" s="22"/>
      <c r="AK73" s="22"/>
      <c r="AL73" s="22"/>
      <c r="AM73" s="22"/>
      <c r="AN73" s="22"/>
      <c r="AO73" s="22"/>
    </row>
    <row r="74" spans="1:41" x14ac:dyDescent="0.25">
      <c r="A74" s="22"/>
      <c r="B74" s="22"/>
      <c r="C74" s="22"/>
      <c r="D74" s="22"/>
      <c r="E74" s="22"/>
      <c r="F74" s="22"/>
      <c r="G74" s="22"/>
      <c r="H74" s="22"/>
      <c r="I74" s="22"/>
      <c r="J74" s="22"/>
      <c r="K74" s="22"/>
      <c r="L74" s="22"/>
      <c r="M74" s="22"/>
      <c r="N74" s="22"/>
      <c r="O74" s="22"/>
      <c r="P74" s="22"/>
      <c r="Q74" s="22"/>
      <c r="R74" s="22"/>
      <c r="S74" s="22"/>
      <c r="T74" s="22"/>
      <c r="U74" s="22"/>
      <c r="V74" s="22"/>
      <c r="W74" s="22"/>
      <c r="X74" s="22"/>
      <c r="Y74" s="22"/>
      <c r="Z74" s="22"/>
      <c r="AA74" s="22"/>
      <c r="AB74" s="22"/>
      <c r="AC74" s="22"/>
      <c r="AD74" s="22"/>
      <c r="AE74" s="22"/>
      <c r="AF74" s="22"/>
      <c r="AG74" s="22"/>
      <c r="AH74" s="22"/>
      <c r="AI74" s="22"/>
      <c r="AJ74" s="22"/>
      <c r="AK74" s="22"/>
      <c r="AL74" s="22"/>
      <c r="AM74" s="22"/>
      <c r="AN74" s="22"/>
      <c r="AO74" s="22"/>
    </row>
    <row r="75" spans="1:41" x14ac:dyDescent="0.25">
      <c r="A75" s="22"/>
      <c r="B75" s="22"/>
      <c r="C75" s="22"/>
      <c r="D75" s="22"/>
      <c r="E75" s="22"/>
      <c r="F75" s="22"/>
      <c r="G75" s="22"/>
      <c r="H75" s="22"/>
      <c r="I75" s="22"/>
      <c r="J75" s="22"/>
      <c r="K75" s="22"/>
      <c r="L75" s="22"/>
      <c r="M75" s="22"/>
      <c r="N75" s="22"/>
      <c r="O75" s="22"/>
      <c r="P75" s="22"/>
      <c r="Q75" s="22"/>
      <c r="R75" s="22"/>
      <c r="S75" s="22"/>
      <c r="T75" s="22"/>
      <c r="U75" s="22"/>
      <c r="V75" s="22"/>
      <c r="W75" s="22"/>
      <c r="X75" s="22"/>
      <c r="Y75" s="22"/>
      <c r="Z75" s="22"/>
      <c r="AA75" s="22"/>
      <c r="AB75" s="22"/>
      <c r="AC75" s="22"/>
      <c r="AD75" s="22"/>
      <c r="AE75" s="22"/>
      <c r="AF75" s="22"/>
      <c r="AG75" s="22"/>
      <c r="AH75" s="22"/>
      <c r="AI75" s="22"/>
      <c r="AJ75" s="22"/>
      <c r="AK75" s="22"/>
      <c r="AL75" s="22"/>
      <c r="AM75" s="22"/>
      <c r="AN75" s="22"/>
      <c r="AO75" s="22"/>
    </row>
    <row r="76" spans="1:41" x14ac:dyDescent="0.25">
      <c r="A76" s="22"/>
      <c r="B76" s="22"/>
      <c r="C76" s="22"/>
      <c r="D76" s="22"/>
      <c r="E76" s="22"/>
      <c r="F76" s="22"/>
      <c r="G76" s="22"/>
      <c r="H76" s="22"/>
      <c r="I76" s="22"/>
      <c r="J76" s="22"/>
      <c r="K76" s="22"/>
      <c r="L76" s="22"/>
      <c r="M76" s="22"/>
      <c r="N76" s="22"/>
      <c r="O76" s="22"/>
      <c r="P76" s="22"/>
      <c r="Q76" s="22"/>
      <c r="R76" s="22"/>
      <c r="S76" s="22"/>
      <c r="T76" s="22"/>
      <c r="U76" s="22"/>
      <c r="V76" s="22"/>
      <c r="W76" s="22"/>
      <c r="X76" s="22"/>
      <c r="Y76" s="22"/>
      <c r="Z76" s="22"/>
      <c r="AA76" s="22"/>
      <c r="AB76" s="22"/>
      <c r="AC76" s="22"/>
      <c r="AD76" s="22"/>
      <c r="AE76" s="22"/>
      <c r="AF76" s="22"/>
      <c r="AG76" s="22"/>
      <c r="AH76" s="22"/>
      <c r="AI76" s="22"/>
      <c r="AJ76" s="22"/>
      <c r="AK76" s="22"/>
      <c r="AL76" s="22"/>
      <c r="AM76" s="22"/>
      <c r="AN76" s="22"/>
      <c r="AO76" s="22"/>
    </row>
    <row r="77" spans="1:41" x14ac:dyDescent="0.25">
      <c r="A77" s="22"/>
      <c r="B77" s="22"/>
      <c r="C77" s="22"/>
      <c r="D77" s="22"/>
      <c r="E77" s="22"/>
      <c r="F77" s="22"/>
      <c r="G77" s="22"/>
      <c r="H77" s="22"/>
      <c r="I77" s="22"/>
      <c r="J77" s="22"/>
      <c r="K77" s="22"/>
      <c r="L77" s="22"/>
      <c r="M77" s="22"/>
      <c r="N77" s="22"/>
      <c r="O77" s="22"/>
      <c r="P77" s="22"/>
      <c r="Q77" s="22"/>
      <c r="R77" s="22"/>
      <c r="S77" s="22"/>
      <c r="T77" s="22"/>
      <c r="U77" s="22"/>
      <c r="V77" s="22"/>
      <c r="W77" s="22"/>
      <c r="X77" s="22"/>
      <c r="Y77" s="22"/>
      <c r="Z77" s="22"/>
      <c r="AA77" s="22"/>
      <c r="AB77" s="22"/>
      <c r="AC77" s="22"/>
      <c r="AD77" s="22"/>
      <c r="AE77" s="22"/>
      <c r="AF77" s="22"/>
      <c r="AG77" s="22"/>
      <c r="AH77" s="22"/>
      <c r="AI77" s="22"/>
      <c r="AJ77" s="22"/>
      <c r="AK77" s="22"/>
      <c r="AL77" s="22"/>
      <c r="AM77" s="22"/>
      <c r="AN77" s="22"/>
      <c r="AO77" s="22"/>
    </row>
    <row r="78" spans="1:41" x14ac:dyDescent="0.25">
      <c r="A78" s="22"/>
      <c r="B78" s="22"/>
      <c r="C78" s="22"/>
      <c r="D78" s="22"/>
      <c r="E78" s="22"/>
      <c r="F78" s="22"/>
      <c r="G78" s="22"/>
      <c r="H78" s="22"/>
      <c r="I78" s="22"/>
      <c r="J78" s="22"/>
      <c r="K78" s="22"/>
      <c r="L78" s="22"/>
      <c r="M78" s="22"/>
      <c r="N78" s="22"/>
      <c r="O78" s="22"/>
      <c r="P78" s="22"/>
      <c r="Q78" s="22"/>
      <c r="R78" s="22"/>
      <c r="S78" s="22"/>
      <c r="T78" s="22"/>
      <c r="U78" s="22"/>
      <c r="V78" s="22"/>
      <c r="W78" s="22"/>
      <c r="X78" s="22"/>
      <c r="Y78" s="22"/>
      <c r="Z78" s="22"/>
      <c r="AA78" s="22"/>
      <c r="AB78" s="22"/>
      <c r="AC78" s="22"/>
      <c r="AD78" s="22"/>
      <c r="AE78" s="22"/>
      <c r="AF78" s="22"/>
      <c r="AG78" s="22"/>
      <c r="AH78" s="22"/>
      <c r="AI78" s="22"/>
      <c r="AJ78" s="22"/>
      <c r="AK78" s="22"/>
      <c r="AL78" s="22"/>
      <c r="AM78" s="22"/>
      <c r="AN78" s="22"/>
      <c r="AO78" s="22"/>
    </row>
    <row r="79" spans="1:41" x14ac:dyDescent="0.25">
      <c r="A79" s="22"/>
      <c r="B79" s="22"/>
      <c r="C79" s="22"/>
      <c r="D79" s="22"/>
      <c r="E79" s="22"/>
      <c r="F79" s="22"/>
      <c r="G79" s="22"/>
      <c r="H79" s="22"/>
      <c r="I79" s="22"/>
      <c r="J79" s="22"/>
      <c r="K79" s="22"/>
      <c r="L79" s="22"/>
      <c r="M79" s="22"/>
      <c r="N79" s="22"/>
      <c r="O79" s="22"/>
      <c r="P79" s="22"/>
      <c r="Q79" s="22"/>
      <c r="R79" s="22"/>
      <c r="S79" s="22"/>
      <c r="T79" s="22"/>
      <c r="U79" s="22"/>
      <c r="V79" s="22"/>
      <c r="W79" s="22"/>
      <c r="X79" s="22"/>
      <c r="Y79" s="22"/>
      <c r="Z79" s="22"/>
      <c r="AA79" s="22"/>
      <c r="AB79" s="22"/>
      <c r="AC79" s="22"/>
      <c r="AD79" s="22"/>
      <c r="AE79" s="22"/>
      <c r="AF79" s="22"/>
      <c r="AG79" s="22"/>
      <c r="AH79" s="22"/>
      <c r="AI79" s="22"/>
      <c r="AJ79" s="22"/>
      <c r="AK79" s="22"/>
      <c r="AL79" s="22"/>
      <c r="AM79" s="22"/>
      <c r="AN79" s="22"/>
      <c r="AO79" s="22"/>
    </row>
    <row r="80" spans="1:41" x14ac:dyDescent="0.25">
      <c r="A80" s="22"/>
      <c r="B80" s="22"/>
      <c r="C80" s="22"/>
      <c r="D80" s="22"/>
      <c r="E80" s="22"/>
      <c r="F80" s="22"/>
      <c r="G80" s="22"/>
      <c r="H80" s="22"/>
      <c r="I80" s="22"/>
      <c r="J80" s="22"/>
      <c r="K80" s="22"/>
      <c r="L80" s="22"/>
      <c r="M80" s="22"/>
      <c r="N80" s="22"/>
      <c r="O80" s="22"/>
      <c r="P80" s="22"/>
      <c r="Q80" s="22"/>
      <c r="R80" s="22"/>
      <c r="S80" s="22"/>
      <c r="T80" s="22"/>
      <c r="U80" s="22"/>
      <c r="V80" s="22"/>
      <c r="W80" s="22"/>
      <c r="X80" s="22"/>
      <c r="Y80" s="22"/>
      <c r="Z80" s="22"/>
      <c r="AA80" s="22"/>
      <c r="AB80" s="22"/>
      <c r="AC80" s="22"/>
      <c r="AD80" s="22"/>
      <c r="AE80" s="22"/>
      <c r="AF80" s="22"/>
      <c r="AG80" s="22"/>
      <c r="AH80" s="22"/>
      <c r="AI80" s="22"/>
      <c r="AJ80" s="22"/>
      <c r="AK80" s="22"/>
      <c r="AL80" s="22"/>
      <c r="AM80" s="22"/>
      <c r="AN80" s="22"/>
      <c r="AO80" s="22"/>
    </row>
    <row r="81" spans="1:41" x14ac:dyDescent="0.25">
      <c r="A81" s="22"/>
      <c r="B81" s="22"/>
      <c r="C81" s="22"/>
      <c r="D81" s="22"/>
      <c r="E81" s="22"/>
      <c r="F81" s="22"/>
      <c r="G81" s="22"/>
      <c r="H81" s="22"/>
      <c r="I81" s="22"/>
      <c r="J81" s="22"/>
      <c r="K81" s="22"/>
      <c r="L81" s="22"/>
      <c r="M81" s="22"/>
      <c r="N81" s="22"/>
      <c r="O81" s="22"/>
      <c r="P81" s="22"/>
      <c r="Q81" s="22"/>
      <c r="R81" s="22"/>
      <c r="S81" s="22"/>
      <c r="T81" s="22"/>
      <c r="U81" s="22"/>
      <c r="V81" s="22"/>
      <c r="W81" s="22"/>
      <c r="X81" s="22"/>
      <c r="Y81" s="22"/>
      <c r="Z81" s="22"/>
      <c r="AA81" s="22"/>
      <c r="AB81" s="22"/>
      <c r="AC81" s="22"/>
      <c r="AD81" s="22"/>
      <c r="AE81" s="22"/>
      <c r="AF81" s="22"/>
      <c r="AG81" s="22"/>
      <c r="AH81" s="22"/>
      <c r="AI81" s="22"/>
      <c r="AJ81" s="22"/>
      <c r="AK81" s="22"/>
      <c r="AL81" s="22"/>
      <c r="AM81" s="22"/>
      <c r="AN81" s="22"/>
      <c r="AO81" s="22"/>
    </row>
    <row r="82" spans="1:41" x14ac:dyDescent="0.25">
      <c r="A82" s="22"/>
      <c r="B82" s="22"/>
      <c r="C82" s="22"/>
      <c r="D82" s="22"/>
      <c r="E82" s="22"/>
      <c r="F82" s="22"/>
      <c r="G82" s="22"/>
      <c r="H82" s="22"/>
      <c r="I82" s="22"/>
      <c r="J82" s="22"/>
      <c r="K82" s="22"/>
      <c r="L82" s="22"/>
      <c r="M82" s="22"/>
      <c r="N82" s="22"/>
      <c r="O82" s="22"/>
      <c r="P82" s="22"/>
      <c r="Q82" s="22"/>
      <c r="R82" s="22"/>
      <c r="S82" s="22"/>
      <c r="T82" s="22"/>
      <c r="U82" s="22"/>
      <c r="V82" s="22"/>
      <c r="W82" s="22"/>
      <c r="X82" s="22"/>
      <c r="Y82" s="22"/>
      <c r="Z82" s="22"/>
      <c r="AA82" s="22"/>
      <c r="AB82" s="22"/>
      <c r="AC82" s="22"/>
      <c r="AD82" s="22"/>
      <c r="AE82" s="22"/>
      <c r="AF82" s="22"/>
      <c r="AG82" s="22"/>
      <c r="AH82" s="22"/>
      <c r="AI82" s="22"/>
      <c r="AJ82" s="22"/>
      <c r="AK82" s="22"/>
      <c r="AL82" s="22"/>
      <c r="AM82" s="22"/>
      <c r="AN82" s="22"/>
      <c r="AO82" s="22"/>
    </row>
    <row r="83" spans="1:41" x14ac:dyDescent="0.25">
      <c r="A83" s="22"/>
      <c r="B83" s="22"/>
      <c r="C83" s="22"/>
      <c r="D83" s="22"/>
      <c r="E83" s="22"/>
      <c r="F83" s="22"/>
      <c r="G83" s="22"/>
      <c r="H83" s="22"/>
      <c r="I83" s="22"/>
      <c r="J83" s="22"/>
      <c r="K83" s="22"/>
      <c r="L83" s="22"/>
      <c r="M83" s="22"/>
      <c r="N83" s="22"/>
      <c r="O83" s="22"/>
      <c r="P83" s="22"/>
      <c r="Q83" s="22"/>
      <c r="R83" s="22"/>
      <c r="S83" s="22"/>
      <c r="T83" s="22"/>
      <c r="U83" s="22"/>
      <c r="V83" s="22"/>
      <c r="W83" s="22"/>
      <c r="X83" s="22"/>
      <c r="Y83" s="22"/>
      <c r="Z83" s="22"/>
      <c r="AA83" s="22"/>
      <c r="AB83" s="22"/>
      <c r="AC83" s="22"/>
      <c r="AD83" s="22"/>
      <c r="AE83" s="22"/>
      <c r="AF83" s="22"/>
      <c r="AG83" s="22"/>
      <c r="AH83" s="22"/>
      <c r="AI83" s="22"/>
      <c r="AJ83" s="22"/>
      <c r="AK83" s="22"/>
      <c r="AL83" s="22"/>
      <c r="AM83" s="22"/>
      <c r="AN83" s="22"/>
      <c r="AO83" s="22"/>
    </row>
    <row r="84" spans="1:41" x14ac:dyDescent="0.25">
      <c r="A84" s="22"/>
      <c r="B84" s="22"/>
      <c r="C84" s="22"/>
      <c r="D84" s="22"/>
      <c r="E84" s="22"/>
      <c r="F84" s="22"/>
      <c r="G84" s="22"/>
      <c r="H84" s="22"/>
      <c r="I84" s="22"/>
      <c r="J84" s="22"/>
      <c r="K84" s="22"/>
      <c r="L84" s="22"/>
      <c r="M84" s="22"/>
      <c r="N84" s="22"/>
      <c r="O84" s="22"/>
      <c r="P84" s="22"/>
      <c r="Q84" s="22"/>
      <c r="R84" s="22"/>
      <c r="S84" s="22"/>
      <c r="T84" s="22"/>
      <c r="U84" s="22"/>
      <c r="V84" s="22"/>
      <c r="W84" s="22"/>
      <c r="X84" s="22"/>
      <c r="Y84" s="22"/>
      <c r="Z84" s="22"/>
      <c r="AA84" s="22"/>
      <c r="AB84" s="22"/>
      <c r="AC84" s="22"/>
      <c r="AD84" s="22"/>
      <c r="AE84" s="22"/>
      <c r="AF84" s="22"/>
      <c r="AG84" s="22"/>
      <c r="AH84" s="22"/>
      <c r="AI84" s="22"/>
      <c r="AJ84" s="22"/>
      <c r="AK84" s="22"/>
      <c r="AL84" s="22"/>
      <c r="AM84" s="22"/>
      <c r="AN84" s="22"/>
      <c r="AO84" s="22"/>
    </row>
    <row r="85" spans="1:41" x14ac:dyDescent="0.25">
      <c r="A85" s="22"/>
      <c r="B85" s="22"/>
      <c r="C85" s="22"/>
      <c r="D85" s="22"/>
      <c r="E85" s="22"/>
      <c r="F85" s="22"/>
      <c r="G85" s="22"/>
      <c r="H85" s="22"/>
      <c r="I85" s="22"/>
      <c r="J85" s="22"/>
      <c r="K85" s="22"/>
      <c r="L85" s="22"/>
      <c r="M85" s="22"/>
      <c r="N85" s="22"/>
      <c r="O85" s="22"/>
      <c r="P85" s="22"/>
      <c r="Q85" s="22"/>
      <c r="R85" s="22"/>
      <c r="S85" s="22"/>
      <c r="T85" s="22"/>
      <c r="U85" s="22"/>
      <c r="V85" s="22"/>
      <c r="W85" s="22"/>
      <c r="X85" s="22"/>
      <c r="Y85" s="22"/>
      <c r="Z85" s="22"/>
      <c r="AA85" s="22"/>
      <c r="AB85" s="22"/>
      <c r="AC85" s="22"/>
      <c r="AD85" s="22"/>
      <c r="AE85" s="22"/>
      <c r="AF85" s="22"/>
      <c r="AG85" s="22"/>
      <c r="AH85" s="22"/>
      <c r="AI85" s="22"/>
      <c r="AJ85" s="22"/>
      <c r="AK85" s="22"/>
      <c r="AL85" s="22"/>
      <c r="AM85" s="22"/>
      <c r="AN85" s="22"/>
      <c r="AO85" s="22"/>
    </row>
    <row r="86" spans="1:41" x14ac:dyDescent="0.25">
      <c r="A86" s="22"/>
      <c r="B86" s="22"/>
      <c r="C86" s="22"/>
      <c r="D86" s="22"/>
      <c r="E86" s="22"/>
      <c r="F86" s="22"/>
      <c r="G86" s="22"/>
      <c r="H86" s="22"/>
      <c r="I86" s="22"/>
      <c r="J86" s="22"/>
      <c r="K86" s="22"/>
      <c r="L86" s="22"/>
      <c r="M86" s="22"/>
      <c r="N86" s="22"/>
      <c r="O86" s="22"/>
      <c r="P86" s="22"/>
      <c r="Q86" s="22"/>
      <c r="R86" s="22"/>
      <c r="S86" s="22"/>
      <c r="T86" s="22"/>
      <c r="U86" s="22"/>
      <c r="V86" s="22"/>
      <c r="W86" s="22"/>
      <c r="X86" s="22"/>
      <c r="Y86" s="22"/>
      <c r="Z86" s="22"/>
      <c r="AA86" s="22"/>
      <c r="AB86" s="22"/>
      <c r="AC86" s="22"/>
      <c r="AD86" s="22"/>
      <c r="AE86" s="22"/>
      <c r="AF86" s="22"/>
      <c r="AG86" s="22"/>
      <c r="AH86" s="22"/>
      <c r="AI86" s="22"/>
      <c r="AJ86" s="22"/>
      <c r="AK86" s="22"/>
      <c r="AL86" s="22"/>
      <c r="AM86" s="22"/>
      <c r="AN86" s="22"/>
      <c r="AO86" s="22"/>
    </row>
    <row r="87" spans="1:41" x14ac:dyDescent="0.25">
      <c r="A87" s="22"/>
      <c r="B87" s="22"/>
      <c r="C87" s="22"/>
      <c r="D87" s="22"/>
      <c r="E87" s="22"/>
      <c r="F87" s="22"/>
      <c r="G87" s="22"/>
      <c r="H87" s="22"/>
      <c r="I87" s="22"/>
      <c r="J87" s="22"/>
      <c r="K87" s="22"/>
      <c r="L87" s="22"/>
      <c r="M87" s="22"/>
      <c r="N87" s="22"/>
      <c r="O87" s="22"/>
      <c r="P87" s="22"/>
      <c r="Q87" s="22"/>
      <c r="R87" s="22"/>
      <c r="S87" s="22"/>
      <c r="T87" s="22"/>
      <c r="U87" s="22"/>
      <c r="V87" s="22"/>
      <c r="W87" s="22"/>
      <c r="X87" s="22"/>
      <c r="Y87" s="22"/>
      <c r="Z87" s="22"/>
      <c r="AA87" s="22"/>
      <c r="AB87" s="22"/>
      <c r="AC87" s="22"/>
      <c r="AD87" s="22"/>
      <c r="AE87" s="22"/>
      <c r="AF87" s="22"/>
      <c r="AG87" s="22"/>
      <c r="AH87" s="22"/>
      <c r="AI87" s="22"/>
      <c r="AJ87" s="22"/>
      <c r="AK87" s="22"/>
      <c r="AL87" s="22"/>
      <c r="AM87" s="22"/>
      <c r="AN87" s="22"/>
      <c r="AO87" s="22"/>
    </row>
    <row r="88" spans="1:41" x14ac:dyDescent="0.25">
      <c r="A88" s="22"/>
      <c r="B88" s="22"/>
      <c r="C88" s="22"/>
      <c r="D88" s="22"/>
      <c r="E88" s="22"/>
      <c r="F88" s="22"/>
      <c r="G88" s="22"/>
      <c r="H88" s="22"/>
      <c r="I88" s="22"/>
      <c r="J88" s="22"/>
      <c r="K88" s="22"/>
      <c r="L88" s="22"/>
      <c r="M88" s="22"/>
      <c r="N88" s="22"/>
      <c r="O88" s="22"/>
      <c r="P88" s="22"/>
      <c r="Q88" s="22"/>
      <c r="R88" s="22"/>
      <c r="S88" s="22"/>
      <c r="T88" s="22"/>
      <c r="U88" s="22"/>
      <c r="V88" s="22"/>
      <c r="W88" s="22"/>
      <c r="X88" s="22"/>
      <c r="Y88" s="22"/>
      <c r="Z88" s="22"/>
      <c r="AA88" s="22"/>
      <c r="AB88" s="22"/>
      <c r="AC88" s="22"/>
      <c r="AD88" s="22"/>
      <c r="AE88" s="22"/>
      <c r="AF88" s="22"/>
      <c r="AG88" s="22"/>
      <c r="AH88" s="22"/>
      <c r="AI88" s="22"/>
      <c r="AJ88" s="22"/>
      <c r="AK88" s="22"/>
      <c r="AL88" s="22"/>
      <c r="AM88" s="22"/>
      <c r="AN88" s="22"/>
      <c r="AO88" s="22"/>
    </row>
    <row r="89" spans="1:41" x14ac:dyDescent="0.25">
      <c r="A89" s="22"/>
      <c r="B89" s="22"/>
      <c r="C89" s="22"/>
      <c r="D89" s="22"/>
      <c r="E89" s="22"/>
      <c r="F89" s="22"/>
      <c r="G89" s="22"/>
      <c r="H89" s="22"/>
      <c r="I89" s="22"/>
      <c r="J89" s="22"/>
      <c r="K89" s="22"/>
      <c r="L89" s="22"/>
      <c r="M89" s="22"/>
      <c r="N89" s="22"/>
      <c r="O89" s="22"/>
      <c r="P89" s="22"/>
      <c r="Q89" s="22"/>
      <c r="R89" s="22"/>
      <c r="S89" s="22"/>
      <c r="T89" s="22"/>
      <c r="U89" s="22"/>
      <c r="V89" s="22"/>
      <c r="W89" s="22"/>
      <c r="X89" s="22"/>
      <c r="Y89" s="22"/>
      <c r="Z89" s="22"/>
      <c r="AA89" s="22"/>
      <c r="AB89" s="22"/>
      <c r="AC89" s="22"/>
      <c r="AD89" s="22"/>
      <c r="AE89" s="22"/>
      <c r="AF89" s="22"/>
      <c r="AG89" s="22"/>
      <c r="AH89" s="22"/>
      <c r="AI89" s="22"/>
      <c r="AJ89" s="22"/>
      <c r="AK89" s="22"/>
      <c r="AL89" s="22"/>
      <c r="AM89" s="22"/>
      <c r="AN89" s="22"/>
      <c r="AO89" s="22"/>
    </row>
    <row r="90" spans="1:41" x14ac:dyDescent="0.25">
      <c r="A90" s="22"/>
      <c r="B90" s="22"/>
      <c r="C90" s="22"/>
      <c r="D90" s="22"/>
      <c r="E90" s="22"/>
      <c r="F90" s="22"/>
      <c r="G90" s="22"/>
      <c r="H90" s="22"/>
      <c r="I90" s="22"/>
      <c r="J90" s="22"/>
      <c r="K90" s="22"/>
      <c r="L90" s="22"/>
      <c r="M90" s="22"/>
      <c r="N90" s="22"/>
      <c r="O90" s="22"/>
      <c r="P90" s="22"/>
      <c r="Q90" s="22"/>
      <c r="R90" s="22"/>
      <c r="S90" s="22"/>
      <c r="T90" s="22"/>
      <c r="U90" s="22"/>
      <c r="V90" s="22"/>
      <c r="W90" s="22"/>
      <c r="X90" s="22"/>
      <c r="Y90" s="22"/>
      <c r="Z90" s="22"/>
      <c r="AA90" s="22"/>
      <c r="AB90" s="22"/>
      <c r="AC90" s="22"/>
      <c r="AD90" s="22"/>
      <c r="AE90" s="22"/>
      <c r="AF90" s="22"/>
      <c r="AG90" s="22"/>
      <c r="AH90" s="22"/>
      <c r="AI90" s="22"/>
      <c r="AJ90" s="22"/>
      <c r="AK90" s="22"/>
      <c r="AL90" s="22"/>
      <c r="AM90" s="22"/>
      <c r="AN90" s="22"/>
      <c r="AO90" s="22"/>
    </row>
    <row r="91" spans="1:41" x14ac:dyDescent="0.25">
      <c r="A91" s="22"/>
      <c r="B91" s="22"/>
      <c r="C91" s="22"/>
      <c r="D91" s="22"/>
      <c r="E91" s="22"/>
      <c r="F91" s="22"/>
      <c r="G91" s="22"/>
      <c r="H91" s="22"/>
      <c r="I91" s="22"/>
      <c r="J91" s="22"/>
      <c r="K91" s="22"/>
      <c r="L91" s="22"/>
      <c r="M91" s="22"/>
      <c r="N91" s="22"/>
      <c r="O91" s="22"/>
      <c r="P91" s="22"/>
      <c r="Q91" s="22"/>
      <c r="R91" s="22"/>
      <c r="S91" s="22"/>
      <c r="T91" s="22"/>
      <c r="U91" s="22"/>
      <c r="V91" s="22"/>
      <c r="W91" s="22"/>
      <c r="X91" s="22"/>
      <c r="Y91" s="22"/>
      <c r="Z91" s="22"/>
      <c r="AA91" s="22"/>
      <c r="AB91" s="22"/>
      <c r="AC91" s="22"/>
      <c r="AD91" s="22"/>
      <c r="AE91" s="22"/>
      <c r="AF91" s="22"/>
      <c r="AG91" s="22"/>
      <c r="AH91" s="22"/>
      <c r="AI91" s="22"/>
      <c r="AJ91" s="22"/>
      <c r="AK91" s="22"/>
      <c r="AL91" s="22"/>
      <c r="AM91" s="22"/>
      <c r="AN91" s="22"/>
      <c r="AO91" s="22"/>
    </row>
    <row r="92" spans="1:41" x14ac:dyDescent="0.25">
      <c r="A92" s="22"/>
      <c r="B92" s="22"/>
      <c r="C92" s="22"/>
      <c r="D92" s="22"/>
      <c r="E92" s="22"/>
      <c r="F92" s="22"/>
      <c r="G92" s="22"/>
      <c r="H92" s="22"/>
      <c r="I92" s="22"/>
      <c r="J92" s="22"/>
      <c r="K92" s="22"/>
      <c r="L92" s="22"/>
      <c r="M92" s="22"/>
      <c r="N92" s="22"/>
      <c r="O92" s="22"/>
      <c r="P92" s="22"/>
      <c r="Q92" s="22"/>
      <c r="R92" s="22"/>
      <c r="S92" s="22"/>
      <c r="T92" s="22"/>
      <c r="U92" s="22"/>
      <c r="V92" s="22"/>
      <c r="W92" s="22"/>
      <c r="X92" s="22"/>
      <c r="Y92" s="22"/>
      <c r="Z92" s="22"/>
      <c r="AA92" s="22"/>
      <c r="AB92" s="22"/>
      <c r="AC92" s="22"/>
      <c r="AD92" s="22"/>
      <c r="AE92" s="22"/>
      <c r="AF92" s="22"/>
      <c r="AG92" s="22"/>
      <c r="AH92" s="22"/>
      <c r="AI92" s="22"/>
      <c r="AJ92" s="22"/>
      <c r="AK92" s="22"/>
      <c r="AL92" s="22"/>
      <c r="AM92" s="22"/>
      <c r="AN92" s="22"/>
      <c r="AO92" s="22"/>
    </row>
    <row r="93" spans="1:41" x14ac:dyDescent="0.25">
      <c r="A93" s="22"/>
      <c r="B93" s="22"/>
      <c r="C93" s="22"/>
      <c r="D93" s="22"/>
      <c r="E93" s="22"/>
      <c r="F93" s="22"/>
      <c r="G93" s="22"/>
      <c r="H93" s="22"/>
      <c r="I93" s="22"/>
      <c r="J93" s="22"/>
      <c r="K93" s="22"/>
      <c r="L93" s="22"/>
      <c r="M93" s="22"/>
      <c r="N93" s="22"/>
      <c r="O93" s="22"/>
      <c r="P93" s="22"/>
      <c r="Q93" s="22"/>
      <c r="R93" s="22"/>
      <c r="S93" s="22"/>
      <c r="T93" s="22"/>
      <c r="U93" s="22"/>
      <c r="V93" s="22"/>
      <c r="W93" s="22"/>
      <c r="X93" s="22"/>
      <c r="Y93" s="22"/>
      <c r="Z93" s="22"/>
      <c r="AA93" s="22"/>
      <c r="AB93" s="22"/>
      <c r="AC93" s="22"/>
      <c r="AD93" s="22"/>
      <c r="AE93" s="22"/>
      <c r="AF93" s="22"/>
      <c r="AG93" s="22"/>
      <c r="AH93" s="22"/>
      <c r="AI93" s="22"/>
      <c r="AJ93" s="22"/>
      <c r="AK93" s="22"/>
      <c r="AL93" s="22"/>
      <c r="AM93" s="22"/>
      <c r="AN93" s="22"/>
      <c r="AO93" s="22"/>
    </row>
    <row r="94" spans="1:41" x14ac:dyDescent="0.25">
      <c r="A94" s="22"/>
      <c r="B94" s="22"/>
      <c r="C94" s="22"/>
      <c r="D94" s="22"/>
      <c r="E94" s="22"/>
      <c r="F94" s="22"/>
      <c r="G94" s="22"/>
      <c r="H94" s="22"/>
      <c r="I94" s="22"/>
      <c r="J94" s="22"/>
      <c r="K94" s="22"/>
      <c r="L94" s="22"/>
      <c r="M94" s="22"/>
      <c r="N94" s="22"/>
      <c r="O94" s="22"/>
      <c r="P94" s="22"/>
      <c r="Q94" s="22"/>
      <c r="R94" s="22"/>
      <c r="S94" s="22"/>
      <c r="T94" s="22"/>
      <c r="U94" s="22"/>
      <c r="V94" s="22"/>
      <c r="W94" s="22"/>
      <c r="X94" s="22"/>
      <c r="Y94" s="22"/>
      <c r="Z94" s="22"/>
      <c r="AA94" s="22"/>
      <c r="AB94" s="22"/>
      <c r="AC94" s="22"/>
      <c r="AD94" s="22"/>
      <c r="AE94" s="22"/>
      <c r="AF94" s="22"/>
      <c r="AG94" s="22"/>
      <c r="AH94" s="22"/>
      <c r="AI94" s="22"/>
      <c r="AJ94" s="22"/>
      <c r="AK94" s="22"/>
      <c r="AL94" s="22"/>
      <c r="AM94" s="22"/>
      <c r="AN94" s="22"/>
    </row>
    <row r="95" spans="1:41" x14ac:dyDescent="0.25">
      <c r="A95" s="22"/>
      <c r="B95" s="22"/>
      <c r="C95" s="22"/>
      <c r="D95" s="22"/>
      <c r="E95" s="22"/>
      <c r="F95" s="22"/>
      <c r="G95" s="22"/>
      <c r="H95" s="22"/>
      <c r="I95" s="22"/>
      <c r="J95" s="22"/>
      <c r="K95" s="22"/>
      <c r="L95" s="22"/>
      <c r="M95" s="22"/>
      <c r="N95" s="22"/>
      <c r="O95" s="22"/>
      <c r="P95" s="22"/>
      <c r="Q95" s="22"/>
      <c r="R95" s="22"/>
      <c r="S95" s="22"/>
      <c r="T95" s="22"/>
      <c r="U95" s="22"/>
      <c r="V95" s="22"/>
      <c r="W95" s="22"/>
      <c r="X95" s="22"/>
      <c r="Y95" s="22"/>
      <c r="Z95" s="22"/>
      <c r="AA95" s="22"/>
      <c r="AB95" s="22"/>
      <c r="AC95" s="22"/>
      <c r="AD95" s="22"/>
      <c r="AE95" s="22"/>
      <c r="AF95" s="22"/>
      <c r="AG95" s="22"/>
      <c r="AH95" s="22"/>
      <c r="AI95" s="22"/>
      <c r="AJ95" s="22"/>
      <c r="AK95" s="22"/>
      <c r="AL95" s="22"/>
      <c r="AM95" s="22"/>
      <c r="AN95" s="22"/>
    </row>
    <row r="96" spans="1:41" x14ac:dyDescent="0.25">
      <c r="A96" s="22"/>
      <c r="B96" s="22"/>
      <c r="C96" s="22"/>
      <c r="D96" s="22"/>
      <c r="E96" s="22"/>
      <c r="F96" s="22"/>
      <c r="G96" s="22"/>
      <c r="H96" s="22"/>
      <c r="I96" s="22"/>
      <c r="J96" s="22"/>
      <c r="K96" s="22"/>
      <c r="L96" s="22"/>
      <c r="M96" s="22"/>
      <c r="N96" s="22"/>
      <c r="O96" s="22"/>
      <c r="P96" s="22"/>
      <c r="Q96" s="22"/>
      <c r="R96" s="22"/>
      <c r="S96" s="22"/>
      <c r="T96" s="22"/>
      <c r="U96" s="22"/>
      <c r="V96" s="22"/>
      <c r="W96" s="22"/>
      <c r="X96" s="22"/>
      <c r="Y96" s="22"/>
      <c r="Z96" s="22"/>
      <c r="AA96" s="22"/>
      <c r="AB96" s="22"/>
      <c r="AC96" s="22"/>
      <c r="AD96" s="22"/>
      <c r="AE96" s="22"/>
      <c r="AF96" s="22"/>
      <c r="AG96" s="22"/>
      <c r="AH96" s="22"/>
      <c r="AI96" s="22"/>
      <c r="AJ96" s="22"/>
      <c r="AK96" s="22"/>
      <c r="AL96" s="22"/>
      <c r="AM96" s="22"/>
      <c r="AN96" s="22"/>
    </row>
    <row r="97" spans="1:40" x14ac:dyDescent="0.25">
      <c r="A97" s="22"/>
      <c r="B97" s="22"/>
      <c r="C97" s="22"/>
      <c r="D97" s="22"/>
      <c r="E97" s="22"/>
      <c r="F97" s="22"/>
      <c r="G97" s="22"/>
      <c r="H97" s="22"/>
      <c r="I97" s="22"/>
      <c r="J97" s="22"/>
      <c r="K97" s="22"/>
      <c r="L97" s="22"/>
      <c r="M97" s="22"/>
      <c r="N97" s="22"/>
      <c r="O97" s="22"/>
      <c r="P97" s="22"/>
      <c r="Q97" s="22"/>
      <c r="R97" s="22"/>
      <c r="S97" s="22"/>
      <c r="T97" s="22"/>
      <c r="U97" s="22"/>
      <c r="V97" s="22"/>
      <c r="W97" s="22"/>
      <c r="X97" s="22"/>
      <c r="Y97" s="22"/>
      <c r="Z97" s="22"/>
      <c r="AA97" s="22"/>
      <c r="AB97" s="22"/>
      <c r="AC97" s="22"/>
      <c r="AD97" s="22"/>
      <c r="AE97" s="22"/>
      <c r="AF97" s="22"/>
      <c r="AG97" s="22"/>
      <c r="AH97" s="22"/>
      <c r="AI97" s="22"/>
      <c r="AJ97" s="22"/>
      <c r="AK97" s="22"/>
      <c r="AL97" s="22"/>
      <c r="AM97" s="22"/>
      <c r="AN97" s="22"/>
    </row>
    <row r="98" spans="1:40" x14ac:dyDescent="0.25">
      <c r="A98" s="22"/>
      <c r="B98" s="22"/>
      <c r="C98" s="22"/>
      <c r="D98" s="22"/>
      <c r="E98" s="22"/>
      <c r="F98" s="22"/>
      <c r="G98" s="22"/>
      <c r="H98" s="22"/>
      <c r="I98" s="22"/>
      <c r="J98" s="22"/>
      <c r="K98" s="22"/>
      <c r="L98" s="22"/>
      <c r="M98" s="22"/>
      <c r="N98" s="22"/>
      <c r="O98" s="22"/>
      <c r="P98" s="22"/>
      <c r="Q98" s="22"/>
      <c r="R98" s="22"/>
      <c r="S98" s="22"/>
      <c r="T98" s="22"/>
      <c r="U98" s="22"/>
      <c r="V98" s="22"/>
      <c r="W98" s="22"/>
      <c r="X98" s="22"/>
      <c r="Y98" s="22"/>
      <c r="Z98" s="22"/>
      <c r="AA98" s="22"/>
      <c r="AB98" s="22"/>
      <c r="AC98" s="22"/>
      <c r="AD98" s="22"/>
      <c r="AE98" s="22"/>
      <c r="AF98" s="22"/>
      <c r="AG98" s="22"/>
      <c r="AH98" s="22"/>
      <c r="AI98" s="22"/>
      <c r="AJ98" s="22"/>
      <c r="AK98" s="22"/>
      <c r="AL98" s="22"/>
      <c r="AM98" s="22"/>
      <c r="AN98" s="22"/>
    </row>
    <row r="99" spans="1:40" x14ac:dyDescent="0.25">
      <c r="A99" s="22"/>
      <c r="B99" s="22"/>
      <c r="C99" s="22"/>
      <c r="D99" s="22"/>
      <c r="E99" s="22"/>
      <c r="F99" s="22"/>
      <c r="G99" s="22"/>
      <c r="H99" s="22"/>
      <c r="I99" s="22"/>
      <c r="J99" s="22"/>
      <c r="K99" s="22"/>
      <c r="L99" s="22"/>
      <c r="M99" s="22"/>
      <c r="N99" s="22"/>
      <c r="O99" s="22"/>
      <c r="P99" s="22"/>
      <c r="Q99" s="22"/>
      <c r="R99" s="22"/>
      <c r="S99" s="22"/>
      <c r="T99" s="22"/>
      <c r="U99" s="22"/>
      <c r="V99" s="22"/>
      <c r="W99" s="22"/>
      <c r="X99" s="22"/>
      <c r="Y99" s="22"/>
      <c r="Z99" s="22"/>
      <c r="AA99" s="22"/>
      <c r="AB99" s="22"/>
      <c r="AC99" s="22"/>
      <c r="AD99" s="22"/>
      <c r="AE99" s="22"/>
      <c r="AF99" s="22"/>
      <c r="AG99" s="22"/>
      <c r="AH99" s="22"/>
      <c r="AI99" s="22"/>
      <c r="AJ99" s="22"/>
      <c r="AK99" s="22"/>
      <c r="AL99" s="22"/>
      <c r="AM99" s="22"/>
      <c r="AN99" s="22"/>
    </row>
    <row r="100" spans="1:40" x14ac:dyDescent="0.25">
      <c r="A100" s="22"/>
      <c r="B100" s="22"/>
      <c r="C100" s="22"/>
      <c r="D100" s="22"/>
      <c r="E100" s="22"/>
      <c r="F100" s="22"/>
      <c r="G100" s="22"/>
      <c r="H100" s="22"/>
      <c r="I100" s="22"/>
      <c r="J100" s="22"/>
      <c r="K100" s="22"/>
      <c r="L100" s="22"/>
      <c r="M100" s="22"/>
      <c r="N100" s="22"/>
      <c r="O100" s="22"/>
      <c r="P100" s="22"/>
      <c r="Q100" s="22"/>
      <c r="R100" s="22"/>
      <c r="S100" s="22"/>
      <c r="T100" s="22"/>
      <c r="U100" s="22"/>
      <c r="V100" s="22"/>
      <c r="W100" s="22"/>
      <c r="X100" s="22"/>
      <c r="Y100" s="22"/>
      <c r="Z100" s="22"/>
      <c r="AA100" s="22"/>
      <c r="AB100" s="22"/>
      <c r="AC100" s="22"/>
      <c r="AD100" s="22"/>
      <c r="AE100" s="22"/>
      <c r="AF100" s="22"/>
      <c r="AG100" s="22"/>
      <c r="AH100" s="22"/>
      <c r="AI100" s="22"/>
      <c r="AJ100" s="22"/>
      <c r="AK100" s="22"/>
      <c r="AL100" s="22"/>
      <c r="AM100" s="22"/>
      <c r="AN100" s="22"/>
    </row>
    <row r="101" spans="1:40" x14ac:dyDescent="0.25">
      <c r="A101" s="22"/>
      <c r="B101" s="22"/>
      <c r="C101" s="22"/>
      <c r="D101" s="22"/>
      <c r="E101" s="22"/>
      <c r="F101" s="22"/>
      <c r="G101" s="22"/>
      <c r="H101" s="22"/>
      <c r="I101" s="22"/>
      <c r="J101" s="22"/>
      <c r="K101" s="22"/>
      <c r="L101" s="22"/>
      <c r="M101" s="22"/>
      <c r="N101" s="22"/>
      <c r="O101" s="22"/>
      <c r="P101" s="22"/>
      <c r="Q101" s="22"/>
      <c r="R101" s="22"/>
      <c r="S101" s="22"/>
      <c r="T101" s="22"/>
      <c r="U101" s="22"/>
      <c r="V101" s="22"/>
      <c r="W101" s="22"/>
      <c r="X101" s="22"/>
      <c r="Y101" s="22"/>
      <c r="Z101" s="22"/>
      <c r="AA101" s="22"/>
      <c r="AB101" s="22"/>
      <c r="AC101" s="22"/>
      <c r="AD101" s="22"/>
      <c r="AE101" s="22"/>
      <c r="AF101" s="22"/>
      <c r="AG101" s="22"/>
      <c r="AH101" s="22"/>
      <c r="AI101" s="22"/>
      <c r="AJ101" s="22"/>
      <c r="AK101" s="22"/>
      <c r="AL101" s="22"/>
      <c r="AM101" s="22"/>
      <c r="AN101" s="22"/>
    </row>
    <row r="102" spans="1:40" x14ac:dyDescent="0.25">
      <c r="A102" s="22"/>
      <c r="B102" s="22"/>
      <c r="C102" s="22"/>
      <c r="D102" s="22"/>
      <c r="E102" s="22"/>
      <c r="F102" s="22"/>
      <c r="G102" s="22"/>
      <c r="H102" s="22"/>
      <c r="I102" s="22"/>
      <c r="J102" s="22"/>
      <c r="K102" s="22"/>
      <c r="L102" s="22"/>
      <c r="M102" s="22"/>
      <c r="N102" s="22"/>
      <c r="O102" s="22"/>
      <c r="P102" s="22"/>
      <c r="Q102" s="22"/>
      <c r="R102" s="22"/>
      <c r="S102" s="22"/>
      <c r="T102" s="22"/>
      <c r="U102" s="22"/>
      <c r="V102" s="22"/>
      <c r="W102" s="22"/>
      <c r="X102" s="22"/>
      <c r="Y102" s="22"/>
      <c r="Z102" s="22"/>
      <c r="AA102" s="22"/>
      <c r="AB102" s="22"/>
      <c r="AC102" s="22"/>
      <c r="AD102" s="22"/>
      <c r="AE102" s="22"/>
      <c r="AF102" s="22"/>
      <c r="AG102" s="22"/>
      <c r="AH102" s="22"/>
      <c r="AI102" s="22"/>
      <c r="AJ102" s="22"/>
      <c r="AK102" s="22"/>
      <c r="AL102" s="22"/>
      <c r="AM102" s="22"/>
      <c r="AN102" s="22"/>
    </row>
    <row r="103" spans="1:40" x14ac:dyDescent="0.25">
      <c r="A103" s="22"/>
      <c r="B103" s="22"/>
      <c r="C103" s="22"/>
      <c r="D103" s="22"/>
      <c r="E103" s="22"/>
      <c r="F103" s="22"/>
      <c r="G103" s="22"/>
      <c r="H103" s="22"/>
      <c r="I103" s="22"/>
      <c r="J103" s="22"/>
      <c r="K103" s="22"/>
      <c r="L103" s="22"/>
      <c r="M103" s="22"/>
      <c r="N103" s="22"/>
      <c r="O103" s="22"/>
      <c r="P103" s="22"/>
      <c r="Q103" s="22"/>
      <c r="R103" s="22"/>
      <c r="S103" s="22"/>
      <c r="T103" s="22"/>
      <c r="U103" s="22"/>
      <c r="V103" s="22"/>
      <c r="W103" s="22"/>
      <c r="X103" s="22"/>
      <c r="Y103" s="22"/>
      <c r="Z103" s="22"/>
      <c r="AA103" s="22"/>
      <c r="AB103" s="22"/>
      <c r="AC103" s="22"/>
      <c r="AD103" s="22"/>
      <c r="AE103" s="22"/>
      <c r="AF103" s="22"/>
      <c r="AG103" s="22"/>
      <c r="AH103" s="22"/>
      <c r="AI103" s="22"/>
      <c r="AJ103" s="22"/>
      <c r="AK103" s="22"/>
      <c r="AL103" s="22"/>
      <c r="AM103" s="22"/>
      <c r="AN103" s="22"/>
    </row>
    <row r="104" spans="1:40" x14ac:dyDescent="0.25">
      <c r="A104" s="22"/>
      <c r="B104" s="22"/>
      <c r="C104" s="22"/>
      <c r="D104" s="22"/>
      <c r="E104" s="22"/>
      <c r="F104" s="22"/>
      <c r="G104" s="22"/>
      <c r="H104" s="22"/>
      <c r="I104" s="22"/>
      <c r="J104" s="22"/>
      <c r="K104" s="22"/>
      <c r="L104" s="22"/>
      <c r="M104" s="22"/>
      <c r="N104" s="22"/>
      <c r="O104" s="22"/>
      <c r="P104" s="22"/>
      <c r="Q104" s="22"/>
      <c r="R104" s="22"/>
      <c r="S104" s="22"/>
      <c r="T104" s="22"/>
      <c r="U104" s="22"/>
      <c r="V104" s="22"/>
      <c r="W104" s="22"/>
      <c r="X104" s="22"/>
      <c r="Y104" s="22"/>
      <c r="Z104" s="22"/>
      <c r="AA104" s="22"/>
      <c r="AB104" s="22"/>
      <c r="AC104" s="22"/>
      <c r="AD104" s="22"/>
      <c r="AE104" s="22"/>
      <c r="AF104" s="22"/>
      <c r="AG104" s="22"/>
      <c r="AH104" s="22"/>
      <c r="AI104" s="22"/>
      <c r="AJ104" s="22"/>
      <c r="AK104" s="22"/>
      <c r="AL104" s="22"/>
      <c r="AM104" s="22"/>
      <c r="AN104" s="22"/>
    </row>
    <row r="105" spans="1:40" x14ac:dyDescent="0.25">
      <c r="A105" s="22"/>
      <c r="B105" s="22"/>
      <c r="C105" s="22"/>
      <c r="D105" s="22"/>
      <c r="E105" s="22"/>
      <c r="F105" s="22"/>
      <c r="G105" s="22"/>
      <c r="H105" s="22"/>
      <c r="I105" s="22"/>
      <c r="J105" s="22"/>
      <c r="K105" s="22"/>
      <c r="L105" s="22"/>
      <c r="M105" s="22"/>
      <c r="N105" s="22"/>
      <c r="O105" s="22"/>
      <c r="P105" s="22"/>
      <c r="Q105" s="22"/>
      <c r="R105" s="22"/>
      <c r="S105" s="22"/>
      <c r="T105" s="22"/>
      <c r="U105" s="22"/>
      <c r="V105" s="22"/>
      <c r="W105" s="22"/>
      <c r="X105" s="22"/>
      <c r="Y105" s="22"/>
      <c r="Z105" s="22"/>
      <c r="AA105" s="22"/>
      <c r="AB105" s="22"/>
      <c r="AC105" s="22"/>
      <c r="AD105" s="22"/>
      <c r="AE105" s="22"/>
      <c r="AF105" s="22"/>
      <c r="AG105" s="22"/>
      <c r="AH105" s="22"/>
      <c r="AI105" s="22"/>
      <c r="AJ105" s="22"/>
      <c r="AK105" s="22"/>
      <c r="AL105" s="22"/>
      <c r="AM105" s="22"/>
      <c r="AN105" s="22"/>
    </row>
    <row r="106" spans="1:40" x14ac:dyDescent="0.25">
      <c r="A106" s="22"/>
      <c r="B106" s="22"/>
      <c r="C106" s="22"/>
      <c r="D106" s="22"/>
      <c r="E106" s="22"/>
      <c r="F106" s="22"/>
      <c r="G106" s="22"/>
      <c r="H106" s="22"/>
      <c r="I106" s="22"/>
      <c r="J106" s="22"/>
      <c r="K106" s="22"/>
      <c r="L106" s="22"/>
      <c r="M106" s="22"/>
      <c r="N106" s="22"/>
      <c r="O106" s="22"/>
      <c r="P106" s="22"/>
      <c r="Q106" s="22"/>
      <c r="R106" s="22"/>
      <c r="S106" s="22"/>
      <c r="T106" s="22"/>
      <c r="U106" s="22"/>
      <c r="V106" s="22"/>
      <c r="W106" s="22"/>
      <c r="X106" s="22"/>
      <c r="Y106" s="22"/>
      <c r="Z106" s="22"/>
      <c r="AA106" s="22"/>
      <c r="AB106" s="22"/>
      <c r="AC106" s="22"/>
      <c r="AD106" s="22"/>
      <c r="AE106" s="22"/>
      <c r="AF106" s="22"/>
      <c r="AG106" s="22"/>
      <c r="AH106" s="22"/>
      <c r="AI106" s="22"/>
      <c r="AJ106" s="22"/>
      <c r="AK106" s="22"/>
      <c r="AL106" s="22"/>
      <c r="AM106" s="22"/>
      <c r="AN106" s="22"/>
    </row>
    <row r="107" spans="1:40" x14ac:dyDescent="0.25">
      <c r="A107" s="22"/>
      <c r="B107" s="22"/>
      <c r="C107" s="22"/>
      <c r="D107" s="22"/>
      <c r="E107" s="22"/>
      <c r="F107" s="22"/>
      <c r="G107" s="22"/>
      <c r="H107" s="22"/>
      <c r="I107" s="22"/>
      <c r="J107" s="22"/>
      <c r="K107" s="22"/>
      <c r="L107" s="22"/>
      <c r="M107" s="22"/>
      <c r="N107" s="22"/>
      <c r="O107" s="22"/>
      <c r="P107" s="22"/>
      <c r="Q107" s="22"/>
      <c r="R107" s="22"/>
      <c r="S107" s="22"/>
      <c r="T107" s="22"/>
      <c r="U107" s="22"/>
      <c r="V107" s="22"/>
      <c r="W107" s="22"/>
      <c r="X107" s="22"/>
      <c r="Y107" s="22"/>
      <c r="Z107" s="22"/>
      <c r="AA107" s="22"/>
      <c r="AB107" s="22"/>
      <c r="AC107" s="22"/>
      <c r="AD107" s="22"/>
      <c r="AE107" s="22"/>
      <c r="AF107" s="22"/>
      <c r="AG107" s="22"/>
      <c r="AH107" s="22"/>
      <c r="AI107" s="22"/>
      <c r="AJ107" s="22"/>
      <c r="AK107" s="22"/>
      <c r="AL107" s="22"/>
      <c r="AM107" s="22"/>
      <c r="AN107" s="22"/>
    </row>
    <row r="108" spans="1:40" x14ac:dyDescent="0.25">
      <c r="A108" s="22"/>
      <c r="B108" s="22"/>
      <c r="C108" s="22"/>
      <c r="D108" s="22"/>
      <c r="E108" s="22"/>
      <c r="F108" s="22"/>
      <c r="G108" s="22"/>
      <c r="H108" s="22"/>
      <c r="I108" s="22"/>
      <c r="J108" s="22"/>
      <c r="K108" s="22"/>
      <c r="L108" s="22"/>
      <c r="M108" s="22"/>
      <c r="N108" s="22"/>
      <c r="O108" s="22"/>
      <c r="P108" s="22"/>
      <c r="Q108" s="22"/>
      <c r="R108" s="22"/>
      <c r="S108" s="22"/>
      <c r="T108" s="22"/>
      <c r="U108" s="22"/>
      <c r="V108" s="22"/>
      <c r="W108" s="22"/>
      <c r="X108" s="22"/>
      <c r="Y108" s="22"/>
      <c r="Z108" s="22"/>
      <c r="AA108" s="22"/>
      <c r="AB108" s="22"/>
      <c r="AC108" s="22"/>
      <c r="AD108" s="22"/>
      <c r="AE108" s="22"/>
      <c r="AF108" s="22"/>
      <c r="AG108" s="22"/>
      <c r="AH108" s="22"/>
      <c r="AI108" s="22"/>
      <c r="AJ108" s="22"/>
      <c r="AK108" s="22"/>
      <c r="AL108" s="22"/>
      <c r="AM108" s="22"/>
      <c r="AN108" s="22"/>
    </row>
    <row r="109" spans="1:40" x14ac:dyDescent="0.25">
      <c r="A109" s="22"/>
      <c r="B109" s="22"/>
      <c r="C109" s="22"/>
      <c r="D109" s="22"/>
      <c r="E109" s="22"/>
      <c r="F109" s="22"/>
      <c r="G109" s="22"/>
      <c r="H109" s="22"/>
      <c r="I109" s="22"/>
      <c r="J109" s="22"/>
      <c r="K109" s="22"/>
      <c r="L109" s="22"/>
      <c r="M109" s="22"/>
      <c r="N109" s="22"/>
      <c r="O109" s="22"/>
      <c r="P109" s="22"/>
      <c r="Q109" s="22"/>
      <c r="R109" s="22"/>
      <c r="S109" s="22"/>
      <c r="T109" s="22"/>
      <c r="U109" s="22"/>
      <c r="V109" s="22"/>
      <c r="W109" s="22"/>
      <c r="X109" s="22"/>
      <c r="Y109" s="22"/>
      <c r="Z109" s="22"/>
      <c r="AA109" s="22"/>
      <c r="AB109" s="22"/>
      <c r="AC109" s="22"/>
      <c r="AD109" s="22"/>
      <c r="AE109" s="22"/>
      <c r="AF109" s="22"/>
      <c r="AG109" s="22"/>
      <c r="AH109" s="22"/>
      <c r="AI109" s="22"/>
      <c r="AJ109" s="22"/>
      <c r="AK109" s="22"/>
      <c r="AL109" s="22"/>
      <c r="AM109" s="22"/>
      <c r="AN109" s="22"/>
    </row>
    <row r="110" spans="1:40" x14ac:dyDescent="0.25">
      <c r="A110" s="22"/>
      <c r="B110" s="22"/>
      <c r="C110" s="22"/>
      <c r="D110" s="22"/>
      <c r="E110" s="22"/>
      <c r="F110" s="22"/>
      <c r="G110" s="22"/>
      <c r="H110" s="22"/>
      <c r="I110" s="22"/>
      <c r="J110" s="22"/>
      <c r="K110" s="22"/>
      <c r="L110" s="22"/>
      <c r="M110" s="22"/>
      <c r="N110" s="22"/>
      <c r="O110" s="22"/>
      <c r="P110" s="22"/>
      <c r="Q110" s="22"/>
      <c r="R110" s="22"/>
      <c r="S110" s="22"/>
      <c r="T110" s="22"/>
      <c r="U110" s="22"/>
      <c r="V110" s="22"/>
      <c r="W110" s="22"/>
      <c r="X110" s="22"/>
      <c r="Y110" s="22"/>
      <c r="Z110" s="22"/>
      <c r="AA110" s="22"/>
      <c r="AB110" s="22"/>
      <c r="AC110" s="22"/>
      <c r="AD110" s="22"/>
      <c r="AE110" s="22"/>
      <c r="AF110" s="22"/>
      <c r="AG110" s="22"/>
      <c r="AH110" s="22"/>
      <c r="AI110" s="22"/>
      <c r="AJ110" s="22"/>
      <c r="AK110" s="22"/>
      <c r="AL110" s="22"/>
      <c r="AM110" s="22"/>
      <c r="AN110" s="22"/>
    </row>
    <row r="111" spans="1:40" x14ac:dyDescent="0.25">
      <c r="A111" s="22"/>
      <c r="B111" s="22"/>
      <c r="C111" s="22"/>
      <c r="D111" s="22"/>
      <c r="E111" s="22"/>
      <c r="F111" s="22"/>
      <c r="G111" s="22"/>
      <c r="H111" s="22"/>
      <c r="I111" s="22"/>
      <c r="J111" s="22"/>
      <c r="K111" s="22"/>
      <c r="L111" s="22"/>
      <c r="M111" s="22"/>
      <c r="N111" s="22"/>
      <c r="O111" s="22"/>
      <c r="P111" s="22"/>
      <c r="Q111" s="22"/>
      <c r="R111" s="22"/>
      <c r="S111" s="22"/>
      <c r="T111" s="22"/>
      <c r="U111" s="22"/>
      <c r="V111" s="22"/>
      <c r="W111" s="22"/>
      <c r="X111" s="22"/>
      <c r="Y111" s="22"/>
      <c r="Z111" s="22"/>
      <c r="AA111" s="22"/>
      <c r="AB111" s="22"/>
      <c r="AC111" s="22"/>
      <c r="AD111" s="22"/>
      <c r="AE111" s="22"/>
      <c r="AF111" s="22"/>
      <c r="AG111" s="22"/>
      <c r="AH111" s="22"/>
      <c r="AI111" s="22"/>
      <c r="AJ111" s="22"/>
      <c r="AK111" s="22"/>
      <c r="AL111" s="22"/>
      <c r="AM111" s="22"/>
      <c r="AN111" s="22"/>
    </row>
    <row r="112" spans="1:40" x14ac:dyDescent="0.25">
      <c r="A112" s="22"/>
      <c r="B112" s="22"/>
      <c r="C112" s="22"/>
      <c r="D112" s="22"/>
      <c r="E112" s="22"/>
      <c r="F112" s="22"/>
      <c r="G112" s="22"/>
      <c r="H112" s="22"/>
      <c r="I112" s="22"/>
      <c r="J112" s="22"/>
      <c r="K112" s="22"/>
      <c r="L112" s="22"/>
      <c r="M112" s="22"/>
      <c r="N112" s="22"/>
      <c r="O112" s="22"/>
      <c r="P112" s="22"/>
      <c r="Q112" s="22"/>
      <c r="R112" s="22"/>
      <c r="S112" s="22"/>
      <c r="T112" s="22"/>
      <c r="U112" s="22"/>
      <c r="V112" s="22"/>
      <c r="W112" s="22"/>
      <c r="X112" s="22"/>
      <c r="Y112" s="22"/>
      <c r="Z112" s="22"/>
      <c r="AA112" s="22"/>
      <c r="AB112" s="22"/>
      <c r="AC112" s="22"/>
      <c r="AD112" s="22"/>
      <c r="AE112" s="22"/>
      <c r="AF112" s="22"/>
      <c r="AG112" s="22"/>
      <c r="AH112" s="22"/>
      <c r="AI112" s="22"/>
      <c r="AJ112" s="22"/>
      <c r="AK112" s="22"/>
      <c r="AL112" s="22"/>
      <c r="AM112" s="22"/>
      <c r="AN112" s="22"/>
    </row>
    <row r="113" spans="1:40" x14ac:dyDescent="0.25">
      <c r="A113" s="22"/>
      <c r="B113" s="22"/>
      <c r="C113" s="22"/>
      <c r="D113" s="22"/>
      <c r="E113" s="22"/>
      <c r="F113" s="22"/>
      <c r="G113" s="22"/>
      <c r="H113" s="22"/>
      <c r="I113" s="22"/>
      <c r="J113" s="22"/>
      <c r="K113" s="22"/>
      <c r="L113" s="22"/>
      <c r="M113" s="22"/>
      <c r="N113" s="22"/>
      <c r="O113" s="22"/>
      <c r="P113" s="22"/>
      <c r="Q113" s="22"/>
      <c r="R113" s="22"/>
      <c r="S113" s="22"/>
      <c r="T113" s="22"/>
      <c r="U113" s="22"/>
      <c r="V113" s="22"/>
      <c r="W113" s="22"/>
      <c r="X113" s="22"/>
      <c r="Y113" s="22"/>
      <c r="Z113" s="22"/>
      <c r="AA113" s="22"/>
      <c r="AB113" s="22"/>
      <c r="AC113" s="22"/>
      <c r="AD113" s="22"/>
      <c r="AE113" s="22"/>
      <c r="AF113" s="22"/>
      <c r="AG113" s="22"/>
      <c r="AH113" s="22"/>
      <c r="AI113" s="22"/>
      <c r="AJ113" s="22"/>
      <c r="AK113" s="22"/>
      <c r="AL113" s="22"/>
      <c r="AM113" s="22"/>
      <c r="AN113" s="22"/>
    </row>
    <row r="114" spans="1:40" x14ac:dyDescent="0.25">
      <c r="A114" s="22"/>
      <c r="B114" s="22"/>
      <c r="C114" s="22"/>
      <c r="D114" s="22"/>
      <c r="E114" s="22"/>
      <c r="F114" s="22"/>
      <c r="G114" s="22"/>
      <c r="H114" s="22"/>
      <c r="I114" s="22"/>
      <c r="J114" s="22"/>
      <c r="K114" s="22"/>
      <c r="L114" s="22"/>
      <c r="M114" s="22"/>
      <c r="N114" s="22"/>
      <c r="O114" s="22"/>
      <c r="P114" s="22"/>
      <c r="Q114" s="22"/>
      <c r="R114" s="22"/>
      <c r="S114" s="22"/>
      <c r="T114" s="22"/>
      <c r="U114" s="22"/>
      <c r="V114" s="22"/>
      <c r="W114" s="22"/>
      <c r="X114" s="22"/>
      <c r="Y114" s="22"/>
      <c r="Z114" s="22"/>
      <c r="AA114" s="22"/>
      <c r="AB114" s="22"/>
      <c r="AC114" s="22"/>
      <c r="AD114" s="22"/>
      <c r="AE114" s="22"/>
      <c r="AF114" s="22"/>
      <c r="AG114" s="22"/>
      <c r="AH114" s="22"/>
      <c r="AI114" s="22"/>
      <c r="AJ114" s="22"/>
      <c r="AK114" s="22"/>
      <c r="AL114" s="22"/>
      <c r="AM114" s="22"/>
      <c r="AN114" s="22"/>
    </row>
    <row r="115" spans="1:40" x14ac:dyDescent="0.25">
      <c r="A115" s="22"/>
      <c r="B115" s="22"/>
      <c r="C115" s="22"/>
      <c r="D115" s="22"/>
      <c r="E115" s="22"/>
      <c r="F115" s="22"/>
      <c r="G115" s="22"/>
      <c r="H115" s="22"/>
      <c r="I115" s="22"/>
      <c r="J115" s="22"/>
      <c r="K115" s="22"/>
      <c r="L115" s="22"/>
      <c r="M115" s="22"/>
      <c r="N115" s="22"/>
      <c r="O115" s="22"/>
      <c r="P115" s="22"/>
      <c r="Q115" s="22"/>
      <c r="R115" s="22"/>
      <c r="S115" s="22"/>
      <c r="T115" s="22"/>
      <c r="U115" s="22"/>
      <c r="V115" s="22"/>
      <c r="W115" s="22"/>
      <c r="X115" s="22"/>
      <c r="Y115" s="22"/>
      <c r="Z115" s="22"/>
      <c r="AA115" s="22"/>
      <c r="AB115" s="22"/>
      <c r="AC115" s="22"/>
      <c r="AD115" s="22"/>
      <c r="AE115" s="22"/>
      <c r="AF115" s="22"/>
      <c r="AG115" s="22"/>
      <c r="AH115" s="22"/>
      <c r="AI115" s="22"/>
      <c r="AJ115" s="22"/>
      <c r="AK115" s="22"/>
      <c r="AL115" s="22"/>
      <c r="AM115" s="22"/>
      <c r="AN115" s="22"/>
    </row>
    <row r="116" spans="1:40" x14ac:dyDescent="0.25">
      <c r="A116" s="22"/>
      <c r="B116" s="22"/>
      <c r="C116" s="22"/>
      <c r="D116" s="22"/>
      <c r="E116" s="22"/>
      <c r="F116" s="22"/>
      <c r="G116" s="22"/>
      <c r="H116" s="22"/>
      <c r="I116" s="22"/>
      <c r="J116" s="22"/>
      <c r="K116" s="22"/>
      <c r="L116" s="22"/>
      <c r="M116" s="22"/>
      <c r="N116" s="22"/>
      <c r="O116" s="22"/>
      <c r="P116" s="22"/>
      <c r="Q116" s="22"/>
      <c r="R116" s="22"/>
      <c r="S116" s="22"/>
      <c r="T116" s="22"/>
      <c r="U116" s="22"/>
      <c r="V116" s="22"/>
      <c r="W116" s="22"/>
      <c r="X116" s="22"/>
      <c r="Y116" s="22"/>
      <c r="Z116" s="22"/>
      <c r="AA116" s="22"/>
      <c r="AB116" s="22"/>
      <c r="AC116" s="22"/>
      <c r="AD116" s="22"/>
      <c r="AE116" s="22"/>
      <c r="AF116" s="22"/>
      <c r="AG116" s="22"/>
      <c r="AH116" s="22"/>
      <c r="AI116" s="22"/>
      <c r="AJ116" s="22"/>
      <c r="AK116" s="22"/>
      <c r="AL116" s="22"/>
      <c r="AM116" s="22"/>
      <c r="AN116" s="22"/>
    </row>
    <row r="117" spans="1:40" x14ac:dyDescent="0.25">
      <c r="A117" s="22"/>
      <c r="B117" s="22"/>
      <c r="C117" s="22"/>
      <c r="D117" s="22"/>
      <c r="E117" s="22"/>
      <c r="F117" s="22"/>
      <c r="G117" s="22"/>
      <c r="H117" s="22"/>
      <c r="I117" s="22"/>
      <c r="J117" s="22"/>
      <c r="K117" s="22"/>
      <c r="L117" s="22"/>
      <c r="M117" s="22"/>
      <c r="N117" s="22"/>
      <c r="O117" s="22"/>
      <c r="P117" s="22"/>
      <c r="Q117" s="22"/>
      <c r="R117" s="22"/>
      <c r="S117" s="22"/>
      <c r="T117" s="22"/>
      <c r="U117" s="22"/>
      <c r="V117" s="22"/>
      <c r="W117" s="22"/>
      <c r="X117" s="22"/>
      <c r="Y117" s="22"/>
      <c r="Z117" s="22"/>
      <c r="AA117" s="22"/>
      <c r="AB117" s="22"/>
      <c r="AC117" s="22"/>
      <c r="AD117" s="22"/>
      <c r="AE117" s="22"/>
      <c r="AF117" s="22"/>
      <c r="AG117" s="22"/>
      <c r="AH117" s="22"/>
      <c r="AI117" s="22"/>
      <c r="AJ117" s="22"/>
      <c r="AK117" s="22"/>
      <c r="AL117" s="22"/>
      <c r="AM117" s="22"/>
      <c r="AN117" s="22"/>
    </row>
    <row r="118" spans="1:40" x14ac:dyDescent="0.25">
      <c r="A118" s="22"/>
      <c r="B118" s="22"/>
      <c r="C118" s="22"/>
      <c r="D118" s="22"/>
      <c r="E118" s="22"/>
      <c r="F118" s="22"/>
      <c r="G118" s="22"/>
      <c r="H118" s="22"/>
      <c r="I118" s="22"/>
      <c r="J118" s="22"/>
      <c r="K118" s="22"/>
      <c r="L118" s="22"/>
      <c r="M118" s="22"/>
      <c r="N118" s="22"/>
      <c r="O118" s="22"/>
      <c r="P118" s="22"/>
      <c r="Q118" s="22"/>
      <c r="R118" s="22"/>
      <c r="S118" s="22"/>
      <c r="T118" s="22"/>
      <c r="U118" s="22"/>
      <c r="V118" s="22"/>
      <c r="W118" s="22"/>
      <c r="X118" s="22"/>
      <c r="Y118" s="22"/>
      <c r="Z118" s="22"/>
      <c r="AA118" s="22"/>
      <c r="AB118" s="22"/>
      <c r="AC118" s="22"/>
      <c r="AD118" s="22"/>
      <c r="AE118" s="22"/>
      <c r="AF118" s="22"/>
      <c r="AG118" s="22"/>
      <c r="AH118" s="22"/>
      <c r="AI118" s="22"/>
      <c r="AJ118" s="22"/>
      <c r="AK118" s="22"/>
      <c r="AL118" s="22"/>
      <c r="AM118" s="22"/>
      <c r="AN118" s="22"/>
    </row>
    <row r="119" spans="1:40" x14ac:dyDescent="0.25">
      <c r="A119" s="22"/>
      <c r="B119" s="22"/>
      <c r="C119" s="22"/>
      <c r="D119" s="22"/>
      <c r="E119" s="22"/>
      <c r="F119" s="22"/>
      <c r="G119" s="22"/>
      <c r="H119" s="22"/>
      <c r="I119" s="22"/>
      <c r="J119" s="22"/>
      <c r="K119" s="22"/>
      <c r="L119" s="22"/>
      <c r="M119" s="22"/>
      <c r="N119" s="22"/>
      <c r="O119" s="22"/>
      <c r="P119" s="22"/>
      <c r="Q119" s="22"/>
      <c r="R119" s="22"/>
      <c r="S119" s="22"/>
      <c r="T119" s="22"/>
      <c r="U119" s="22"/>
      <c r="V119" s="22"/>
      <c r="W119" s="22"/>
      <c r="X119" s="22"/>
      <c r="Y119" s="22"/>
      <c r="Z119" s="22"/>
      <c r="AA119" s="22"/>
      <c r="AB119" s="22"/>
      <c r="AC119" s="22"/>
      <c r="AD119" s="22"/>
      <c r="AE119" s="22"/>
      <c r="AF119" s="22"/>
      <c r="AG119" s="22"/>
      <c r="AH119" s="22"/>
      <c r="AI119" s="22"/>
      <c r="AJ119" s="22"/>
      <c r="AK119" s="22"/>
      <c r="AL119" s="22"/>
      <c r="AM119" s="22"/>
      <c r="AN119" s="22"/>
    </row>
    <row r="120" spans="1:40" x14ac:dyDescent="0.25">
      <c r="A120" s="22"/>
      <c r="B120" s="22"/>
      <c r="C120" s="22"/>
      <c r="D120" s="22"/>
      <c r="E120" s="22"/>
      <c r="F120" s="22"/>
      <c r="G120" s="22"/>
      <c r="H120" s="22"/>
      <c r="I120" s="22"/>
      <c r="J120" s="22"/>
      <c r="K120" s="22"/>
      <c r="L120" s="22"/>
      <c r="M120" s="22"/>
      <c r="N120" s="22"/>
      <c r="O120" s="22"/>
      <c r="P120" s="22"/>
      <c r="Q120" s="22"/>
      <c r="R120" s="22"/>
      <c r="S120" s="22"/>
      <c r="T120" s="22"/>
      <c r="U120" s="22"/>
      <c r="V120" s="22"/>
      <c r="W120" s="22"/>
      <c r="X120" s="22"/>
      <c r="Y120" s="22"/>
      <c r="Z120" s="22"/>
      <c r="AA120" s="22"/>
      <c r="AB120" s="22"/>
      <c r="AC120" s="22"/>
      <c r="AD120" s="22"/>
      <c r="AE120" s="22"/>
      <c r="AF120" s="22"/>
      <c r="AG120" s="22"/>
      <c r="AH120" s="22"/>
      <c r="AI120" s="22"/>
      <c r="AJ120" s="22"/>
      <c r="AK120" s="22"/>
      <c r="AL120" s="22"/>
      <c r="AM120" s="22"/>
      <c r="AN120" s="22"/>
    </row>
    <row r="121" spans="1:40" x14ac:dyDescent="0.25">
      <c r="A121" s="22"/>
      <c r="B121" s="22"/>
      <c r="C121" s="22"/>
      <c r="D121" s="22"/>
      <c r="E121" s="22"/>
      <c r="F121" s="22"/>
      <c r="G121" s="22"/>
      <c r="H121" s="22"/>
      <c r="I121" s="22"/>
      <c r="J121" s="22"/>
      <c r="K121" s="22"/>
      <c r="L121" s="22"/>
      <c r="M121" s="22"/>
      <c r="N121" s="22"/>
      <c r="O121" s="22"/>
      <c r="P121" s="22"/>
      <c r="Q121" s="22"/>
      <c r="R121" s="22"/>
      <c r="S121" s="22"/>
      <c r="T121" s="22"/>
      <c r="U121" s="22"/>
      <c r="V121" s="22"/>
      <c r="W121" s="22"/>
      <c r="X121" s="22"/>
      <c r="Y121" s="22"/>
      <c r="Z121" s="22"/>
      <c r="AA121" s="22"/>
      <c r="AB121" s="22"/>
      <c r="AC121" s="22"/>
      <c r="AD121" s="22"/>
      <c r="AE121" s="22"/>
      <c r="AF121" s="22"/>
      <c r="AG121" s="22"/>
      <c r="AH121" s="22"/>
      <c r="AI121" s="22"/>
      <c r="AJ121" s="22"/>
      <c r="AK121" s="22"/>
      <c r="AL121" s="22"/>
      <c r="AM121" s="22"/>
      <c r="AN121" s="22"/>
    </row>
    <row r="122" spans="1:40" x14ac:dyDescent="0.25">
      <c r="A122" s="22"/>
      <c r="B122" s="22"/>
      <c r="C122" s="22"/>
      <c r="D122" s="22"/>
      <c r="E122" s="22"/>
      <c r="F122" s="22"/>
      <c r="G122" s="22"/>
      <c r="H122" s="22"/>
      <c r="I122" s="22"/>
      <c r="J122" s="22"/>
      <c r="K122" s="22"/>
      <c r="L122" s="22"/>
      <c r="M122" s="22"/>
      <c r="N122" s="22"/>
      <c r="O122" s="22"/>
      <c r="P122" s="22"/>
      <c r="Q122" s="22"/>
      <c r="R122" s="22"/>
      <c r="S122" s="22"/>
      <c r="T122" s="22"/>
      <c r="U122" s="22"/>
      <c r="V122" s="22"/>
      <c r="W122" s="22"/>
      <c r="X122" s="22"/>
      <c r="Y122" s="22"/>
      <c r="Z122" s="22"/>
      <c r="AA122" s="22"/>
      <c r="AB122" s="22"/>
      <c r="AC122" s="22"/>
      <c r="AD122" s="22"/>
      <c r="AE122" s="22"/>
      <c r="AF122" s="22"/>
      <c r="AG122" s="22"/>
      <c r="AH122" s="22"/>
      <c r="AI122" s="22"/>
      <c r="AJ122" s="22"/>
      <c r="AK122" s="22"/>
      <c r="AL122" s="22"/>
      <c r="AM122" s="22"/>
      <c r="AN122" s="22"/>
    </row>
    <row r="123" spans="1:40" x14ac:dyDescent="0.25">
      <c r="A123" s="22"/>
      <c r="B123" s="22"/>
      <c r="C123" s="22"/>
      <c r="D123" s="22"/>
      <c r="E123" s="22"/>
      <c r="F123" s="22"/>
      <c r="G123" s="22"/>
      <c r="H123" s="22"/>
      <c r="I123" s="22"/>
      <c r="J123" s="22"/>
      <c r="K123" s="22"/>
      <c r="L123" s="22"/>
      <c r="M123" s="22"/>
      <c r="N123" s="22"/>
      <c r="O123" s="22"/>
      <c r="P123" s="22"/>
      <c r="Q123" s="22"/>
      <c r="R123" s="22"/>
      <c r="S123" s="22"/>
      <c r="T123" s="22"/>
      <c r="U123" s="22"/>
      <c r="V123" s="22"/>
      <c r="W123" s="22"/>
      <c r="X123" s="22"/>
      <c r="Y123" s="22"/>
      <c r="Z123" s="22"/>
      <c r="AA123" s="22"/>
      <c r="AB123" s="22"/>
      <c r="AC123" s="22"/>
      <c r="AD123" s="22"/>
      <c r="AE123" s="22"/>
      <c r="AF123" s="22"/>
      <c r="AG123" s="22"/>
      <c r="AH123" s="22"/>
      <c r="AI123" s="22"/>
      <c r="AJ123" s="22"/>
      <c r="AK123" s="22"/>
      <c r="AL123" s="22"/>
      <c r="AM123" s="22"/>
      <c r="AN123" s="22"/>
    </row>
    <row r="124" spans="1:40" x14ac:dyDescent="0.25">
      <c r="A124" s="22"/>
      <c r="B124" s="22"/>
      <c r="C124" s="22"/>
      <c r="D124" s="22"/>
      <c r="E124" s="22"/>
      <c r="F124" s="22"/>
      <c r="G124" s="22"/>
      <c r="H124" s="22"/>
      <c r="I124" s="22"/>
      <c r="J124" s="22"/>
      <c r="K124" s="22"/>
      <c r="L124" s="22"/>
      <c r="M124" s="22"/>
      <c r="N124" s="22"/>
      <c r="O124" s="22"/>
      <c r="P124" s="22"/>
      <c r="Q124" s="22"/>
      <c r="R124" s="22"/>
      <c r="S124" s="22"/>
      <c r="T124" s="22"/>
      <c r="U124" s="22"/>
      <c r="V124" s="22"/>
      <c r="W124" s="22"/>
      <c r="X124" s="22"/>
      <c r="Y124" s="22"/>
      <c r="Z124" s="22"/>
      <c r="AA124" s="22"/>
      <c r="AB124" s="22"/>
      <c r="AC124" s="22"/>
      <c r="AD124" s="22"/>
      <c r="AE124" s="22"/>
      <c r="AF124" s="22"/>
      <c r="AG124" s="22"/>
      <c r="AH124" s="22"/>
      <c r="AI124" s="22"/>
      <c r="AJ124" s="22"/>
      <c r="AK124" s="22"/>
      <c r="AL124" s="22"/>
      <c r="AM124" s="22"/>
      <c r="AN124" s="22"/>
    </row>
    <row r="125" spans="1:40" x14ac:dyDescent="0.25">
      <c r="A125" s="22"/>
      <c r="B125" s="22"/>
      <c r="C125" s="22"/>
      <c r="D125" s="22"/>
      <c r="E125" s="22"/>
      <c r="F125" s="22"/>
      <c r="G125" s="22"/>
      <c r="H125" s="22"/>
      <c r="I125" s="22"/>
      <c r="J125" s="22"/>
      <c r="K125" s="22"/>
      <c r="L125" s="22"/>
      <c r="M125" s="22"/>
      <c r="N125" s="22"/>
      <c r="O125" s="22"/>
      <c r="P125" s="22"/>
      <c r="Q125" s="22"/>
      <c r="R125" s="22"/>
      <c r="S125" s="22"/>
      <c r="T125" s="22"/>
      <c r="U125" s="22"/>
      <c r="V125" s="22"/>
      <c r="W125" s="22"/>
      <c r="X125" s="22"/>
      <c r="Y125" s="22"/>
      <c r="Z125" s="22"/>
      <c r="AA125" s="22"/>
      <c r="AB125" s="22"/>
      <c r="AC125" s="22"/>
      <c r="AD125" s="22"/>
      <c r="AE125" s="22"/>
      <c r="AF125" s="22"/>
      <c r="AG125" s="22"/>
      <c r="AH125" s="22"/>
      <c r="AI125" s="22"/>
      <c r="AJ125" s="22"/>
      <c r="AK125" s="22"/>
      <c r="AL125" s="22"/>
      <c r="AM125" s="22"/>
      <c r="AN125" s="22"/>
    </row>
    <row r="126" spans="1:40" x14ac:dyDescent="0.25">
      <c r="A126" s="22"/>
      <c r="B126" s="22"/>
      <c r="C126" s="22"/>
      <c r="D126" s="22"/>
      <c r="E126" s="22"/>
      <c r="F126" s="22"/>
      <c r="G126" s="22"/>
      <c r="H126" s="22"/>
      <c r="I126" s="22"/>
      <c r="J126" s="22"/>
      <c r="K126" s="22"/>
      <c r="L126" s="22"/>
      <c r="M126" s="22"/>
      <c r="N126" s="22"/>
      <c r="O126" s="22"/>
      <c r="P126" s="22"/>
      <c r="Q126" s="22"/>
      <c r="R126" s="22"/>
      <c r="S126" s="22"/>
      <c r="T126" s="22"/>
      <c r="U126" s="22"/>
      <c r="V126" s="22"/>
      <c r="W126" s="22"/>
      <c r="X126" s="22"/>
      <c r="Y126" s="22"/>
      <c r="Z126" s="22"/>
      <c r="AA126" s="22"/>
      <c r="AB126" s="22"/>
      <c r="AC126" s="22"/>
      <c r="AD126" s="22"/>
      <c r="AE126" s="22"/>
      <c r="AF126" s="22"/>
      <c r="AG126" s="22"/>
      <c r="AH126" s="22"/>
      <c r="AI126" s="22"/>
      <c r="AJ126" s="22"/>
      <c r="AK126" s="22"/>
      <c r="AL126" s="22"/>
      <c r="AM126" s="22"/>
      <c r="AN126" s="22"/>
    </row>
    <row r="127" spans="1:40" x14ac:dyDescent="0.25">
      <c r="A127" s="22"/>
      <c r="B127" s="22"/>
      <c r="C127" s="22"/>
      <c r="D127" s="22"/>
      <c r="E127" s="22"/>
      <c r="F127" s="22"/>
      <c r="G127" s="22"/>
      <c r="H127" s="22"/>
      <c r="I127" s="22"/>
      <c r="J127" s="22"/>
      <c r="K127" s="22"/>
      <c r="L127" s="22"/>
      <c r="M127" s="22"/>
      <c r="N127" s="22"/>
      <c r="O127" s="22"/>
      <c r="P127" s="22"/>
      <c r="Q127" s="22"/>
      <c r="R127" s="22"/>
      <c r="S127" s="22"/>
      <c r="T127" s="22"/>
      <c r="U127" s="22"/>
      <c r="V127" s="22"/>
      <c r="W127" s="22"/>
      <c r="X127" s="22"/>
      <c r="Y127" s="22"/>
      <c r="Z127" s="22"/>
      <c r="AA127" s="22"/>
      <c r="AB127" s="22"/>
      <c r="AC127" s="22"/>
      <c r="AD127" s="22"/>
      <c r="AE127" s="22"/>
      <c r="AF127" s="22"/>
      <c r="AG127" s="22"/>
      <c r="AH127" s="22"/>
      <c r="AI127" s="22"/>
      <c r="AJ127" s="22"/>
      <c r="AK127" s="22"/>
      <c r="AL127" s="22"/>
      <c r="AM127" s="22"/>
      <c r="AN127" s="22"/>
    </row>
    <row r="128" spans="1:40" x14ac:dyDescent="0.25">
      <c r="A128" s="22"/>
      <c r="B128" s="22"/>
      <c r="C128" s="22"/>
      <c r="D128" s="22"/>
      <c r="E128" s="22"/>
      <c r="F128" s="22"/>
      <c r="G128" s="22"/>
      <c r="H128" s="22"/>
      <c r="I128" s="22"/>
      <c r="J128" s="22"/>
      <c r="K128" s="22"/>
      <c r="L128" s="22"/>
      <c r="M128" s="22"/>
      <c r="N128" s="22"/>
      <c r="O128" s="22"/>
      <c r="P128" s="22"/>
      <c r="Q128" s="22"/>
      <c r="R128" s="22"/>
      <c r="S128" s="22"/>
      <c r="T128" s="22"/>
      <c r="U128" s="22"/>
      <c r="V128" s="22"/>
      <c r="W128" s="22"/>
      <c r="X128" s="22"/>
      <c r="Y128" s="22"/>
      <c r="Z128" s="22"/>
      <c r="AA128" s="22"/>
      <c r="AB128" s="22"/>
      <c r="AC128" s="22"/>
      <c r="AD128" s="22"/>
      <c r="AE128" s="22"/>
      <c r="AF128" s="22"/>
      <c r="AG128" s="22"/>
      <c r="AH128" s="22"/>
      <c r="AI128" s="22"/>
      <c r="AJ128" s="22"/>
      <c r="AK128" s="22"/>
      <c r="AL128" s="22"/>
      <c r="AM128" s="22"/>
      <c r="AN128" s="22"/>
    </row>
    <row r="129" spans="1:40" x14ac:dyDescent="0.25">
      <c r="A129" s="22"/>
      <c r="B129" s="22"/>
      <c r="C129" s="22"/>
      <c r="D129" s="22"/>
      <c r="E129" s="22"/>
      <c r="F129" s="22"/>
      <c r="G129" s="22"/>
      <c r="H129" s="22"/>
      <c r="I129" s="22"/>
      <c r="J129" s="22"/>
      <c r="K129" s="22"/>
      <c r="L129" s="22"/>
      <c r="M129" s="22"/>
      <c r="N129" s="22"/>
      <c r="O129" s="22"/>
      <c r="P129" s="22"/>
      <c r="Q129" s="22"/>
      <c r="R129" s="22"/>
      <c r="S129" s="22"/>
      <c r="T129" s="22"/>
      <c r="U129" s="22"/>
      <c r="V129" s="22"/>
      <c r="W129" s="22"/>
      <c r="X129" s="22"/>
      <c r="Y129" s="22"/>
      <c r="Z129" s="22"/>
      <c r="AA129" s="22"/>
      <c r="AB129" s="22"/>
      <c r="AC129" s="22"/>
      <c r="AD129" s="22"/>
      <c r="AE129" s="22"/>
      <c r="AF129" s="22"/>
      <c r="AG129" s="22"/>
      <c r="AH129" s="22"/>
      <c r="AI129" s="22"/>
      <c r="AJ129" s="22"/>
      <c r="AK129" s="22"/>
      <c r="AL129" s="22"/>
      <c r="AM129" s="22"/>
      <c r="AN129" s="22"/>
    </row>
    <row r="130" spans="1:40" x14ac:dyDescent="0.25">
      <c r="A130" s="22"/>
      <c r="B130" s="22"/>
      <c r="C130" s="22"/>
      <c r="D130" s="22"/>
      <c r="E130" s="22"/>
      <c r="F130" s="22"/>
      <c r="G130" s="22"/>
      <c r="H130" s="22"/>
      <c r="I130" s="22"/>
      <c r="J130" s="22"/>
      <c r="K130" s="22"/>
      <c r="L130" s="22"/>
      <c r="M130" s="22"/>
      <c r="N130" s="22"/>
      <c r="O130" s="22"/>
      <c r="P130" s="22"/>
      <c r="Q130" s="22"/>
      <c r="R130" s="22"/>
      <c r="S130" s="22"/>
      <c r="T130" s="22"/>
      <c r="U130" s="22"/>
      <c r="V130" s="22"/>
      <c r="W130" s="22"/>
      <c r="X130" s="22"/>
      <c r="Y130" s="22"/>
      <c r="Z130" s="22"/>
      <c r="AA130" s="22"/>
      <c r="AB130" s="22"/>
      <c r="AC130" s="22"/>
      <c r="AD130" s="22"/>
      <c r="AE130" s="22"/>
      <c r="AF130" s="22"/>
      <c r="AG130" s="22"/>
      <c r="AH130" s="22"/>
      <c r="AI130" s="22"/>
      <c r="AJ130" s="22"/>
      <c r="AK130" s="22"/>
      <c r="AL130" s="22"/>
      <c r="AM130" s="22"/>
      <c r="AN130" s="22"/>
    </row>
    <row r="131" spans="1:40" x14ac:dyDescent="0.25">
      <c r="A131" s="22"/>
      <c r="B131" s="22"/>
      <c r="C131" s="22"/>
      <c r="D131" s="22"/>
      <c r="E131" s="22"/>
      <c r="F131" s="22"/>
      <c r="G131" s="22"/>
      <c r="H131" s="22"/>
      <c r="I131" s="22"/>
      <c r="J131" s="22"/>
      <c r="K131" s="22"/>
      <c r="L131" s="22"/>
      <c r="M131" s="22"/>
      <c r="N131" s="22"/>
      <c r="O131" s="22"/>
      <c r="P131" s="22"/>
      <c r="Q131" s="22"/>
      <c r="R131" s="22"/>
      <c r="S131" s="22"/>
      <c r="T131" s="22"/>
      <c r="U131" s="22"/>
      <c r="V131" s="22"/>
      <c r="W131" s="22"/>
      <c r="X131" s="22"/>
      <c r="Y131" s="22"/>
      <c r="Z131" s="22"/>
      <c r="AA131" s="22"/>
      <c r="AB131" s="22"/>
      <c r="AC131" s="22"/>
      <c r="AD131" s="22"/>
      <c r="AE131" s="22"/>
      <c r="AF131" s="22"/>
      <c r="AG131" s="22"/>
      <c r="AH131" s="22"/>
      <c r="AI131" s="22"/>
      <c r="AJ131" s="22"/>
      <c r="AK131" s="22"/>
      <c r="AL131" s="22"/>
      <c r="AM131" s="22"/>
      <c r="AN131" s="22"/>
    </row>
    <row r="132" spans="1:40" x14ac:dyDescent="0.25">
      <c r="A132" s="22"/>
      <c r="B132" s="22"/>
      <c r="C132" s="22"/>
      <c r="D132" s="22"/>
      <c r="E132" s="22"/>
      <c r="F132" s="22"/>
      <c r="G132" s="22"/>
      <c r="H132" s="22"/>
      <c r="I132" s="22"/>
      <c r="J132" s="22"/>
      <c r="K132" s="22"/>
      <c r="L132" s="22"/>
      <c r="M132" s="22"/>
      <c r="N132" s="22"/>
      <c r="O132" s="22"/>
      <c r="P132" s="22"/>
      <c r="Q132" s="22"/>
      <c r="R132" s="22"/>
      <c r="S132" s="22"/>
      <c r="T132" s="22"/>
      <c r="U132" s="22"/>
      <c r="V132" s="22"/>
      <c r="W132" s="22"/>
      <c r="X132" s="22"/>
      <c r="Y132" s="22"/>
      <c r="Z132" s="22"/>
      <c r="AA132" s="22"/>
      <c r="AB132" s="22"/>
      <c r="AC132" s="22"/>
      <c r="AD132" s="22"/>
      <c r="AE132" s="22"/>
      <c r="AF132" s="22"/>
      <c r="AG132" s="22"/>
      <c r="AH132" s="22"/>
      <c r="AI132" s="22"/>
      <c r="AJ132" s="22"/>
      <c r="AK132" s="22"/>
      <c r="AL132" s="22"/>
      <c r="AM132" s="22"/>
      <c r="AN132" s="22"/>
    </row>
    <row r="133" spans="1:40" x14ac:dyDescent="0.25">
      <c r="A133" s="22"/>
      <c r="B133" s="22"/>
      <c r="C133" s="22"/>
      <c r="D133" s="22"/>
      <c r="E133" s="22"/>
      <c r="F133" s="22"/>
      <c r="G133" s="22"/>
      <c r="H133" s="22"/>
      <c r="I133" s="22"/>
      <c r="J133" s="22"/>
      <c r="K133" s="22"/>
      <c r="L133" s="22"/>
      <c r="M133" s="22"/>
      <c r="N133" s="22"/>
      <c r="O133" s="22"/>
      <c r="P133" s="22"/>
      <c r="Q133" s="22"/>
      <c r="R133" s="22"/>
      <c r="S133" s="22"/>
      <c r="T133" s="22"/>
      <c r="U133" s="22"/>
      <c r="V133" s="22"/>
      <c r="W133" s="22"/>
      <c r="X133" s="22"/>
      <c r="Y133" s="22"/>
      <c r="Z133" s="22"/>
      <c r="AA133" s="22"/>
      <c r="AB133" s="22"/>
      <c r="AC133" s="22"/>
      <c r="AD133" s="22"/>
      <c r="AE133" s="22"/>
      <c r="AF133" s="22"/>
      <c r="AG133" s="22"/>
      <c r="AH133" s="22"/>
      <c r="AI133" s="22"/>
      <c r="AJ133" s="22"/>
      <c r="AK133" s="22"/>
      <c r="AL133" s="22"/>
      <c r="AM133" s="22"/>
      <c r="AN133" s="22"/>
    </row>
    <row r="134" spans="1:40" x14ac:dyDescent="0.25">
      <c r="A134" s="22"/>
      <c r="B134" s="22"/>
      <c r="C134" s="22"/>
      <c r="D134" s="22"/>
      <c r="E134" s="22"/>
      <c r="F134" s="22"/>
      <c r="G134" s="22"/>
      <c r="H134" s="22"/>
      <c r="I134" s="22"/>
      <c r="J134" s="22"/>
      <c r="K134" s="22"/>
      <c r="L134" s="22"/>
      <c r="M134" s="22"/>
      <c r="N134" s="22"/>
      <c r="O134" s="22"/>
      <c r="P134" s="22"/>
      <c r="Q134" s="22"/>
      <c r="R134" s="22"/>
      <c r="S134" s="22"/>
      <c r="T134" s="22"/>
      <c r="U134" s="22"/>
      <c r="V134" s="22"/>
      <c r="W134" s="22"/>
      <c r="X134" s="22"/>
      <c r="Y134" s="22"/>
      <c r="Z134" s="22"/>
      <c r="AA134" s="22"/>
      <c r="AB134" s="22"/>
      <c r="AC134" s="22"/>
      <c r="AD134" s="22"/>
      <c r="AE134" s="22"/>
      <c r="AF134" s="22"/>
      <c r="AG134" s="22"/>
      <c r="AH134" s="22"/>
      <c r="AI134" s="22"/>
      <c r="AJ134" s="22"/>
      <c r="AK134" s="22"/>
      <c r="AL134" s="22"/>
      <c r="AM134" s="22"/>
      <c r="AN134" s="22"/>
    </row>
    <row r="135" spans="1:40" x14ac:dyDescent="0.25">
      <c r="A135" s="22"/>
      <c r="B135" s="22"/>
      <c r="C135" s="22"/>
      <c r="D135" s="22"/>
      <c r="E135" s="22"/>
      <c r="F135" s="22"/>
      <c r="G135" s="22"/>
      <c r="H135" s="22"/>
      <c r="I135" s="22"/>
      <c r="J135" s="22"/>
      <c r="K135" s="22"/>
      <c r="L135" s="22"/>
      <c r="M135" s="22"/>
      <c r="N135" s="22"/>
      <c r="O135" s="22"/>
      <c r="P135" s="22"/>
      <c r="Q135" s="22"/>
      <c r="R135" s="22"/>
      <c r="S135" s="22"/>
      <c r="T135" s="22"/>
      <c r="U135" s="22"/>
      <c r="V135" s="22"/>
      <c r="W135" s="22"/>
      <c r="X135" s="22"/>
      <c r="Y135" s="22"/>
      <c r="Z135" s="22"/>
      <c r="AA135" s="22"/>
      <c r="AB135" s="22"/>
      <c r="AC135" s="22"/>
      <c r="AD135" s="22"/>
      <c r="AE135" s="22"/>
      <c r="AF135" s="22"/>
      <c r="AG135" s="22"/>
      <c r="AH135" s="22"/>
      <c r="AI135" s="22"/>
      <c r="AJ135" s="22"/>
      <c r="AK135" s="22"/>
      <c r="AL135" s="22"/>
      <c r="AM135" s="22"/>
      <c r="AN135" s="22"/>
    </row>
    <row r="136" spans="1:40" x14ac:dyDescent="0.25">
      <c r="A136" s="22"/>
      <c r="B136" s="22"/>
      <c r="C136" s="22"/>
      <c r="D136" s="22"/>
      <c r="E136" s="22"/>
      <c r="F136" s="22"/>
      <c r="G136" s="22"/>
      <c r="H136" s="22"/>
      <c r="I136" s="22"/>
      <c r="J136" s="22"/>
      <c r="K136" s="22"/>
      <c r="L136" s="22"/>
      <c r="M136" s="22"/>
      <c r="N136" s="22"/>
      <c r="O136" s="22"/>
      <c r="P136" s="22"/>
      <c r="Q136" s="22"/>
      <c r="R136" s="22"/>
      <c r="S136" s="22"/>
      <c r="T136" s="22"/>
      <c r="U136" s="22"/>
      <c r="V136" s="22"/>
      <c r="W136" s="22"/>
      <c r="X136" s="22"/>
      <c r="Y136" s="22"/>
      <c r="Z136" s="22"/>
      <c r="AA136" s="22"/>
      <c r="AB136" s="22"/>
      <c r="AC136" s="22"/>
      <c r="AD136" s="22"/>
      <c r="AE136" s="22"/>
      <c r="AF136" s="22"/>
      <c r="AG136" s="22"/>
      <c r="AH136" s="22"/>
      <c r="AI136" s="22"/>
      <c r="AJ136" s="22"/>
      <c r="AK136" s="22"/>
      <c r="AL136" s="22"/>
      <c r="AM136" s="22"/>
      <c r="AN136" s="22"/>
    </row>
    <row r="137" spans="1:40" x14ac:dyDescent="0.25">
      <c r="A137" s="22"/>
      <c r="B137" s="22"/>
      <c r="C137" s="22"/>
      <c r="D137" s="22"/>
      <c r="E137" s="22"/>
      <c r="F137" s="22"/>
      <c r="G137" s="22"/>
      <c r="H137" s="22"/>
      <c r="I137" s="22"/>
      <c r="J137" s="22"/>
      <c r="K137" s="22"/>
      <c r="L137" s="22"/>
      <c r="M137" s="22"/>
      <c r="N137" s="22"/>
      <c r="O137" s="22"/>
      <c r="P137" s="22"/>
      <c r="Q137" s="22"/>
      <c r="R137" s="22"/>
      <c r="S137" s="22"/>
      <c r="T137" s="22"/>
      <c r="U137" s="22"/>
      <c r="V137" s="22"/>
      <c r="W137" s="22"/>
      <c r="X137" s="22"/>
      <c r="Y137" s="22"/>
      <c r="Z137" s="22"/>
      <c r="AA137" s="22"/>
      <c r="AB137" s="22"/>
      <c r="AC137" s="22"/>
      <c r="AD137" s="22"/>
      <c r="AE137" s="22"/>
      <c r="AF137" s="22"/>
      <c r="AG137" s="22"/>
      <c r="AH137" s="22"/>
      <c r="AI137" s="22"/>
      <c r="AJ137" s="22"/>
      <c r="AK137" s="22"/>
      <c r="AL137" s="22"/>
      <c r="AM137" s="22"/>
      <c r="AN137" s="22"/>
    </row>
    <row r="138" spans="1:40" x14ac:dyDescent="0.25">
      <c r="A138" s="22"/>
      <c r="B138" s="22"/>
      <c r="C138" s="22"/>
      <c r="D138" s="22"/>
      <c r="E138" s="22"/>
      <c r="F138" s="22"/>
      <c r="G138" s="22"/>
      <c r="H138" s="22"/>
      <c r="I138" s="22"/>
      <c r="J138" s="22"/>
      <c r="K138" s="22"/>
      <c r="L138" s="22"/>
      <c r="M138" s="22"/>
      <c r="N138" s="22"/>
      <c r="O138" s="22"/>
      <c r="P138" s="22"/>
      <c r="Q138" s="22"/>
      <c r="R138" s="22"/>
      <c r="S138" s="22"/>
      <c r="T138" s="22"/>
      <c r="U138" s="22"/>
      <c r="V138" s="22"/>
      <c r="W138" s="22"/>
      <c r="X138" s="22"/>
      <c r="Y138" s="22"/>
      <c r="Z138" s="22"/>
      <c r="AA138" s="22"/>
      <c r="AB138" s="22"/>
      <c r="AC138" s="22"/>
      <c r="AD138" s="22"/>
      <c r="AE138" s="22"/>
      <c r="AF138" s="22"/>
      <c r="AG138" s="22"/>
      <c r="AH138" s="22"/>
      <c r="AI138" s="22"/>
      <c r="AJ138" s="22"/>
      <c r="AK138" s="22"/>
      <c r="AL138" s="22"/>
      <c r="AM138" s="22"/>
      <c r="AN138" s="22"/>
    </row>
    <row r="139" spans="1:40" x14ac:dyDescent="0.25">
      <c r="A139" s="22"/>
      <c r="B139" s="22"/>
      <c r="C139" s="22"/>
      <c r="D139" s="22"/>
      <c r="E139" s="22"/>
      <c r="F139" s="22"/>
      <c r="G139" s="22"/>
      <c r="H139" s="22"/>
      <c r="I139" s="22"/>
      <c r="J139" s="22"/>
      <c r="K139" s="22"/>
      <c r="L139" s="22"/>
      <c r="M139" s="22"/>
      <c r="N139" s="22"/>
      <c r="O139" s="22"/>
      <c r="P139" s="22"/>
      <c r="Q139" s="22"/>
      <c r="R139" s="22"/>
      <c r="S139" s="22"/>
      <c r="T139" s="22"/>
      <c r="U139" s="22"/>
      <c r="V139" s="22"/>
      <c r="W139" s="22"/>
      <c r="X139" s="22"/>
      <c r="Y139" s="22"/>
      <c r="Z139" s="22"/>
      <c r="AA139" s="22"/>
      <c r="AB139" s="22"/>
      <c r="AC139" s="22"/>
      <c r="AD139" s="22"/>
      <c r="AE139" s="22"/>
      <c r="AF139" s="22"/>
      <c r="AG139" s="22"/>
      <c r="AH139" s="22"/>
      <c r="AI139" s="22"/>
      <c r="AJ139" s="22"/>
      <c r="AK139" s="22"/>
      <c r="AL139" s="22"/>
      <c r="AM139" s="22"/>
      <c r="AN139" s="22"/>
    </row>
    <row r="140" spans="1:40" x14ac:dyDescent="0.25">
      <c r="A140" s="22"/>
      <c r="B140" s="22"/>
      <c r="C140" s="22"/>
      <c r="D140" s="22"/>
      <c r="E140" s="22"/>
      <c r="F140" s="22"/>
      <c r="G140" s="22"/>
      <c r="H140" s="22"/>
      <c r="I140" s="22"/>
      <c r="J140" s="22"/>
      <c r="K140" s="22"/>
      <c r="L140" s="22"/>
      <c r="M140" s="22"/>
      <c r="N140" s="22"/>
      <c r="O140" s="22"/>
      <c r="P140" s="22"/>
      <c r="Q140" s="22"/>
      <c r="R140" s="22"/>
      <c r="S140" s="22"/>
      <c r="T140" s="22"/>
      <c r="U140" s="22"/>
      <c r="V140" s="22"/>
      <c r="W140" s="22"/>
      <c r="X140" s="22"/>
      <c r="Y140" s="22"/>
      <c r="Z140" s="22"/>
      <c r="AA140" s="22"/>
      <c r="AB140" s="22"/>
      <c r="AC140" s="22"/>
      <c r="AD140" s="22"/>
      <c r="AE140" s="22"/>
      <c r="AF140" s="22"/>
      <c r="AG140" s="22"/>
      <c r="AH140" s="22"/>
      <c r="AI140" s="22"/>
      <c r="AJ140" s="22"/>
      <c r="AK140" s="22"/>
      <c r="AL140" s="22"/>
      <c r="AM140" s="22"/>
      <c r="AN140" s="22"/>
    </row>
    <row r="141" spans="1:40" x14ac:dyDescent="0.25">
      <c r="A141" s="22"/>
      <c r="B141" s="22"/>
      <c r="C141" s="22"/>
      <c r="D141" s="22"/>
      <c r="E141" s="22"/>
      <c r="F141" s="22"/>
      <c r="G141" s="22"/>
      <c r="H141" s="22"/>
      <c r="I141" s="22"/>
      <c r="J141" s="22"/>
      <c r="K141" s="22"/>
      <c r="L141" s="22"/>
      <c r="M141" s="22"/>
      <c r="N141" s="22"/>
      <c r="O141" s="22"/>
      <c r="P141" s="22"/>
      <c r="Q141" s="22"/>
      <c r="R141" s="22"/>
      <c r="S141" s="22"/>
      <c r="T141" s="22"/>
      <c r="U141" s="22"/>
      <c r="V141" s="22"/>
      <c r="W141" s="22"/>
      <c r="X141" s="22"/>
      <c r="Y141" s="22"/>
      <c r="Z141" s="22"/>
      <c r="AA141" s="22"/>
      <c r="AB141" s="22"/>
      <c r="AC141" s="22"/>
      <c r="AD141" s="22"/>
      <c r="AE141" s="22"/>
      <c r="AF141" s="22"/>
      <c r="AG141" s="22"/>
      <c r="AH141" s="22"/>
      <c r="AI141" s="22"/>
      <c r="AJ141" s="22"/>
      <c r="AK141" s="22"/>
      <c r="AL141" s="22"/>
      <c r="AM141" s="22"/>
      <c r="AN141" s="22"/>
    </row>
    <row r="142" spans="1:40" x14ac:dyDescent="0.25">
      <c r="A142" s="22"/>
      <c r="B142" s="22"/>
      <c r="C142" s="22"/>
      <c r="D142" s="22"/>
      <c r="E142" s="22"/>
      <c r="F142" s="22"/>
      <c r="G142" s="22"/>
      <c r="H142" s="22"/>
      <c r="I142" s="22"/>
      <c r="J142" s="22"/>
      <c r="K142" s="22"/>
      <c r="L142" s="22"/>
      <c r="M142" s="22"/>
      <c r="N142" s="22"/>
      <c r="O142" s="22"/>
      <c r="P142" s="22"/>
      <c r="Q142" s="22"/>
      <c r="R142" s="22"/>
      <c r="S142" s="22"/>
      <c r="T142" s="22"/>
      <c r="U142" s="22"/>
      <c r="V142" s="22"/>
      <c r="W142" s="22"/>
      <c r="X142" s="22"/>
      <c r="Y142" s="22"/>
      <c r="Z142" s="22"/>
      <c r="AA142" s="22"/>
      <c r="AB142" s="22"/>
      <c r="AC142" s="22"/>
      <c r="AD142" s="22"/>
      <c r="AE142" s="22"/>
      <c r="AF142" s="22"/>
      <c r="AG142" s="22"/>
      <c r="AH142" s="22"/>
      <c r="AI142" s="22"/>
      <c r="AJ142" s="22"/>
      <c r="AK142" s="22"/>
      <c r="AL142" s="22"/>
      <c r="AM142" s="22"/>
      <c r="AN142" s="22"/>
    </row>
    <row r="143" spans="1:40" x14ac:dyDescent="0.25">
      <c r="A143" s="22"/>
      <c r="B143" s="22"/>
      <c r="C143" s="22"/>
      <c r="D143" s="22"/>
      <c r="E143" s="22"/>
      <c r="F143" s="22"/>
      <c r="G143" s="22"/>
      <c r="H143" s="22"/>
      <c r="I143" s="22"/>
      <c r="J143" s="22"/>
      <c r="K143" s="22"/>
      <c r="L143" s="22"/>
      <c r="M143" s="22"/>
      <c r="N143" s="22"/>
      <c r="O143" s="22"/>
      <c r="P143" s="22"/>
      <c r="Q143" s="22"/>
      <c r="R143" s="22"/>
      <c r="S143" s="22"/>
      <c r="T143" s="22"/>
      <c r="U143" s="22"/>
      <c r="V143" s="22"/>
      <c r="W143" s="22"/>
      <c r="X143" s="22"/>
      <c r="Y143" s="22"/>
      <c r="Z143" s="22"/>
      <c r="AA143" s="22"/>
      <c r="AB143" s="22"/>
      <c r="AC143" s="22"/>
      <c r="AD143" s="22"/>
      <c r="AE143" s="22"/>
      <c r="AF143" s="22"/>
      <c r="AG143" s="22"/>
      <c r="AH143" s="22"/>
      <c r="AI143" s="22"/>
      <c r="AJ143" s="22"/>
      <c r="AK143" s="22"/>
      <c r="AL143" s="22"/>
      <c r="AM143" s="22"/>
      <c r="AN143" s="22"/>
    </row>
    <row r="144" spans="1:40" x14ac:dyDescent="0.25">
      <c r="A144" s="22"/>
      <c r="B144" s="22"/>
      <c r="C144" s="22"/>
      <c r="D144" s="22"/>
      <c r="E144" s="22"/>
      <c r="F144" s="22"/>
      <c r="G144" s="22"/>
      <c r="H144" s="22"/>
      <c r="I144" s="22"/>
      <c r="J144" s="22"/>
      <c r="K144" s="22"/>
      <c r="L144" s="22"/>
      <c r="M144" s="22"/>
      <c r="N144" s="22"/>
      <c r="O144" s="22"/>
      <c r="P144" s="22"/>
      <c r="Q144" s="22"/>
      <c r="R144" s="22"/>
      <c r="S144" s="22"/>
      <c r="T144" s="22"/>
      <c r="U144" s="22"/>
      <c r="V144" s="22"/>
      <c r="W144" s="22"/>
      <c r="X144" s="22"/>
      <c r="Y144" s="22"/>
      <c r="Z144" s="22"/>
      <c r="AA144" s="22"/>
      <c r="AB144" s="22"/>
      <c r="AC144" s="22"/>
      <c r="AD144" s="22"/>
      <c r="AE144" s="22"/>
      <c r="AF144" s="22"/>
      <c r="AG144" s="22"/>
      <c r="AH144" s="22"/>
      <c r="AI144" s="22"/>
      <c r="AJ144" s="22"/>
      <c r="AK144" s="22"/>
      <c r="AL144" s="22"/>
      <c r="AM144" s="22"/>
      <c r="AN144" s="22"/>
    </row>
    <row r="145" spans="1:40" x14ac:dyDescent="0.25">
      <c r="A145" s="22"/>
      <c r="B145" s="22"/>
      <c r="C145" s="22"/>
      <c r="D145" s="22"/>
      <c r="E145" s="22"/>
      <c r="F145" s="22"/>
      <c r="G145" s="22"/>
      <c r="H145" s="22"/>
      <c r="I145" s="22"/>
      <c r="J145" s="22"/>
      <c r="K145" s="22"/>
      <c r="L145" s="22"/>
      <c r="M145" s="22"/>
      <c r="N145" s="22"/>
      <c r="O145" s="22"/>
      <c r="P145" s="22"/>
      <c r="Q145" s="22"/>
      <c r="R145" s="22"/>
      <c r="S145" s="22"/>
      <c r="T145" s="22"/>
      <c r="U145" s="22"/>
      <c r="V145" s="22"/>
      <c r="W145" s="22"/>
      <c r="X145" s="22"/>
      <c r="Y145" s="22"/>
      <c r="Z145" s="22"/>
      <c r="AA145" s="22"/>
      <c r="AB145" s="22"/>
      <c r="AC145" s="22"/>
      <c r="AD145" s="22"/>
      <c r="AE145" s="22"/>
      <c r="AF145" s="22"/>
      <c r="AG145" s="22"/>
      <c r="AH145" s="22"/>
      <c r="AI145" s="22"/>
      <c r="AJ145" s="22"/>
      <c r="AK145" s="22"/>
      <c r="AL145" s="22"/>
      <c r="AM145" s="22"/>
      <c r="AN145" s="22"/>
    </row>
    <row r="146" spans="1:40" x14ac:dyDescent="0.25">
      <c r="A146" s="22"/>
      <c r="B146" s="22"/>
      <c r="C146" s="22"/>
      <c r="D146" s="22"/>
      <c r="E146" s="22"/>
      <c r="F146" s="22"/>
      <c r="G146" s="22"/>
      <c r="H146" s="22"/>
      <c r="I146" s="22"/>
      <c r="J146" s="22"/>
      <c r="K146" s="22"/>
      <c r="L146" s="22"/>
      <c r="M146" s="22"/>
      <c r="N146" s="22"/>
      <c r="O146" s="22"/>
      <c r="P146" s="22"/>
      <c r="Q146" s="22"/>
      <c r="R146" s="22"/>
      <c r="S146" s="22"/>
      <c r="T146" s="22"/>
      <c r="U146" s="22"/>
      <c r="V146" s="22"/>
      <c r="W146" s="22"/>
      <c r="X146" s="22"/>
      <c r="Y146" s="22"/>
      <c r="Z146" s="22"/>
      <c r="AA146" s="22"/>
      <c r="AB146" s="22"/>
      <c r="AC146" s="22"/>
      <c r="AD146" s="22"/>
      <c r="AE146" s="22"/>
      <c r="AF146" s="22"/>
      <c r="AG146" s="22"/>
      <c r="AH146" s="22"/>
      <c r="AI146" s="22"/>
      <c r="AJ146" s="22"/>
      <c r="AK146" s="22"/>
      <c r="AL146" s="22"/>
      <c r="AM146" s="22"/>
      <c r="AN146" s="22"/>
    </row>
    <row r="147" spans="1:40" x14ac:dyDescent="0.25">
      <c r="A147" s="22"/>
      <c r="B147" s="22"/>
      <c r="C147" s="22"/>
      <c r="D147" s="22"/>
      <c r="E147" s="22"/>
      <c r="F147" s="22"/>
      <c r="G147" s="22"/>
      <c r="H147" s="22"/>
      <c r="I147" s="22"/>
      <c r="J147" s="22"/>
      <c r="K147" s="22"/>
      <c r="L147" s="22"/>
      <c r="M147" s="22"/>
      <c r="N147" s="22"/>
      <c r="O147" s="22"/>
      <c r="P147" s="22"/>
      <c r="Q147" s="22"/>
      <c r="R147" s="22"/>
      <c r="S147" s="22"/>
      <c r="T147" s="22"/>
      <c r="U147" s="22"/>
      <c r="V147" s="22"/>
      <c r="W147" s="22"/>
      <c r="X147" s="22"/>
      <c r="Y147" s="22"/>
      <c r="Z147" s="22"/>
      <c r="AA147" s="22"/>
      <c r="AB147" s="22"/>
      <c r="AC147" s="22"/>
      <c r="AD147" s="22"/>
      <c r="AE147" s="22"/>
      <c r="AF147" s="22"/>
      <c r="AG147" s="22"/>
      <c r="AH147" s="22"/>
      <c r="AI147" s="22"/>
      <c r="AJ147" s="22"/>
      <c r="AK147" s="22"/>
      <c r="AL147" s="22"/>
      <c r="AM147" s="22"/>
      <c r="AN147" s="22"/>
    </row>
    <row r="148" spans="1:40" x14ac:dyDescent="0.25">
      <c r="A148" s="22"/>
      <c r="B148" s="22"/>
      <c r="C148" s="22"/>
      <c r="D148" s="22"/>
      <c r="E148" s="22"/>
      <c r="F148" s="22"/>
      <c r="G148" s="22"/>
      <c r="H148" s="22"/>
      <c r="I148" s="22"/>
      <c r="J148" s="22"/>
      <c r="K148" s="22"/>
      <c r="L148" s="22"/>
      <c r="M148" s="22"/>
      <c r="N148" s="22"/>
      <c r="O148" s="22"/>
      <c r="P148" s="22"/>
      <c r="Q148" s="22"/>
      <c r="R148" s="22"/>
      <c r="S148" s="22"/>
      <c r="T148" s="22"/>
      <c r="U148" s="22"/>
      <c r="V148" s="22"/>
      <c r="W148" s="22"/>
      <c r="X148" s="22"/>
      <c r="Y148" s="22"/>
      <c r="Z148" s="22"/>
      <c r="AA148" s="22"/>
      <c r="AB148" s="22"/>
      <c r="AC148" s="22"/>
      <c r="AD148" s="22"/>
      <c r="AE148" s="22"/>
      <c r="AF148" s="22"/>
      <c r="AG148" s="22"/>
      <c r="AH148" s="22"/>
      <c r="AI148" s="22"/>
      <c r="AJ148" s="22"/>
      <c r="AK148" s="22"/>
      <c r="AL148" s="22"/>
      <c r="AM148" s="22"/>
      <c r="AN148" s="22"/>
    </row>
    <row r="149" spans="1:40" x14ac:dyDescent="0.25">
      <c r="A149" s="22"/>
      <c r="B149" s="22"/>
      <c r="C149" s="22"/>
      <c r="D149" s="22"/>
      <c r="E149" s="22"/>
      <c r="F149" s="22"/>
      <c r="G149" s="22"/>
      <c r="H149" s="22"/>
      <c r="I149" s="22"/>
      <c r="J149" s="22"/>
      <c r="K149" s="22"/>
      <c r="L149" s="22"/>
      <c r="M149" s="22"/>
      <c r="N149" s="22"/>
      <c r="O149" s="22"/>
      <c r="P149" s="22"/>
      <c r="Q149" s="22"/>
      <c r="R149" s="22"/>
      <c r="S149" s="22"/>
      <c r="T149" s="22"/>
      <c r="U149" s="22"/>
      <c r="V149" s="22"/>
      <c r="W149" s="22"/>
      <c r="X149" s="22"/>
      <c r="Y149" s="22"/>
      <c r="Z149" s="22"/>
      <c r="AA149" s="22"/>
      <c r="AB149" s="22"/>
      <c r="AC149" s="22"/>
      <c r="AD149" s="22"/>
      <c r="AE149" s="22"/>
      <c r="AF149" s="22"/>
      <c r="AG149" s="22"/>
      <c r="AH149" s="22"/>
      <c r="AI149" s="22"/>
      <c r="AJ149" s="22"/>
      <c r="AK149" s="22"/>
      <c r="AL149" s="22"/>
      <c r="AM149" s="22"/>
      <c r="AN149" s="22"/>
    </row>
    <row r="150" spans="1:40" x14ac:dyDescent="0.25">
      <c r="A150" s="22"/>
      <c r="B150" s="22"/>
      <c r="C150" s="22"/>
      <c r="D150" s="22"/>
      <c r="E150" s="22"/>
      <c r="F150" s="22"/>
      <c r="G150" s="22"/>
      <c r="H150" s="22"/>
      <c r="I150" s="22"/>
      <c r="J150" s="22"/>
      <c r="K150" s="22"/>
      <c r="L150" s="22"/>
      <c r="M150" s="22"/>
      <c r="N150" s="22"/>
      <c r="O150" s="22"/>
      <c r="P150" s="22"/>
      <c r="Q150" s="22"/>
      <c r="R150" s="22"/>
      <c r="S150" s="22"/>
      <c r="T150" s="22"/>
      <c r="U150" s="22"/>
      <c r="V150" s="22"/>
      <c r="W150" s="22"/>
      <c r="X150" s="22"/>
      <c r="Y150" s="22"/>
      <c r="Z150" s="22"/>
      <c r="AA150" s="22"/>
      <c r="AB150" s="22"/>
      <c r="AC150" s="22"/>
      <c r="AD150" s="22"/>
      <c r="AE150" s="22"/>
      <c r="AF150" s="22"/>
      <c r="AG150" s="22"/>
      <c r="AH150" s="22"/>
      <c r="AI150" s="22"/>
      <c r="AJ150" s="22"/>
      <c r="AK150" s="22"/>
      <c r="AL150" s="22"/>
      <c r="AM150" s="22"/>
      <c r="AN150" s="22"/>
    </row>
    <row r="151" spans="1:40" x14ac:dyDescent="0.25">
      <c r="A151" s="22"/>
      <c r="B151" s="22"/>
      <c r="C151" s="22"/>
      <c r="D151" s="22"/>
      <c r="E151" s="22"/>
      <c r="F151" s="22"/>
      <c r="G151" s="22"/>
      <c r="H151" s="22"/>
      <c r="I151" s="22"/>
      <c r="J151" s="22"/>
      <c r="K151" s="22"/>
      <c r="L151" s="22"/>
      <c r="M151" s="22"/>
      <c r="N151" s="22"/>
      <c r="O151" s="22"/>
      <c r="P151" s="22"/>
      <c r="Q151" s="22"/>
      <c r="R151" s="22"/>
      <c r="S151" s="22"/>
      <c r="T151" s="22"/>
      <c r="U151" s="22"/>
      <c r="V151" s="22"/>
      <c r="W151" s="22"/>
      <c r="X151" s="22"/>
      <c r="Y151" s="22"/>
      <c r="Z151" s="22"/>
      <c r="AA151" s="22"/>
      <c r="AB151" s="22"/>
      <c r="AC151" s="22"/>
      <c r="AD151" s="22"/>
      <c r="AE151" s="22"/>
      <c r="AF151" s="22"/>
      <c r="AG151" s="22"/>
      <c r="AH151" s="22"/>
      <c r="AI151" s="22"/>
      <c r="AJ151" s="22"/>
      <c r="AK151" s="22"/>
      <c r="AL151" s="22"/>
      <c r="AM151" s="22"/>
      <c r="AN151" s="22"/>
    </row>
    <row r="152" spans="1:40" x14ac:dyDescent="0.25">
      <c r="A152" s="22"/>
      <c r="B152" s="22"/>
      <c r="C152" s="22"/>
      <c r="D152" s="22"/>
      <c r="E152" s="22"/>
      <c r="F152" s="22"/>
      <c r="G152" s="22"/>
      <c r="H152" s="22"/>
      <c r="I152" s="22"/>
      <c r="J152" s="22"/>
      <c r="K152" s="22"/>
      <c r="L152" s="22"/>
      <c r="M152" s="22"/>
      <c r="N152" s="22"/>
      <c r="O152" s="22"/>
      <c r="P152" s="22"/>
      <c r="Q152" s="22"/>
      <c r="R152" s="22"/>
      <c r="S152" s="22"/>
      <c r="T152" s="22"/>
      <c r="U152" s="22"/>
      <c r="V152" s="22"/>
      <c r="W152" s="22"/>
      <c r="X152" s="22"/>
      <c r="Y152" s="22"/>
      <c r="Z152" s="22"/>
      <c r="AA152" s="22"/>
      <c r="AB152" s="22"/>
      <c r="AC152" s="22"/>
      <c r="AD152" s="22"/>
      <c r="AE152" s="22"/>
      <c r="AF152" s="22"/>
      <c r="AG152" s="22"/>
      <c r="AH152" s="22"/>
      <c r="AI152" s="22"/>
      <c r="AJ152" s="22"/>
      <c r="AK152" s="22"/>
      <c r="AL152" s="22"/>
      <c r="AM152" s="22"/>
      <c r="AN152" s="22"/>
    </row>
    <row r="153" spans="1:40" x14ac:dyDescent="0.25">
      <c r="A153" s="22"/>
      <c r="B153" s="22"/>
      <c r="C153" s="22"/>
      <c r="D153" s="22"/>
      <c r="E153" s="22"/>
      <c r="F153" s="22"/>
      <c r="G153" s="22"/>
      <c r="H153" s="22"/>
      <c r="I153" s="22"/>
      <c r="J153" s="22"/>
      <c r="K153" s="22"/>
      <c r="L153" s="22"/>
      <c r="M153" s="22"/>
      <c r="N153" s="22"/>
      <c r="O153" s="22"/>
      <c r="P153" s="22"/>
      <c r="Q153" s="22"/>
      <c r="R153" s="22"/>
      <c r="S153" s="22"/>
      <c r="T153" s="22"/>
      <c r="U153" s="22"/>
      <c r="V153" s="22"/>
      <c r="W153" s="22"/>
      <c r="X153" s="22"/>
      <c r="Y153" s="22"/>
      <c r="Z153" s="22"/>
      <c r="AA153" s="22"/>
      <c r="AB153" s="22"/>
      <c r="AC153" s="22"/>
      <c r="AD153" s="22"/>
      <c r="AE153" s="22"/>
      <c r="AF153" s="22"/>
      <c r="AG153" s="22"/>
      <c r="AH153" s="22"/>
      <c r="AI153" s="22"/>
      <c r="AJ153" s="22"/>
      <c r="AK153" s="22"/>
      <c r="AL153" s="22"/>
      <c r="AM153" s="22"/>
      <c r="AN153" s="22"/>
    </row>
    <row r="154" spans="1:40" x14ac:dyDescent="0.25">
      <c r="A154" s="22"/>
      <c r="B154" s="22"/>
      <c r="C154" s="22"/>
      <c r="D154" s="22"/>
      <c r="E154" s="22"/>
      <c r="F154" s="22"/>
      <c r="G154" s="22"/>
      <c r="H154" s="22"/>
      <c r="I154" s="22"/>
      <c r="J154" s="22"/>
      <c r="K154" s="22"/>
      <c r="L154" s="22"/>
      <c r="M154" s="22"/>
      <c r="N154" s="22"/>
      <c r="O154" s="22"/>
      <c r="P154" s="22"/>
      <c r="Q154" s="22"/>
      <c r="R154" s="22"/>
      <c r="S154" s="22"/>
      <c r="T154" s="22"/>
      <c r="U154" s="22"/>
      <c r="V154" s="22"/>
      <c r="W154" s="22"/>
      <c r="X154" s="22"/>
      <c r="Y154" s="22"/>
      <c r="Z154" s="22"/>
      <c r="AA154" s="22"/>
      <c r="AB154" s="22"/>
      <c r="AC154" s="22"/>
      <c r="AD154" s="22"/>
      <c r="AE154" s="22"/>
      <c r="AF154" s="22"/>
      <c r="AG154" s="22"/>
      <c r="AH154" s="22"/>
      <c r="AI154" s="22"/>
      <c r="AJ154" s="22"/>
      <c r="AK154" s="22"/>
      <c r="AL154" s="22"/>
      <c r="AM154" s="22"/>
      <c r="AN154" s="22"/>
    </row>
    <row r="155" spans="1:40" x14ac:dyDescent="0.25">
      <c r="A155" s="22"/>
      <c r="B155" s="22"/>
      <c r="C155" s="22"/>
      <c r="D155" s="22"/>
      <c r="E155" s="22"/>
      <c r="F155" s="22"/>
      <c r="G155" s="22"/>
      <c r="H155" s="22"/>
      <c r="I155" s="22"/>
      <c r="J155" s="22"/>
      <c r="K155" s="22"/>
      <c r="L155" s="22"/>
      <c r="M155" s="22"/>
      <c r="N155" s="22"/>
      <c r="O155" s="22"/>
      <c r="P155" s="22"/>
      <c r="Q155" s="22"/>
      <c r="R155" s="22"/>
      <c r="S155" s="22"/>
      <c r="T155" s="22"/>
      <c r="U155" s="22"/>
      <c r="V155" s="22"/>
      <c r="W155" s="22"/>
      <c r="X155" s="22"/>
      <c r="Y155" s="22"/>
      <c r="Z155" s="22"/>
      <c r="AA155" s="22"/>
      <c r="AB155" s="22"/>
      <c r="AC155" s="22"/>
      <c r="AD155" s="22"/>
      <c r="AE155" s="22"/>
      <c r="AF155" s="22"/>
      <c r="AG155" s="22"/>
      <c r="AH155" s="22"/>
      <c r="AI155" s="22"/>
      <c r="AJ155" s="22"/>
      <c r="AK155" s="22"/>
      <c r="AL155" s="22"/>
      <c r="AM155" s="22"/>
      <c r="AN155" s="22"/>
    </row>
    <row r="156" spans="1:40" x14ac:dyDescent="0.25">
      <c r="A156" s="22"/>
      <c r="B156" s="22"/>
      <c r="C156" s="22"/>
      <c r="D156" s="22"/>
      <c r="E156" s="22"/>
      <c r="F156" s="22"/>
      <c r="G156" s="22"/>
      <c r="H156" s="22"/>
      <c r="I156" s="22"/>
      <c r="J156" s="22"/>
      <c r="K156" s="22"/>
      <c r="L156" s="22"/>
      <c r="M156" s="22"/>
      <c r="N156" s="22"/>
      <c r="O156" s="22"/>
      <c r="P156" s="22"/>
      <c r="Q156" s="22"/>
      <c r="R156" s="22"/>
      <c r="S156" s="22"/>
      <c r="T156" s="22"/>
      <c r="U156" s="22"/>
      <c r="V156" s="22"/>
      <c r="W156" s="22"/>
      <c r="X156" s="22"/>
      <c r="Y156" s="22"/>
      <c r="Z156" s="22"/>
      <c r="AA156" s="22"/>
      <c r="AB156" s="22"/>
      <c r="AC156" s="22"/>
      <c r="AD156" s="22"/>
      <c r="AE156" s="22"/>
      <c r="AF156" s="22"/>
      <c r="AG156" s="22"/>
      <c r="AH156" s="22"/>
      <c r="AI156" s="22"/>
      <c r="AJ156" s="22"/>
      <c r="AK156" s="22"/>
      <c r="AL156" s="22"/>
      <c r="AM156" s="22"/>
      <c r="AN156" s="22"/>
    </row>
    <row r="157" spans="1:40" x14ac:dyDescent="0.25">
      <c r="A157" s="22"/>
      <c r="B157" s="22"/>
      <c r="C157" s="22"/>
      <c r="D157" s="22"/>
      <c r="E157" s="22"/>
      <c r="F157" s="22"/>
      <c r="G157" s="22"/>
      <c r="H157" s="22"/>
      <c r="I157" s="22"/>
      <c r="J157" s="22"/>
      <c r="K157" s="22"/>
      <c r="L157" s="22"/>
      <c r="M157" s="22"/>
      <c r="N157" s="22"/>
      <c r="O157" s="22"/>
      <c r="P157" s="22"/>
      <c r="Q157" s="22"/>
      <c r="R157" s="22"/>
      <c r="S157" s="22"/>
      <c r="T157" s="22"/>
      <c r="U157" s="22"/>
      <c r="V157" s="22"/>
      <c r="W157" s="22"/>
      <c r="X157" s="22"/>
      <c r="Y157" s="22"/>
      <c r="Z157" s="22"/>
      <c r="AA157" s="22"/>
      <c r="AB157" s="22"/>
      <c r="AC157" s="22"/>
      <c r="AD157" s="22"/>
      <c r="AE157" s="22"/>
      <c r="AF157" s="22"/>
      <c r="AG157" s="22"/>
      <c r="AH157" s="22"/>
      <c r="AI157" s="22"/>
      <c r="AJ157" s="22"/>
      <c r="AK157" s="22"/>
      <c r="AL157" s="22"/>
      <c r="AM157" s="22"/>
      <c r="AN157" s="22"/>
    </row>
    <row r="158" spans="1:40" x14ac:dyDescent="0.25">
      <c r="A158" s="22"/>
      <c r="B158" s="22"/>
      <c r="C158" s="22"/>
      <c r="D158" s="22"/>
      <c r="E158" s="22"/>
      <c r="F158" s="22"/>
      <c r="G158" s="22"/>
      <c r="H158" s="22"/>
      <c r="I158" s="22"/>
      <c r="J158" s="22"/>
      <c r="K158" s="22"/>
      <c r="L158" s="22"/>
      <c r="M158" s="22"/>
      <c r="N158" s="22"/>
      <c r="O158" s="22"/>
      <c r="P158" s="22"/>
      <c r="Q158" s="22"/>
      <c r="R158" s="22"/>
      <c r="S158" s="22"/>
      <c r="T158" s="22"/>
      <c r="U158" s="22"/>
      <c r="V158" s="22"/>
      <c r="W158" s="22"/>
      <c r="X158" s="22"/>
      <c r="Y158" s="22"/>
      <c r="Z158" s="22"/>
      <c r="AA158" s="22"/>
      <c r="AB158" s="22"/>
      <c r="AC158" s="22"/>
      <c r="AD158" s="22"/>
      <c r="AE158" s="22"/>
      <c r="AF158" s="22"/>
      <c r="AG158" s="22"/>
      <c r="AH158" s="22"/>
      <c r="AI158" s="22"/>
      <c r="AJ158" s="22"/>
      <c r="AK158" s="22"/>
      <c r="AL158" s="22"/>
      <c r="AM158" s="22"/>
      <c r="AN158" s="22"/>
    </row>
    <row r="159" spans="1:40" x14ac:dyDescent="0.25">
      <c r="A159" s="22"/>
      <c r="B159" s="22"/>
      <c r="C159" s="22"/>
      <c r="D159" s="22"/>
      <c r="E159" s="22"/>
      <c r="F159" s="22"/>
      <c r="G159" s="22"/>
      <c r="H159" s="22"/>
      <c r="I159" s="22"/>
      <c r="J159" s="22"/>
      <c r="K159" s="22"/>
      <c r="L159" s="22"/>
      <c r="M159" s="22"/>
      <c r="N159" s="22"/>
      <c r="O159" s="22"/>
      <c r="P159" s="22"/>
      <c r="Q159" s="22"/>
      <c r="R159" s="22"/>
      <c r="S159" s="22"/>
      <c r="T159" s="22"/>
      <c r="U159" s="22"/>
      <c r="V159" s="22"/>
      <c r="W159" s="22"/>
      <c r="X159" s="22"/>
      <c r="Y159" s="22"/>
      <c r="Z159" s="22"/>
      <c r="AA159" s="22"/>
      <c r="AB159" s="22"/>
      <c r="AC159" s="22"/>
      <c r="AD159" s="22"/>
      <c r="AE159" s="22"/>
      <c r="AF159" s="22"/>
      <c r="AG159" s="22"/>
      <c r="AH159" s="22"/>
      <c r="AI159" s="22"/>
      <c r="AJ159" s="22"/>
      <c r="AK159" s="22"/>
      <c r="AL159" s="22"/>
      <c r="AM159" s="22"/>
      <c r="AN159" s="22"/>
    </row>
    <row r="160" spans="1:40" x14ac:dyDescent="0.25">
      <c r="A160" s="22"/>
      <c r="B160" s="22"/>
      <c r="C160" s="22"/>
      <c r="D160" s="22"/>
      <c r="E160" s="22"/>
      <c r="F160" s="22"/>
      <c r="G160" s="22"/>
      <c r="H160" s="22"/>
      <c r="I160" s="22"/>
      <c r="J160" s="22"/>
      <c r="K160" s="22"/>
      <c r="L160" s="22"/>
      <c r="M160" s="22"/>
      <c r="N160" s="22"/>
      <c r="O160" s="22"/>
      <c r="P160" s="22"/>
      <c r="Q160" s="22"/>
      <c r="R160" s="22"/>
      <c r="S160" s="22"/>
      <c r="T160" s="22"/>
      <c r="U160" s="22"/>
      <c r="V160" s="22"/>
      <c r="W160" s="22"/>
      <c r="X160" s="22"/>
      <c r="Y160" s="22"/>
      <c r="Z160" s="22"/>
      <c r="AA160" s="22"/>
      <c r="AB160" s="22"/>
      <c r="AC160" s="22"/>
      <c r="AD160" s="22"/>
      <c r="AE160" s="22"/>
      <c r="AF160" s="22"/>
      <c r="AG160" s="22"/>
      <c r="AH160" s="22"/>
      <c r="AI160" s="22"/>
      <c r="AJ160" s="22"/>
      <c r="AK160" s="22"/>
      <c r="AL160" s="22"/>
      <c r="AM160" s="22"/>
      <c r="AN160" s="22"/>
    </row>
    <row r="161" spans="1:40" x14ac:dyDescent="0.25">
      <c r="A161" s="22"/>
      <c r="B161" s="22"/>
      <c r="C161" s="22"/>
      <c r="D161" s="22"/>
      <c r="E161" s="22"/>
      <c r="F161" s="22"/>
      <c r="G161" s="22"/>
      <c r="H161" s="22"/>
      <c r="I161" s="22"/>
      <c r="J161" s="22"/>
      <c r="K161" s="22"/>
      <c r="L161" s="22"/>
      <c r="M161" s="22"/>
      <c r="N161" s="22"/>
      <c r="O161" s="22"/>
      <c r="P161" s="22"/>
      <c r="Q161" s="22"/>
      <c r="R161" s="22"/>
      <c r="S161" s="22"/>
      <c r="T161" s="22"/>
      <c r="U161" s="22"/>
      <c r="V161" s="22"/>
      <c r="W161" s="22"/>
      <c r="X161" s="22"/>
      <c r="Y161" s="22"/>
      <c r="Z161" s="22"/>
      <c r="AA161" s="22"/>
      <c r="AB161" s="22"/>
      <c r="AC161" s="22"/>
      <c r="AD161" s="22"/>
      <c r="AE161" s="22"/>
      <c r="AF161" s="22"/>
      <c r="AG161" s="22"/>
      <c r="AH161" s="22"/>
      <c r="AI161" s="22"/>
      <c r="AJ161" s="22"/>
      <c r="AK161" s="22"/>
      <c r="AL161" s="22"/>
      <c r="AM161" s="22"/>
      <c r="AN161" s="22"/>
    </row>
    <row r="162" spans="1:40" x14ac:dyDescent="0.25">
      <c r="A162" s="22"/>
      <c r="B162" s="22"/>
      <c r="C162" s="22"/>
      <c r="D162" s="22"/>
      <c r="E162" s="22"/>
      <c r="F162" s="22"/>
      <c r="G162" s="22"/>
      <c r="H162" s="22"/>
      <c r="I162" s="22"/>
      <c r="J162" s="22"/>
      <c r="K162" s="22"/>
      <c r="L162" s="22"/>
      <c r="M162" s="22"/>
      <c r="N162" s="22"/>
      <c r="O162" s="22"/>
      <c r="P162" s="22"/>
      <c r="Q162" s="22"/>
      <c r="R162" s="22"/>
      <c r="S162" s="22"/>
      <c r="T162" s="22"/>
      <c r="U162" s="22"/>
      <c r="V162" s="22"/>
      <c r="W162" s="22"/>
      <c r="X162" s="22"/>
      <c r="Y162" s="22"/>
      <c r="Z162" s="22"/>
      <c r="AA162" s="22"/>
      <c r="AB162" s="22"/>
      <c r="AC162" s="22"/>
      <c r="AD162" s="22"/>
      <c r="AE162" s="22"/>
      <c r="AF162" s="22"/>
      <c r="AG162" s="22"/>
      <c r="AH162" s="22"/>
      <c r="AI162" s="22"/>
      <c r="AJ162" s="22"/>
      <c r="AK162" s="22"/>
      <c r="AL162" s="22"/>
      <c r="AM162" s="22"/>
      <c r="AN162" s="22"/>
    </row>
    <row r="163" spans="1:40" x14ac:dyDescent="0.25">
      <c r="A163" s="22"/>
      <c r="B163" s="22"/>
      <c r="C163" s="22"/>
      <c r="D163" s="22"/>
      <c r="E163" s="22"/>
      <c r="F163" s="22"/>
      <c r="G163" s="22"/>
      <c r="H163" s="22"/>
      <c r="I163" s="22"/>
      <c r="J163" s="22"/>
      <c r="K163" s="22"/>
      <c r="L163" s="22"/>
      <c r="M163" s="22"/>
      <c r="N163" s="22"/>
      <c r="O163" s="22"/>
      <c r="P163" s="22"/>
      <c r="Q163" s="22"/>
      <c r="R163" s="22"/>
      <c r="S163" s="22"/>
      <c r="T163" s="22"/>
      <c r="U163" s="22"/>
      <c r="V163" s="22"/>
      <c r="W163" s="22"/>
      <c r="X163" s="22"/>
      <c r="Y163" s="22"/>
      <c r="Z163" s="22"/>
      <c r="AA163" s="22"/>
      <c r="AB163" s="22"/>
      <c r="AC163" s="22"/>
      <c r="AD163" s="22"/>
      <c r="AE163" s="22"/>
      <c r="AF163" s="22"/>
      <c r="AG163" s="22"/>
      <c r="AH163" s="22"/>
      <c r="AI163" s="22"/>
      <c r="AJ163" s="22"/>
      <c r="AK163" s="22"/>
      <c r="AL163" s="22"/>
      <c r="AM163" s="22"/>
      <c r="AN163" s="22"/>
    </row>
    <row r="164" spans="1:40" x14ac:dyDescent="0.25">
      <c r="A164" s="22"/>
      <c r="B164" s="22"/>
      <c r="C164" s="22"/>
      <c r="D164" s="22"/>
      <c r="E164" s="22"/>
      <c r="F164" s="22"/>
      <c r="G164" s="22"/>
      <c r="H164" s="22"/>
      <c r="I164" s="22"/>
      <c r="J164" s="22"/>
      <c r="K164" s="22"/>
      <c r="L164" s="22"/>
      <c r="M164" s="22"/>
      <c r="N164" s="22"/>
      <c r="O164" s="22"/>
      <c r="P164" s="22"/>
      <c r="Q164" s="22"/>
      <c r="R164" s="22"/>
      <c r="S164" s="22"/>
      <c r="T164" s="22"/>
      <c r="U164" s="22"/>
      <c r="V164" s="22"/>
      <c r="W164" s="22"/>
      <c r="X164" s="22"/>
      <c r="Y164" s="22"/>
      <c r="Z164" s="22"/>
      <c r="AA164" s="22"/>
      <c r="AB164" s="22"/>
      <c r="AC164" s="22"/>
      <c r="AD164" s="22"/>
      <c r="AE164" s="22"/>
      <c r="AF164" s="22"/>
      <c r="AG164" s="22"/>
      <c r="AH164" s="22"/>
      <c r="AI164" s="22"/>
      <c r="AJ164" s="22"/>
      <c r="AK164" s="22"/>
      <c r="AL164" s="22"/>
      <c r="AM164" s="22"/>
      <c r="AN164" s="22"/>
    </row>
    <row r="165" spans="1:40" x14ac:dyDescent="0.25">
      <c r="A165" s="22"/>
      <c r="B165" s="22"/>
      <c r="C165" s="22"/>
      <c r="D165" s="22"/>
      <c r="E165" s="22"/>
      <c r="F165" s="22"/>
      <c r="G165" s="22"/>
      <c r="H165" s="22"/>
      <c r="I165" s="22"/>
      <c r="J165" s="22"/>
      <c r="K165" s="22"/>
      <c r="L165" s="22"/>
      <c r="M165" s="22"/>
      <c r="N165" s="22"/>
      <c r="O165" s="22"/>
      <c r="P165" s="22"/>
      <c r="Q165" s="22"/>
      <c r="R165" s="22"/>
      <c r="S165" s="22"/>
      <c r="T165" s="22"/>
      <c r="U165" s="22"/>
      <c r="V165" s="22"/>
      <c r="W165" s="22"/>
      <c r="X165" s="22"/>
      <c r="Y165" s="22"/>
      <c r="Z165" s="22"/>
      <c r="AA165" s="22"/>
      <c r="AB165" s="22"/>
      <c r="AC165" s="22"/>
      <c r="AD165" s="22"/>
      <c r="AE165" s="22"/>
      <c r="AF165" s="22"/>
      <c r="AG165" s="22"/>
      <c r="AH165" s="22"/>
      <c r="AI165" s="22"/>
      <c r="AJ165" s="22"/>
      <c r="AK165" s="22"/>
      <c r="AL165" s="22"/>
      <c r="AM165" s="22"/>
      <c r="AN165" s="22"/>
    </row>
    <row r="166" spans="1:40" x14ac:dyDescent="0.25">
      <c r="A166" s="22"/>
      <c r="B166" s="22"/>
      <c r="C166" s="22"/>
      <c r="D166" s="22"/>
      <c r="E166" s="22"/>
      <c r="F166" s="22"/>
      <c r="G166" s="22"/>
      <c r="H166" s="22"/>
      <c r="I166" s="22"/>
      <c r="J166" s="22"/>
      <c r="K166" s="22"/>
      <c r="L166" s="22"/>
      <c r="M166" s="22"/>
      <c r="N166" s="22"/>
      <c r="O166" s="22"/>
      <c r="P166" s="22"/>
      <c r="Q166" s="22"/>
      <c r="R166" s="22"/>
      <c r="S166" s="22"/>
      <c r="T166" s="22"/>
      <c r="U166" s="22"/>
      <c r="V166" s="22"/>
      <c r="W166" s="22"/>
      <c r="X166" s="22"/>
      <c r="Y166" s="22"/>
      <c r="Z166" s="22"/>
      <c r="AA166" s="22"/>
      <c r="AB166" s="22"/>
      <c r="AC166" s="22"/>
      <c r="AD166" s="22"/>
      <c r="AE166" s="22"/>
      <c r="AF166" s="22"/>
      <c r="AG166" s="22"/>
      <c r="AH166" s="22"/>
      <c r="AI166" s="22"/>
      <c r="AJ166" s="22"/>
      <c r="AK166" s="22"/>
      <c r="AL166" s="22"/>
      <c r="AM166" s="22"/>
      <c r="AN166" s="22"/>
    </row>
    <row r="167" spans="1:40" x14ac:dyDescent="0.25">
      <c r="A167" s="22"/>
      <c r="B167" s="22"/>
      <c r="C167" s="22"/>
      <c r="D167" s="22"/>
      <c r="E167" s="22"/>
      <c r="F167" s="22"/>
      <c r="G167" s="22"/>
      <c r="H167" s="22"/>
      <c r="I167" s="22"/>
      <c r="J167" s="22"/>
      <c r="K167" s="22"/>
      <c r="L167" s="22"/>
      <c r="M167" s="22"/>
      <c r="N167" s="22"/>
      <c r="O167" s="22"/>
      <c r="P167" s="22"/>
      <c r="Q167" s="22"/>
      <c r="R167" s="22"/>
      <c r="S167" s="22"/>
      <c r="T167" s="22"/>
      <c r="U167" s="22"/>
      <c r="V167" s="22"/>
      <c r="W167" s="22"/>
      <c r="X167" s="22"/>
      <c r="Y167" s="22"/>
      <c r="Z167" s="22"/>
      <c r="AA167" s="22"/>
      <c r="AB167" s="22"/>
      <c r="AC167" s="22"/>
      <c r="AD167" s="22"/>
      <c r="AE167" s="22"/>
      <c r="AF167" s="22"/>
      <c r="AG167" s="22"/>
      <c r="AH167" s="22"/>
      <c r="AI167" s="22"/>
      <c r="AJ167" s="22"/>
      <c r="AK167" s="22"/>
      <c r="AL167" s="22"/>
      <c r="AM167" s="22"/>
      <c r="AN167" s="22"/>
    </row>
    <row r="168" spans="1:40" x14ac:dyDescent="0.25">
      <c r="A168" s="22"/>
      <c r="B168" s="22"/>
      <c r="C168" s="22"/>
      <c r="D168" s="22"/>
      <c r="E168" s="22"/>
      <c r="F168" s="22"/>
      <c r="G168" s="22"/>
      <c r="H168" s="22"/>
      <c r="I168" s="22"/>
      <c r="J168" s="22"/>
      <c r="K168" s="22"/>
      <c r="L168" s="22"/>
      <c r="M168" s="22"/>
      <c r="N168" s="22"/>
      <c r="O168" s="22"/>
      <c r="P168" s="22"/>
      <c r="Q168" s="22"/>
      <c r="R168" s="22"/>
      <c r="S168" s="22"/>
      <c r="T168" s="22"/>
      <c r="U168" s="22"/>
      <c r="V168" s="22"/>
      <c r="W168" s="22"/>
      <c r="X168" s="22"/>
      <c r="Y168" s="22"/>
      <c r="Z168" s="22"/>
      <c r="AA168" s="22"/>
      <c r="AB168" s="22"/>
      <c r="AC168" s="22"/>
      <c r="AD168" s="22"/>
      <c r="AE168" s="22"/>
      <c r="AF168" s="22"/>
      <c r="AG168" s="22"/>
      <c r="AH168" s="22"/>
      <c r="AI168" s="22"/>
      <c r="AJ168" s="22"/>
      <c r="AK168" s="22"/>
      <c r="AL168" s="22"/>
      <c r="AM168" s="22"/>
      <c r="AN168" s="22"/>
    </row>
    <row r="169" spans="1:40" x14ac:dyDescent="0.25">
      <c r="A169" s="22"/>
      <c r="B169" s="22"/>
      <c r="C169" s="22"/>
      <c r="D169" s="22"/>
      <c r="E169" s="22"/>
      <c r="F169" s="22"/>
      <c r="G169" s="22"/>
      <c r="H169" s="22"/>
      <c r="I169" s="22"/>
      <c r="J169" s="22"/>
      <c r="K169" s="22"/>
      <c r="L169" s="22"/>
      <c r="M169" s="22"/>
      <c r="N169" s="22"/>
      <c r="O169" s="22"/>
      <c r="P169" s="22"/>
      <c r="Q169" s="22"/>
      <c r="R169" s="22"/>
      <c r="S169" s="22"/>
      <c r="T169" s="22"/>
      <c r="U169" s="22"/>
      <c r="V169" s="22"/>
      <c r="W169" s="22"/>
      <c r="X169" s="22"/>
      <c r="Y169" s="22"/>
      <c r="Z169" s="22"/>
      <c r="AA169" s="22"/>
      <c r="AB169" s="22"/>
      <c r="AC169" s="22"/>
      <c r="AD169" s="22"/>
      <c r="AE169" s="22"/>
      <c r="AF169" s="22"/>
      <c r="AG169" s="22"/>
      <c r="AH169" s="22"/>
      <c r="AI169" s="22"/>
      <c r="AJ169" s="22"/>
      <c r="AK169" s="22"/>
      <c r="AL169" s="22"/>
      <c r="AM169" s="22"/>
      <c r="AN169" s="22"/>
    </row>
    <row r="170" spans="1:40" x14ac:dyDescent="0.25">
      <c r="A170" s="22"/>
      <c r="B170" s="22"/>
      <c r="C170" s="22"/>
      <c r="D170" s="22"/>
      <c r="E170" s="22"/>
      <c r="F170" s="22"/>
      <c r="G170" s="22"/>
      <c r="H170" s="22"/>
      <c r="I170" s="22"/>
      <c r="J170" s="22"/>
      <c r="K170" s="22"/>
      <c r="L170" s="22"/>
      <c r="M170" s="22"/>
      <c r="N170" s="22"/>
      <c r="O170" s="22"/>
      <c r="P170" s="22"/>
      <c r="Q170" s="22"/>
      <c r="R170" s="22"/>
      <c r="S170" s="22"/>
      <c r="T170" s="22"/>
      <c r="U170" s="22"/>
      <c r="V170" s="22"/>
      <c r="W170" s="22"/>
      <c r="X170" s="22"/>
      <c r="Y170" s="22"/>
      <c r="Z170" s="22"/>
      <c r="AA170" s="22"/>
      <c r="AB170" s="22"/>
      <c r="AC170" s="22"/>
      <c r="AD170" s="22"/>
      <c r="AE170" s="22"/>
      <c r="AF170" s="22"/>
      <c r="AG170" s="22"/>
      <c r="AH170" s="22"/>
      <c r="AI170" s="22"/>
      <c r="AJ170" s="22"/>
      <c r="AK170" s="22"/>
      <c r="AL170" s="22"/>
      <c r="AM170" s="22"/>
      <c r="AN170" s="22"/>
    </row>
    <row r="171" spans="1:40" x14ac:dyDescent="0.25">
      <c r="A171" s="22"/>
      <c r="B171" s="22"/>
      <c r="C171" s="22"/>
      <c r="D171" s="22"/>
      <c r="E171" s="22"/>
      <c r="F171" s="22"/>
      <c r="G171" s="22"/>
      <c r="H171" s="22"/>
      <c r="I171" s="22"/>
      <c r="J171" s="22"/>
      <c r="K171" s="22"/>
      <c r="L171" s="22"/>
      <c r="M171" s="22"/>
      <c r="N171" s="22"/>
      <c r="O171" s="22"/>
      <c r="P171" s="22"/>
      <c r="Q171" s="22"/>
      <c r="R171" s="22"/>
      <c r="S171" s="22"/>
      <c r="T171" s="22"/>
      <c r="U171" s="22"/>
      <c r="V171" s="22"/>
      <c r="W171" s="22"/>
      <c r="X171" s="22"/>
      <c r="Y171" s="22"/>
      <c r="Z171" s="22"/>
      <c r="AA171" s="22"/>
      <c r="AB171" s="22"/>
      <c r="AC171" s="22"/>
      <c r="AD171" s="22"/>
      <c r="AE171" s="22"/>
      <c r="AF171" s="22"/>
      <c r="AG171" s="22"/>
      <c r="AH171" s="22"/>
      <c r="AI171" s="22"/>
      <c r="AJ171" s="22"/>
      <c r="AK171" s="22"/>
      <c r="AL171" s="22"/>
      <c r="AM171" s="22"/>
      <c r="AN171" s="22"/>
    </row>
    <row r="172" spans="1:40" x14ac:dyDescent="0.25">
      <c r="A172" s="22"/>
      <c r="B172" s="22"/>
      <c r="C172" s="22"/>
      <c r="D172" s="22"/>
      <c r="E172" s="22"/>
      <c r="F172" s="22"/>
      <c r="G172" s="22"/>
      <c r="H172" s="22"/>
      <c r="I172" s="22"/>
      <c r="J172" s="22"/>
      <c r="K172" s="22"/>
      <c r="L172" s="22"/>
      <c r="M172" s="22"/>
      <c r="N172" s="22"/>
      <c r="O172" s="22"/>
      <c r="P172" s="22"/>
      <c r="Q172" s="22"/>
      <c r="R172" s="22"/>
      <c r="S172" s="22"/>
      <c r="T172" s="22"/>
      <c r="U172" s="22"/>
      <c r="V172" s="22"/>
      <c r="W172" s="22"/>
      <c r="X172" s="22"/>
      <c r="Y172" s="22"/>
      <c r="Z172" s="22"/>
      <c r="AA172" s="22"/>
      <c r="AB172" s="22"/>
      <c r="AC172" s="22"/>
      <c r="AD172" s="22"/>
      <c r="AE172" s="22"/>
      <c r="AF172" s="22"/>
      <c r="AG172" s="22"/>
      <c r="AH172" s="22"/>
      <c r="AI172" s="22"/>
      <c r="AJ172" s="22"/>
      <c r="AK172" s="22"/>
      <c r="AL172" s="22"/>
      <c r="AM172" s="22"/>
      <c r="AN172" s="22"/>
    </row>
    <row r="173" spans="1:40" x14ac:dyDescent="0.25">
      <c r="A173" s="22"/>
      <c r="B173" s="22"/>
      <c r="C173" s="22"/>
      <c r="D173" s="22"/>
      <c r="E173" s="22"/>
      <c r="F173" s="22"/>
      <c r="G173" s="22"/>
      <c r="H173" s="22"/>
      <c r="I173" s="22"/>
      <c r="J173" s="22"/>
      <c r="K173" s="22"/>
      <c r="L173" s="22"/>
      <c r="M173" s="22"/>
      <c r="N173" s="22"/>
      <c r="O173" s="22"/>
      <c r="P173" s="22"/>
      <c r="Q173" s="22"/>
      <c r="R173" s="22"/>
      <c r="S173" s="22"/>
      <c r="T173" s="22"/>
      <c r="U173" s="22"/>
      <c r="V173" s="22"/>
      <c r="W173" s="22"/>
      <c r="X173" s="22"/>
      <c r="Y173" s="22"/>
      <c r="Z173" s="22"/>
      <c r="AA173" s="22"/>
      <c r="AB173" s="22"/>
      <c r="AC173" s="22"/>
      <c r="AD173" s="22"/>
      <c r="AE173" s="22"/>
      <c r="AF173" s="22"/>
      <c r="AG173" s="22"/>
      <c r="AH173" s="22"/>
      <c r="AI173" s="22"/>
      <c r="AJ173" s="22"/>
      <c r="AK173" s="22"/>
      <c r="AL173" s="22"/>
      <c r="AM173" s="22"/>
      <c r="AN173" s="22"/>
    </row>
    <row r="174" spans="1:40" x14ac:dyDescent="0.25">
      <c r="A174" s="22"/>
      <c r="B174" s="22"/>
      <c r="C174" s="22"/>
      <c r="D174" s="22"/>
      <c r="E174" s="22"/>
      <c r="F174" s="22"/>
      <c r="G174" s="22"/>
      <c r="H174" s="22"/>
      <c r="I174" s="22"/>
      <c r="J174" s="22"/>
      <c r="K174" s="22"/>
      <c r="L174" s="22"/>
      <c r="M174" s="22"/>
      <c r="N174" s="22"/>
      <c r="O174" s="22"/>
      <c r="P174" s="22"/>
      <c r="Q174" s="22"/>
      <c r="R174" s="22"/>
      <c r="S174" s="22"/>
      <c r="T174" s="22"/>
      <c r="U174" s="22"/>
      <c r="V174" s="22"/>
      <c r="W174" s="22"/>
      <c r="X174" s="22"/>
      <c r="Y174" s="22"/>
      <c r="Z174" s="22"/>
      <c r="AA174" s="22"/>
      <c r="AB174" s="22"/>
      <c r="AC174" s="22"/>
      <c r="AD174" s="22"/>
      <c r="AE174" s="22"/>
      <c r="AF174" s="22"/>
      <c r="AG174" s="22"/>
      <c r="AH174" s="22"/>
      <c r="AI174" s="22"/>
      <c r="AJ174" s="22"/>
      <c r="AK174" s="22"/>
      <c r="AL174" s="22"/>
      <c r="AM174" s="22"/>
      <c r="AN174" s="22"/>
    </row>
    <row r="175" spans="1:40" x14ac:dyDescent="0.25">
      <c r="A175" s="22"/>
      <c r="B175" s="22"/>
      <c r="C175" s="22"/>
      <c r="D175" s="22"/>
      <c r="E175" s="22"/>
      <c r="F175" s="22"/>
      <c r="G175" s="22"/>
      <c r="H175" s="22"/>
      <c r="I175" s="22"/>
      <c r="J175" s="22"/>
      <c r="K175" s="22"/>
      <c r="L175" s="22"/>
      <c r="M175" s="22"/>
      <c r="N175" s="22"/>
      <c r="O175" s="22"/>
      <c r="P175" s="22"/>
      <c r="Q175" s="22"/>
      <c r="R175" s="22"/>
      <c r="S175" s="22"/>
      <c r="T175" s="22"/>
      <c r="U175" s="22"/>
      <c r="V175" s="22"/>
      <c r="W175" s="22"/>
      <c r="X175" s="22"/>
      <c r="Y175" s="22"/>
      <c r="Z175" s="22"/>
      <c r="AA175" s="22"/>
      <c r="AB175" s="22"/>
      <c r="AC175" s="22"/>
      <c r="AD175" s="22"/>
      <c r="AE175" s="22"/>
      <c r="AF175" s="22"/>
      <c r="AG175" s="22"/>
      <c r="AH175" s="22"/>
      <c r="AI175" s="22"/>
      <c r="AJ175" s="22"/>
      <c r="AK175" s="22"/>
      <c r="AL175" s="22"/>
      <c r="AM175" s="22"/>
      <c r="AN175" s="22"/>
    </row>
    <row r="176" spans="1:40" x14ac:dyDescent="0.25">
      <c r="A176" s="22"/>
      <c r="B176" s="22"/>
      <c r="C176" s="22"/>
      <c r="D176" s="22"/>
      <c r="E176" s="22"/>
      <c r="F176" s="22"/>
      <c r="G176" s="22"/>
      <c r="H176" s="22"/>
      <c r="I176" s="22"/>
      <c r="J176" s="22"/>
      <c r="K176" s="22"/>
      <c r="L176" s="22"/>
      <c r="M176" s="22"/>
      <c r="N176" s="22"/>
      <c r="O176" s="22"/>
      <c r="P176" s="22"/>
      <c r="Q176" s="22"/>
      <c r="R176" s="22"/>
      <c r="S176" s="22"/>
      <c r="T176" s="22"/>
      <c r="U176" s="22"/>
      <c r="V176" s="22"/>
      <c r="W176" s="22"/>
      <c r="X176" s="22"/>
      <c r="Y176" s="22"/>
      <c r="Z176" s="22"/>
      <c r="AA176" s="22"/>
      <c r="AB176" s="22"/>
      <c r="AC176" s="22"/>
      <c r="AD176" s="22"/>
      <c r="AE176" s="22"/>
      <c r="AF176" s="22"/>
      <c r="AG176" s="22"/>
      <c r="AH176" s="22"/>
      <c r="AI176" s="22"/>
      <c r="AJ176" s="22"/>
      <c r="AK176" s="22"/>
      <c r="AL176" s="22"/>
      <c r="AM176" s="22"/>
      <c r="AN176" s="22"/>
    </row>
    <row r="177" spans="1:40" x14ac:dyDescent="0.25">
      <c r="A177" s="22"/>
      <c r="B177" s="22"/>
      <c r="C177" s="22"/>
      <c r="D177" s="22"/>
      <c r="E177" s="22"/>
      <c r="F177" s="22"/>
      <c r="G177" s="22"/>
      <c r="H177" s="22"/>
      <c r="I177" s="22"/>
      <c r="J177" s="22"/>
      <c r="K177" s="22"/>
      <c r="L177" s="22"/>
      <c r="M177" s="22"/>
      <c r="N177" s="22"/>
      <c r="O177" s="22"/>
      <c r="P177" s="22"/>
      <c r="Q177" s="22"/>
      <c r="R177" s="22"/>
      <c r="S177" s="22"/>
      <c r="T177" s="22"/>
      <c r="U177" s="22"/>
      <c r="V177" s="22"/>
      <c r="W177" s="22"/>
      <c r="X177" s="22"/>
      <c r="Y177" s="22"/>
      <c r="Z177" s="22"/>
      <c r="AA177" s="22"/>
      <c r="AB177" s="22"/>
      <c r="AC177" s="22"/>
      <c r="AD177" s="22"/>
      <c r="AE177" s="22"/>
      <c r="AF177" s="22"/>
      <c r="AG177" s="22"/>
      <c r="AH177" s="22"/>
      <c r="AI177" s="22"/>
      <c r="AJ177" s="22"/>
      <c r="AK177" s="22"/>
      <c r="AL177" s="22"/>
      <c r="AM177" s="22"/>
      <c r="AN177" s="22"/>
    </row>
    <row r="178" spans="1:40" x14ac:dyDescent="0.25">
      <c r="A178" s="22"/>
      <c r="B178" s="22"/>
      <c r="C178" s="22"/>
      <c r="D178" s="22"/>
      <c r="E178" s="22"/>
      <c r="F178" s="22"/>
      <c r="G178" s="22"/>
      <c r="H178" s="22"/>
      <c r="I178" s="22"/>
      <c r="J178" s="22"/>
      <c r="K178" s="22"/>
      <c r="L178" s="22"/>
      <c r="M178" s="22"/>
      <c r="N178" s="22"/>
      <c r="O178" s="22"/>
      <c r="P178" s="22"/>
      <c r="Q178" s="22"/>
      <c r="R178" s="22"/>
      <c r="S178" s="22"/>
      <c r="T178" s="22"/>
      <c r="U178" s="22"/>
      <c r="V178" s="22"/>
      <c r="W178" s="22"/>
      <c r="X178" s="22"/>
      <c r="Y178" s="22"/>
      <c r="Z178" s="22"/>
      <c r="AA178" s="22"/>
      <c r="AB178" s="22"/>
      <c r="AC178" s="22"/>
      <c r="AD178" s="22"/>
      <c r="AE178" s="22"/>
      <c r="AF178" s="22"/>
      <c r="AG178" s="22"/>
      <c r="AH178" s="22"/>
      <c r="AI178" s="22"/>
      <c r="AJ178" s="22"/>
      <c r="AK178" s="22"/>
      <c r="AL178" s="22"/>
      <c r="AM178" s="22"/>
      <c r="AN178" s="22"/>
    </row>
    <row r="179" spans="1:40" x14ac:dyDescent="0.25">
      <c r="A179" s="22"/>
      <c r="B179" s="22"/>
      <c r="C179" s="22"/>
      <c r="D179" s="22"/>
      <c r="E179" s="22"/>
      <c r="F179" s="22"/>
      <c r="G179" s="22"/>
      <c r="H179" s="22"/>
      <c r="I179" s="22"/>
      <c r="J179" s="22"/>
      <c r="K179" s="22"/>
      <c r="L179" s="22"/>
      <c r="M179" s="22"/>
      <c r="N179" s="22"/>
      <c r="O179" s="22"/>
      <c r="P179" s="22"/>
      <c r="Q179" s="22"/>
      <c r="R179" s="22"/>
      <c r="S179" s="22"/>
      <c r="T179" s="22"/>
      <c r="U179" s="22"/>
      <c r="V179" s="22"/>
      <c r="W179" s="22"/>
      <c r="X179" s="22"/>
      <c r="Y179" s="22"/>
      <c r="Z179" s="22"/>
      <c r="AA179" s="22"/>
      <c r="AB179" s="22"/>
      <c r="AC179" s="22"/>
      <c r="AD179" s="22"/>
      <c r="AE179" s="22"/>
      <c r="AF179" s="22"/>
      <c r="AG179" s="22"/>
      <c r="AH179" s="22"/>
      <c r="AI179" s="22"/>
      <c r="AJ179" s="22"/>
      <c r="AK179" s="22"/>
      <c r="AL179" s="22"/>
      <c r="AM179" s="22"/>
      <c r="AN179" s="22"/>
    </row>
    <row r="180" spans="1:40" x14ac:dyDescent="0.25">
      <c r="A180" s="22"/>
      <c r="B180" s="22"/>
      <c r="C180" s="22"/>
      <c r="D180" s="22"/>
      <c r="E180" s="22"/>
      <c r="F180" s="22"/>
      <c r="G180" s="22"/>
      <c r="H180" s="22"/>
      <c r="I180" s="22"/>
      <c r="J180" s="22"/>
      <c r="K180" s="22"/>
      <c r="L180" s="22"/>
      <c r="M180" s="22"/>
      <c r="N180" s="22"/>
      <c r="O180" s="22"/>
      <c r="P180" s="22"/>
      <c r="Q180" s="22"/>
      <c r="R180" s="22"/>
      <c r="S180" s="22"/>
      <c r="T180" s="22"/>
      <c r="U180" s="22"/>
      <c r="V180" s="22"/>
      <c r="W180" s="22"/>
      <c r="X180" s="22"/>
      <c r="Y180" s="22"/>
      <c r="Z180" s="22"/>
      <c r="AA180" s="22"/>
      <c r="AB180" s="22"/>
      <c r="AC180" s="22"/>
      <c r="AD180" s="22"/>
      <c r="AE180" s="22"/>
      <c r="AF180" s="22"/>
      <c r="AG180" s="22"/>
      <c r="AH180" s="22"/>
      <c r="AI180" s="22"/>
      <c r="AJ180" s="22"/>
      <c r="AK180" s="22"/>
      <c r="AL180" s="22"/>
      <c r="AM180" s="22"/>
      <c r="AN180" s="22"/>
    </row>
    <row r="181" spans="1:40" x14ac:dyDescent="0.25">
      <c r="A181" s="22"/>
      <c r="B181" s="22"/>
      <c r="C181" s="22"/>
      <c r="D181" s="22"/>
      <c r="E181" s="22"/>
      <c r="F181" s="22"/>
      <c r="G181" s="22"/>
      <c r="H181" s="22"/>
      <c r="I181" s="22"/>
      <c r="J181" s="22"/>
      <c r="K181" s="22"/>
      <c r="L181" s="22"/>
      <c r="M181" s="22"/>
      <c r="N181" s="22"/>
      <c r="O181" s="22"/>
      <c r="P181" s="22"/>
      <c r="Q181" s="22"/>
      <c r="R181" s="22"/>
      <c r="S181" s="22"/>
      <c r="T181" s="22"/>
      <c r="U181" s="22"/>
      <c r="V181" s="22"/>
      <c r="W181" s="22"/>
      <c r="X181" s="22"/>
      <c r="Y181" s="22"/>
      <c r="Z181" s="22"/>
      <c r="AA181" s="22"/>
      <c r="AB181" s="22"/>
      <c r="AC181" s="22"/>
      <c r="AD181" s="22"/>
      <c r="AE181" s="22"/>
      <c r="AF181" s="22"/>
      <c r="AG181" s="22"/>
      <c r="AH181" s="22"/>
      <c r="AI181" s="22"/>
      <c r="AJ181" s="22"/>
      <c r="AK181" s="22"/>
      <c r="AL181" s="22"/>
      <c r="AM181" s="22"/>
      <c r="AN181" s="22"/>
    </row>
    <row r="182" spans="1:40" x14ac:dyDescent="0.25">
      <c r="A182" s="22"/>
      <c r="B182" s="22"/>
      <c r="C182" s="22"/>
      <c r="D182" s="22"/>
      <c r="E182" s="22"/>
      <c r="F182" s="22"/>
      <c r="G182" s="22"/>
      <c r="H182" s="22"/>
      <c r="I182" s="22"/>
      <c r="J182" s="22"/>
      <c r="K182" s="22"/>
      <c r="L182" s="22"/>
      <c r="M182" s="22"/>
      <c r="N182" s="22"/>
      <c r="O182" s="22"/>
      <c r="P182" s="22"/>
      <c r="Q182" s="22"/>
      <c r="R182" s="22"/>
      <c r="S182" s="22"/>
      <c r="T182" s="22"/>
      <c r="U182" s="22"/>
      <c r="V182" s="22"/>
      <c r="W182" s="22"/>
      <c r="X182" s="22"/>
      <c r="Y182" s="22"/>
      <c r="Z182" s="22"/>
      <c r="AA182" s="22"/>
      <c r="AB182" s="22"/>
      <c r="AC182" s="22"/>
      <c r="AD182" s="22"/>
      <c r="AE182" s="22"/>
      <c r="AF182" s="22"/>
      <c r="AG182" s="22"/>
      <c r="AH182" s="22"/>
      <c r="AI182" s="22"/>
      <c r="AJ182" s="22"/>
      <c r="AK182" s="22"/>
      <c r="AL182" s="22"/>
      <c r="AM182" s="22"/>
      <c r="AN182" s="22"/>
    </row>
    <row r="183" spans="1:40" x14ac:dyDescent="0.25">
      <c r="A183" s="22"/>
      <c r="B183" s="22"/>
      <c r="C183" s="22"/>
      <c r="D183" s="22"/>
      <c r="E183" s="22"/>
      <c r="F183" s="22"/>
      <c r="G183" s="22"/>
      <c r="H183" s="22"/>
      <c r="I183" s="22"/>
      <c r="J183" s="22"/>
      <c r="K183" s="22"/>
      <c r="L183" s="22"/>
      <c r="M183" s="22"/>
      <c r="N183" s="22"/>
      <c r="O183" s="22"/>
      <c r="P183" s="22"/>
      <c r="Q183" s="22"/>
      <c r="R183" s="22"/>
      <c r="S183" s="22"/>
      <c r="T183" s="22"/>
      <c r="U183" s="22"/>
      <c r="V183" s="22"/>
      <c r="W183" s="22"/>
      <c r="X183" s="22"/>
      <c r="Y183" s="22"/>
      <c r="Z183" s="22"/>
      <c r="AA183" s="22"/>
      <c r="AB183" s="22"/>
      <c r="AC183" s="22"/>
      <c r="AD183" s="22"/>
      <c r="AE183" s="22"/>
      <c r="AF183" s="22"/>
      <c r="AG183" s="22"/>
      <c r="AH183" s="22"/>
      <c r="AI183" s="22"/>
      <c r="AJ183" s="22"/>
      <c r="AK183" s="22"/>
      <c r="AL183" s="22"/>
      <c r="AM183" s="22"/>
      <c r="AN183" s="22"/>
    </row>
    <row r="184" spans="1:40" x14ac:dyDescent="0.25">
      <c r="A184" s="22"/>
      <c r="B184" s="22"/>
      <c r="C184" s="22"/>
      <c r="D184" s="22"/>
      <c r="E184" s="22"/>
      <c r="F184" s="22"/>
      <c r="G184" s="22"/>
      <c r="H184" s="22"/>
      <c r="I184" s="22"/>
      <c r="J184" s="22"/>
      <c r="K184" s="22"/>
      <c r="L184" s="22"/>
      <c r="M184" s="22"/>
      <c r="N184" s="22"/>
      <c r="O184" s="22"/>
      <c r="P184" s="22"/>
      <c r="Q184" s="22"/>
      <c r="R184" s="22"/>
      <c r="S184" s="22"/>
      <c r="T184" s="22"/>
      <c r="U184" s="22"/>
      <c r="V184" s="22"/>
      <c r="W184" s="22"/>
      <c r="X184" s="22"/>
      <c r="Y184" s="22"/>
      <c r="Z184" s="22"/>
      <c r="AA184" s="22"/>
      <c r="AB184" s="22"/>
      <c r="AC184" s="22"/>
      <c r="AD184" s="22"/>
      <c r="AE184" s="22"/>
      <c r="AF184" s="22"/>
      <c r="AG184" s="22"/>
      <c r="AH184" s="22"/>
      <c r="AI184" s="22"/>
      <c r="AJ184" s="22"/>
      <c r="AK184" s="22"/>
      <c r="AL184" s="22"/>
      <c r="AM184" s="22"/>
      <c r="AN184" s="22"/>
    </row>
    <row r="185" spans="1:40" x14ac:dyDescent="0.25">
      <c r="A185" s="22"/>
      <c r="B185" s="22"/>
      <c r="C185" s="22"/>
      <c r="D185" s="22"/>
      <c r="E185" s="22"/>
      <c r="F185" s="22"/>
      <c r="G185" s="22"/>
      <c r="H185" s="22"/>
      <c r="I185" s="22"/>
      <c r="J185" s="22"/>
      <c r="K185" s="22"/>
      <c r="L185" s="22"/>
      <c r="M185" s="22"/>
      <c r="N185" s="22"/>
      <c r="O185" s="22"/>
      <c r="P185" s="22"/>
      <c r="Q185" s="22"/>
      <c r="R185" s="22"/>
      <c r="S185" s="22"/>
      <c r="T185" s="22"/>
      <c r="U185" s="22"/>
      <c r="V185" s="22"/>
      <c r="W185" s="22"/>
      <c r="X185" s="22"/>
      <c r="Y185" s="22"/>
      <c r="Z185" s="22"/>
      <c r="AA185" s="22"/>
      <c r="AB185" s="22"/>
      <c r="AC185" s="22"/>
      <c r="AD185" s="22"/>
      <c r="AE185" s="22"/>
      <c r="AF185" s="22"/>
      <c r="AG185" s="22"/>
      <c r="AH185" s="22"/>
      <c r="AI185" s="22"/>
      <c r="AJ185" s="22"/>
      <c r="AK185" s="22"/>
      <c r="AL185" s="22"/>
      <c r="AM185" s="22"/>
      <c r="AN185" s="22"/>
    </row>
    <row r="186" spans="1:40" x14ac:dyDescent="0.25">
      <c r="A186" s="22"/>
      <c r="B186" s="22"/>
      <c r="C186" s="22"/>
      <c r="D186" s="22"/>
      <c r="E186" s="22"/>
      <c r="F186" s="22"/>
      <c r="G186" s="22"/>
      <c r="H186" s="22"/>
      <c r="I186" s="22"/>
      <c r="J186" s="22"/>
      <c r="K186" s="22"/>
      <c r="L186" s="22"/>
      <c r="M186" s="22"/>
      <c r="N186" s="22"/>
      <c r="O186" s="22"/>
      <c r="P186" s="22"/>
      <c r="Q186" s="22"/>
      <c r="R186" s="22"/>
      <c r="S186" s="22"/>
      <c r="T186" s="22"/>
      <c r="U186" s="22"/>
      <c r="V186" s="22"/>
      <c r="W186" s="22"/>
      <c r="X186" s="22"/>
      <c r="Y186" s="22"/>
      <c r="Z186" s="22"/>
      <c r="AA186" s="22"/>
      <c r="AB186" s="22"/>
      <c r="AC186" s="22"/>
      <c r="AD186" s="22"/>
      <c r="AE186" s="22"/>
      <c r="AF186" s="22"/>
      <c r="AG186" s="22"/>
      <c r="AH186" s="22"/>
      <c r="AI186" s="22"/>
      <c r="AJ186" s="22"/>
      <c r="AK186" s="22"/>
      <c r="AL186" s="22"/>
      <c r="AM186" s="22"/>
      <c r="AN186" s="22"/>
    </row>
    <row r="187" spans="1:40" x14ac:dyDescent="0.25">
      <c r="A187" s="22"/>
      <c r="B187" s="22"/>
      <c r="C187" s="22"/>
      <c r="D187" s="22"/>
      <c r="E187" s="22"/>
      <c r="F187" s="22"/>
      <c r="G187" s="22"/>
      <c r="H187" s="22"/>
      <c r="I187" s="22"/>
      <c r="J187" s="22"/>
      <c r="K187" s="22"/>
      <c r="L187" s="22"/>
      <c r="M187" s="22"/>
      <c r="N187" s="22"/>
      <c r="O187" s="22"/>
      <c r="P187" s="22"/>
      <c r="Q187" s="22"/>
      <c r="R187" s="22"/>
      <c r="S187" s="22"/>
      <c r="T187" s="22"/>
      <c r="U187" s="22"/>
      <c r="V187" s="22"/>
      <c r="W187" s="22"/>
      <c r="X187" s="22"/>
      <c r="Y187" s="22"/>
      <c r="Z187" s="22"/>
      <c r="AA187" s="22"/>
      <c r="AB187" s="22"/>
      <c r="AC187" s="22"/>
      <c r="AD187" s="22"/>
      <c r="AE187" s="22"/>
      <c r="AF187" s="22"/>
      <c r="AG187" s="22"/>
      <c r="AH187" s="22"/>
      <c r="AI187" s="22"/>
      <c r="AJ187" s="22"/>
      <c r="AK187" s="22"/>
      <c r="AL187" s="22"/>
      <c r="AM187" s="22"/>
      <c r="AN187" s="22"/>
    </row>
    <row r="188" spans="1:40" x14ac:dyDescent="0.25">
      <c r="A188" s="22"/>
      <c r="B188" s="22"/>
      <c r="C188" s="22"/>
      <c r="D188" s="22"/>
      <c r="E188" s="22"/>
      <c r="F188" s="22"/>
      <c r="G188" s="22"/>
      <c r="H188" s="22"/>
      <c r="I188" s="22"/>
      <c r="J188" s="22"/>
      <c r="K188" s="22"/>
      <c r="L188" s="22"/>
      <c r="M188" s="22"/>
      <c r="N188" s="22"/>
      <c r="O188" s="22"/>
      <c r="P188" s="22"/>
      <c r="Q188" s="22"/>
      <c r="R188" s="22"/>
      <c r="S188" s="22"/>
      <c r="T188" s="22"/>
      <c r="U188" s="22"/>
      <c r="V188" s="22"/>
      <c r="W188" s="22"/>
      <c r="X188" s="22"/>
      <c r="Y188" s="22"/>
      <c r="Z188" s="22"/>
      <c r="AA188" s="22"/>
      <c r="AB188" s="22"/>
      <c r="AC188" s="22"/>
      <c r="AD188" s="22"/>
      <c r="AE188" s="22"/>
      <c r="AF188" s="22"/>
      <c r="AG188" s="22"/>
      <c r="AH188" s="22"/>
      <c r="AI188" s="22"/>
      <c r="AJ188" s="22"/>
      <c r="AK188" s="22"/>
      <c r="AL188" s="22"/>
      <c r="AM188" s="22"/>
      <c r="AN188" s="22"/>
    </row>
    <row r="189" spans="1:40" x14ac:dyDescent="0.25">
      <c r="A189" s="22"/>
      <c r="B189" s="22"/>
      <c r="C189" s="22"/>
      <c r="D189" s="22"/>
      <c r="E189" s="22"/>
      <c r="F189" s="22"/>
      <c r="G189" s="22"/>
      <c r="H189" s="22"/>
      <c r="I189" s="22"/>
      <c r="J189" s="22"/>
      <c r="K189" s="22"/>
      <c r="L189" s="22"/>
      <c r="M189" s="22"/>
      <c r="N189" s="22"/>
      <c r="O189" s="22"/>
      <c r="P189" s="22"/>
      <c r="Q189" s="22"/>
      <c r="R189" s="22"/>
      <c r="S189" s="22"/>
      <c r="T189" s="22"/>
      <c r="U189" s="22"/>
      <c r="V189" s="22"/>
      <c r="W189" s="22"/>
      <c r="X189" s="22"/>
      <c r="Y189" s="22"/>
      <c r="Z189" s="22"/>
      <c r="AA189" s="22"/>
      <c r="AB189" s="22"/>
      <c r="AC189" s="22"/>
      <c r="AD189" s="22"/>
      <c r="AE189" s="22"/>
      <c r="AF189" s="22"/>
      <c r="AG189" s="22"/>
      <c r="AH189" s="22"/>
      <c r="AI189" s="22"/>
      <c r="AJ189" s="22"/>
      <c r="AK189" s="22"/>
      <c r="AL189" s="22"/>
      <c r="AM189" s="22"/>
      <c r="AN189" s="22"/>
    </row>
    <row r="190" spans="1:40" x14ac:dyDescent="0.25">
      <c r="A190" s="22"/>
      <c r="B190" s="22"/>
      <c r="C190" s="22"/>
      <c r="D190" s="22"/>
      <c r="E190" s="22"/>
      <c r="F190" s="22"/>
      <c r="G190" s="22"/>
      <c r="H190" s="22"/>
      <c r="I190" s="22"/>
      <c r="J190" s="22"/>
      <c r="K190" s="22"/>
      <c r="L190" s="22"/>
      <c r="M190" s="22"/>
      <c r="N190" s="22"/>
      <c r="O190" s="22"/>
      <c r="P190" s="22"/>
      <c r="Q190" s="22"/>
      <c r="R190" s="22"/>
      <c r="S190" s="22"/>
      <c r="T190" s="22"/>
      <c r="U190" s="22"/>
      <c r="V190" s="22"/>
      <c r="W190" s="22"/>
      <c r="X190" s="22"/>
      <c r="Y190" s="22"/>
      <c r="Z190" s="22"/>
      <c r="AA190" s="22"/>
      <c r="AB190" s="22"/>
      <c r="AC190" s="22"/>
      <c r="AD190" s="22"/>
      <c r="AE190" s="22"/>
      <c r="AF190" s="22"/>
      <c r="AG190" s="22"/>
      <c r="AH190" s="22"/>
      <c r="AI190" s="22"/>
      <c r="AJ190" s="22"/>
      <c r="AK190" s="22"/>
      <c r="AL190" s="22"/>
      <c r="AM190" s="22"/>
      <c r="AN190" s="22"/>
    </row>
    <row r="191" spans="1:40" x14ac:dyDescent="0.25">
      <c r="A191" s="22"/>
      <c r="B191" s="22"/>
      <c r="C191" s="22"/>
      <c r="D191" s="22"/>
      <c r="E191" s="22"/>
      <c r="F191" s="22"/>
      <c r="G191" s="22"/>
      <c r="H191" s="22"/>
      <c r="I191" s="22"/>
      <c r="J191" s="22"/>
      <c r="K191" s="22"/>
      <c r="L191" s="22"/>
      <c r="M191" s="22"/>
      <c r="N191" s="22"/>
      <c r="O191" s="22"/>
      <c r="P191" s="22"/>
      <c r="Q191" s="22"/>
      <c r="R191" s="22"/>
      <c r="S191" s="22"/>
      <c r="T191" s="22"/>
      <c r="U191" s="22"/>
      <c r="V191" s="22"/>
      <c r="W191" s="22"/>
      <c r="X191" s="22"/>
      <c r="Y191" s="22"/>
      <c r="Z191" s="22"/>
      <c r="AA191" s="22"/>
      <c r="AB191" s="22"/>
      <c r="AC191" s="22"/>
      <c r="AD191" s="22"/>
      <c r="AE191" s="22"/>
      <c r="AF191" s="22"/>
      <c r="AG191" s="22"/>
      <c r="AH191" s="22"/>
      <c r="AI191" s="22"/>
      <c r="AJ191" s="22"/>
      <c r="AK191" s="22"/>
      <c r="AL191" s="22"/>
      <c r="AM191" s="22"/>
      <c r="AN191" s="22"/>
    </row>
    <row r="192" spans="1:40" x14ac:dyDescent="0.25">
      <c r="A192" s="22"/>
      <c r="B192" s="22"/>
      <c r="C192" s="22"/>
      <c r="D192" s="22"/>
      <c r="E192" s="22"/>
      <c r="F192" s="22"/>
      <c r="G192" s="22"/>
      <c r="H192" s="22"/>
      <c r="I192" s="22"/>
      <c r="J192" s="22"/>
      <c r="K192" s="22"/>
      <c r="L192" s="22"/>
      <c r="M192" s="22"/>
      <c r="N192" s="22"/>
      <c r="O192" s="22"/>
      <c r="P192" s="22"/>
      <c r="Q192" s="22"/>
      <c r="R192" s="22"/>
      <c r="S192" s="22"/>
      <c r="T192" s="22"/>
      <c r="U192" s="22"/>
      <c r="V192" s="22"/>
      <c r="W192" s="22"/>
      <c r="X192" s="22"/>
      <c r="Y192" s="22"/>
      <c r="Z192" s="22"/>
      <c r="AA192" s="22"/>
      <c r="AB192" s="22"/>
      <c r="AC192" s="22"/>
      <c r="AD192" s="22"/>
      <c r="AE192" s="22"/>
      <c r="AF192" s="22"/>
      <c r="AG192" s="22"/>
      <c r="AH192" s="22"/>
      <c r="AI192" s="22"/>
      <c r="AJ192" s="22"/>
      <c r="AK192" s="22"/>
      <c r="AL192" s="22"/>
      <c r="AM192" s="22"/>
      <c r="AN192" s="22"/>
    </row>
    <row r="193" spans="1:40" x14ac:dyDescent="0.25">
      <c r="A193" s="22"/>
      <c r="B193" s="22"/>
      <c r="C193" s="22"/>
      <c r="D193" s="22"/>
      <c r="E193" s="22"/>
      <c r="F193" s="22"/>
      <c r="G193" s="22"/>
      <c r="H193" s="22"/>
      <c r="I193" s="22"/>
      <c r="J193" s="22"/>
      <c r="K193" s="22"/>
      <c r="L193" s="22"/>
      <c r="M193" s="22"/>
      <c r="N193" s="22"/>
      <c r="O193" s="22"/>
      <c r="P193" s="22"/>
      <c r="Q193" s="22"/>
      <c r="R193" s="22"/>
      <c r="S193" s="22"/>
      <c r="T193" s="22"/>
      <c r="U193" s="22"/>
      <c r="V193" s="22"/>
      <c r="W193" s="22"/>
      <c r="X193" s="22"/>
      <c r="Y193" s="22"/>
      <c r="Z193" s="22"/>
      <c r="AA193" s="22"/>
      <c r="AB193" s="22"/>
      <c r="AC193" s="22"/>
      <c r="AD193" s="22"/>
      <c r="AE193" s="22"/>
      <c r="AF193" s="22"/>
      <c r="AG193" s="22"/>
      <c r="AH193" s="22"/>
      <c r="AI193" s="22"/>
      <c r="AJ193" s="22"/>
      <c r="AK193" s="22"/>
      <c r="AL193" s="22"/>
      <c r="AM193" s="22"/>
      <c r="AN193" s="22"/>
    </row>
    <row r="194" spans="1:40" x14ac:dyDescent="0.25">
      <c r="A194" s="22"/>
      <c r="B194" s="22"/>
      <c r="C194" s="22"/>
      <c r="D194" s="22"/>
      <c r="E194" s="22"/>
      <c r="F194" s="22"/>
      <c r="G194" s="22"/>
      <c r="H194" s="22"/>
      <c r="I194" s="22"/>
      <c r="J194" s="22"/>
      <c r="K194" s="22"/>
      <c r="L194" s="22"/>
      <c r="M194" s="22"/>
      <c r="N194" s="22"/>
      <c r="O194" s="22"/>
      <c r="P194" s="22"/>
      <c r="Q194" s="22"/>
      <c r="R194" s="22"/>
      <c r="S194" s="22"/>
      <c r="T194" s="22"/>
      <c r="U194" s="22"/>
      <c r="V194" s="22"/>
      <c r="W194" s="22"/>
      <c r="X194" s="22"/>
      <c r="Y194" s="22"/>
      <c r="Z194" s="22"/>
      <c r="AA194" s="22"/>
      <c r="AB194" s="22"/>
      <c r="AC194" s="22"/>
      <c r="AD194" s="22"/>
      <c r="AE194" s="22"/>
      <c r="AF194" s="22"/>
      <c r="AG194" s="22"/>
      <c r="AH194" s="22"/>
      <c r="AI194" s="22"/>
      <c r="AJ194" s="22"/>
      <c r="AK194" s="22"/>
      <c r="AL194" s="22"/>
      <c r="AM194" s="22"/>
      <c r="AN194" s="22"/>
    </row>
    <row r="195" spans="1:40" x14ac:dyDescent="0.25">
      <c r="A195" s="22"/>
      <c r="B195" s="22"/>
      <c r="C195" s="22"/>
      <c r="D195" s="22"/>
      <c r="E195" s="22"/>
      <c r="F195" s="22"/>
      <c r="G195" s="22"/>
      <c r="H195" s="22"/>
      <c r="I195" s="22"/>
      <c r="J195" s="22"/>
      <c r="K195" s="22"/>
      <c r="L195" s="22"/>
      <c r="M195" s="22"/>
      <c r="N195" s="22"/>
      <c r="O195" s="22"/>
      <c r="P195" s="22"/>
      <c r="Q195" s="22"/>
      <c r="R195" s="22"/>
      <c r="S195" s="22"/>
      <c r="T195" s="22"/>
      <c r="U195" s="22"/>
      <c r="V195" s="22"/>
      <c r="W195" s="22"/>
      <c r="X195" s="22"/>
      <c r="Y195" s="22"/>
      <c r="Z195" s="22"/>
      <c r="AA195" s="22"/>
      <c r="AB195" s="22"/>
      <c r="AC195" s="22"/>
      <c r="AD195" s="22"/>
      <c r="AE195" s="22"/>
      <c r="AF195" s="22"/>
      <c r="AG195" s="22"/>
      <c r="AH195" s="22"/>
      <c r="AI195" s="22"/>
      <c r="AJ195" s="22"/>
      <c r="AK195" s="22"/>
      <c r="AL195" s="22"/>
      <c r="AM195" s="22"/>
      <c r="AN195" s="22"/>
    </row>
    <row r="196" spans="1:40" x14ac:dyDescent="0.25">
      <c r="A196" s="22"/>
      <c r="B196" s="22"/>
      <c r="C196" s="22"/>
      <c r="D196" s="22"/>
      <c r="E196" s="22"/>
      <c r="F196" s="22"/>
      <c r="G196" s="22"/>
      <c r="H196" s="22"/>
      <c r="I196" s="22"/>
      <c r="J196" s="22"/>
      <c r="K196" s="22"/>
      <c r="L196" s="22"/>
      <c r="M196" s="22"/>
      <c r="N196" s="22"/>
      <c r="O196" s="22"/>
      <c r="P196" s="22"/>
      <c r="Q196" s="22"/>
      <c r="R196" s="22"/>
      <c r="S196" s="22"/>
      <c r="T196" s="22"/>
      <c r="U196" s="22"/>
      <c r="V196" s="22"/>
      <c r="W196" s="22"/>
      <c r="X196" s="22"/>
      <c r="Y196" s="22"/>
      <c r="Z196" s="22"/>
      <c r="AA196" s="22"/>
      <c r="AB196" s="22"/>
      <c r="AC196" s="22"/>
      <c r="AD196" s="22"/>
      <c r="AE196" s="22"/>
      <c r="AF196" s="22"/>
      <c r="AG196" s="22"/>
      <c r="AH196" s="22"/>
      <c r="AI196" s="22"/>
      <c r="AJ196" s="22"/>
      <c r="AK196" s="22"/>
      <c r="AL196" s="22"/>
      <c r="AM196" s="22"/>
      <c r="AN196" s="22"/>
    </row>
    <row r="197" spans="1:40" x14ac:dyDescent="0.25">
      <c r="A197" s="22"/>
      <c r="B197" s="22"/>
      <c r="C197" s="22"/>
      <c r="D197" s="22"/>
      <c r="E197" s="22"/>
      <c r="F197" s="22"/>
      <c r="G197" s="22"/>
      <c r="H197" s="22"/>
      <c r="I197" s="22"/>
      <c r="J197" s="22"/>
      <c r="K197" s="22"/>
      <c r="L197" s="22"/>
      <c r="M197" s="22"/>
      <c r="N197" s="22"/>
      <c r="O197" s="22"/>
      <c r="P197" s="22"/>
      <c r="Q197" s="22"/>
      <c r="R197" s="22"/>
      <c r="S197" s="22"/>
      <c r="T197" s="22"/>
      <c r="U197" s="22"/>
      <c r="V197" s="22"/>
      <c r="W197" s="22"/>
      <c r="X197" s="22"/>
      <c r="Y197" s="22"/>
      <c r="Z197" s="22"/>
      <c r="AA197" s="22"/>
      <c r="AB197" s="22"/>
      <c r="AC197" s="22"/>
      <c r="AD197" s="22"/>
      <c r="AE197" s="22"/>
      <c r="AF197" s="22"/>
      <c r="AG197" s="22"/>
      <c r="AH197" s="22"/>
      <c r="AI197" s="22"/>
      <c r="AJ197" s="22"/>
      <c r="AK197" s="22"/>
      <c r="AL197" s="22"/>
      <c r="AM197" s="22"/>
      <c r="AN197" s="22"/>
    </row>
    <row r="198" spans="1:40" x14ac:dyDescent="0.25">
      <c r="A198" s="22"/>
      <c r="B198" s="22"/>
      <c r="C198" s="22"/>
      <c r="D198" s="22"/>
      <c r="E198" s="22"/>
      <c r="F198" s="22"/>
      <c r="G198" s="22"/>
      <c r="H198" s="22"/>
      <c r="I198" s="22"/>
      <c r="J198" s="22"/>
      <c r="K198" s="22"/>
      <c r="L198" s="22"/>
      <c r="M198" s="22"/>
      <c r="N198" s="22"/>
      <c r="O198" s="22"/>
      <c r="P198" s="22"/>
      <c r="Q198" s="22"/>
      <c r="R198" s="22"/>
      <c r="S198" s="22"/>
      <c r="T198" s="22"/>
      <c r="U198" s="22"/>
      <c r="V198" s="22"/>
      <c r="W198" s="22"/>
      <c r="X198" s="22"/>
      <c r="Y198" s="22"/>
      <c r="Z198" s="22"/>
      <c r="AA198" s="22"/>
      <c r="AB198" s="22"/>
      <c r="AC198" s="22"/>
      <c r="AD198" s="22"/>
      <c r="AE198" s="22"/>
      <c r="AF198" s="22"/>
      <c r="AG198" s="22"/>
      <c r="AH198" s="22"/>
      <c r="AI198" s="22"/>
      <c r="AJ198" s="22"/>
      <c r="AK198" s="22"/>
      <c r="AL198" s="22"/>
      <c r="AM198" s="22"/>
      <c r="AN198" s="22"/>
    </row>
    <row r="199" spans="1:40" x14ac:dyDescent="0.25">
      <c r="A199" s="22"/>
      <c r="B199" s="22"/>
      <c r="C199" s="22"/>
      <c r="D199" s="22"/>
      <c r="E199" s="22"/>
      <c r="F199" s="22"/>
      <c r="G199" s="22"/>
      <c r="H199" s="22"/>
      <c r="I199" s="22"/>
      <c r="J199" s="22"/>
      <c r="K199" s="22"/>
      <c r="L199" s="22"/>
      <c r="M199" s="22"/>
      <c r="N199" s="22"/>
      <c r="O199" s="22"/>
      <c r="P199" s="22"/>
      <c r="Q199" s="22"/>
      <c r="R199" s="22"/>
      <c r="S199" s="22"/>
      <c r="T199" s="22"/>
      <c r="U199" s="22"/>
      <c r="V199" s="22"/>
      <c r="W199" s="22"/>
      <c r="X199" s="22"/>
      <c r="Y199" s="22"/>
      <c r="Z199" s="22"/>
      <c r="AA199" s="22"/>
      <c r="AB199" s="22"/>
      <c r="AC199" s="22"/>
      <c r="AD199" s="22"/>
      <c r="AE199" s="22"/>
      <c r="AF199" s="22"/>
      <c r="AG199" s="22"/>
      <c r="AH199" s="22"/>
      <c r="AI199" s="22"/>
      <c r="AJ199" s="22"/>
      <c r="AK199" s="22"/>
      <c r="AL199" s="22"/>
      <c r="AM199" s="22"/>
      <c r="AN199" s="22"/>
    </row>
    <row r="200" spans="1:40" x14ac:dyDescent="0.25">
      <c r="A200" s="22"/>
      <c r="B200" s="22"/>
      <c r="C200" s="22"/>
      <c r="D200" s="22"/>
      <c r="E200" s="22"/>
      <c r="F200" s="22"/>
      <c r="G200" s="22"/>
      <c r="H200" s="22"/>
      <c r="I200" s="22"/>
      <c r="J200" s="22"/>
      <c r="K200" s="22"/>
      <c r="L200" s="22"/>
      <c r="M200" s="22"/>
      <c r="N200" s="22"/>
      <c r="O200" s="22"/>
      <c r="P200" s="22"/>
      <c r="Q200" s="22"/>
      <c r="R200" s="22"/>
      <c r="S200" s="22"/>
      <c r="T200" s="22"/>
      <c r="U200" s="22"/>
      <c r="V200" s="22"/>
      <c r="W200" s="22"/>
      <c r="X200" s="22"/>
      <c r="Y200" s="22"/>
      <c r="Z200" s="22"/>
      <c r="AA200" s="22"/>
      <c r="AB200" s="22"/>
      <c r="AC200" s="22"/>
      <c r="AD200" s="22"/>
      <c r="AE200" s="22"/>
      <c r="AF200" s="22"/>
      <c r="AG200" s="22"/>
      <c r="AH200" s="22"/>
      <c r="AI200" s="22"/>
      <c r="AJ200" s="22"/>
      <c r="AK200" s="22"/>
      <c r="AL200" s="22"/>
      <c r="AM200" s="22"/>
      <c r="AN200" s="22"/>
    </row>
    <row r="201" spans="1:40" x14ac:dyDescent="0.25">
      <c r="A201" s="22"/>
      <c r="B201" s="22"/>
      <c r="C201" s="22"/>
      <c r="D201" s="22"/>
      <c r="E201" s="22"/>
      <c r="F201" s="22"/>
      <c r="G201" s="22"/>
      <c r="H201" s="22"/>
      <c r="I201" s="22"/>
      <c r="J201" s="22"/>
      <c r="K201" s="22"/>
      <c r="L201" s="22"/>
      <c r="M201" s="22"/>
      <c r="N201" s="22"/>
      <c r="O201" s="22"/>
      <c r="P201" s="22"/>
      <c r="Q201" s="22"/>
      <c r="R201" s="22"/>
      <c r="S201" s="22"/>
      <c r="T201" s="22"/>
      <c r="U201" s="22"/>
      <c r="V201" s="22"/>
      <c r="W201" s="22"/>
      <c r="X201" s="22"/>
      <c r="Y201" s="22"/>
      <c r="Z201" s="22"/>
      <c r="AA201" s="22"/>
      <c r="AB201" s="22"/>
      <c r="AC201" s="22"/>
      <c r="AD201" s="22"/>
      <c r="AE201" s="22"/>
      <c r="AF201" s="22"/>
      <c r="AG201" s="22"/>
      <c r="AH201" s="22"/>
      <c r="AI201" s="22"/>
      <c r="AJ201" s="22"/>
      <c r="AK201" s="22"/>
      <c r="AL201" s="22"/>
      <c r="AM201" s="22"/>
      <c r="AN201" s="22"/>
    </row>
    <row r="202" spans="1:40" x14ac:dyDescent="0.25">
      <c r="A202" s="22"/>
      <c r="B202" s="22"/>
      <c r="C202" s="22"/>
      <c r="D202" s="22"/>
      <c r="E202" s="22"/>
      <c r="F202" s="22"/>
      <c r="G202" s="22"/>
      <c r="H202" s="22"/>
      <c r="I202" s="22"/>
      <c r="J202" s="22"/>
      <c r="K202" s="22"/>
      <c r="L202" s="22"/>
      <c r="M202" s="22"/>
      <c r="N202" s="22"/>
      <c r="O202" s="22"/>
      <c r="P202" s="22"/>
      <c r="Q202" s="22"/>
      <c r="R202" s="22"/>
      <c r="S202" s="22"/>
      <c r="T202" s="22"/>
      <c r="U202" s="22"/>
      <c r="V202" s="22"/>
      <c r="W202" s="22"/>
      <c r="X202" s="22"/>
      <c r="Y202" s="22"/>
      <c r="Z202" s="22"/>
      <c r="AA202" s="22"/>
      <c r="AB202" s="22"/>
      <c r="AC202" s="22"/>
      <c r="AD202" s="22"/>
      <c r="AE202" s="22"/>
      <c r="AF202" s="22"/>
      <c r="AG202" s="22"/>
      <c r="AH202" s="22"/>
      <c r="AI202" s="22"/>
      <c r="AJ202" s="22"/>
      <c r="AK202" s="22"/>
      <c r="AL202" s="22"/>
      <c r="AM202" s="22"/>
      <c r="AN202" s="22"/>
    </row>
    <row r="203" spans="1:40" x14ac:dyDescent="0.25">
      <c r="A203" s="22"/>
      <c r="B203" s="22"/>
      <c r="C203" s="22"/>
      <c r="D203" s="22"/>
      <c r="E203" s="22"/>
      <c r="F203" s="22"/>
      <c r="G203" s="22"/>
      <c r="H203" s="22"/>
      <c r="I203" s="22"/>
      <c r="J203" s="22"/>
      <c r="K203" s="22"/>
      <c r="L203" s="22"/>
      <c r="M203" s="22"/>
      <c r="N203" s="22"/>
      <c r="O203" s="22"/>
      <c r="P203" s="22"/>
      <c r="Q203" s="22"/>
      <c r="R203" s="22"/>
      <c r="S203" s="22"/>
      <c r="T203" s="22"/>
      <c r="U203" s="22"/>
      <c r="V203" s="22"/>
      <c r="W203" s="22"/>
      <c r="X203" s="22"/>
      <c r="Y203" s="22"/>
      <c r="Z203" s="22"/>
      <c r="AA203" s="22"/>
      <c r="AB203" s="22"/>
      <c r="AC203" s="22"/>
      <c r="AD203" s="22"/>
      <c r="AE203" s="22"/>
      <c r="AF203" s="22"/>
      <c r="AG203" s="22"/>
      <c r="AH203" s="22"/>
      <c r="AI203" s="22"/>
      <c r="AJ203" s="22"/>
      <c r="AK203" s="22"/>
      <c r="AL203" s="22"/>
      <c r="AM203" s="22"/>
      <c r="AN203" s="22"/>
    </row>
    <row r="204" spans="1:40" x14ac:dyDescent="0.25">
      <c r="A204" s="22"/>
      <c r="B204" s="22"/>
      <c r="C204" s="22"/>
      <c r="D204" s="22"/>
      <c r="E204" s="22"/>
      <c r="F204" s="22"/>
      <c r="G204" s="22"/>
      <c r="H204" s="22"/>
      <c r="I204" s="22"/>
      <c r="J204" s="22"/>
      <c r="K204" s="22"/>
      <c r="L204" s="22"/>
      <c r="M204" s="22"/>
      <c r="N204" s="22"/>
      <c r="O204" s="22"/>
      <c r="P204" s="22"/>
      <c r="Q204" s="22"/>
      <c r="R204" s="22"/>
      <c r="S204" s="22"/>
      <c r="T204" s="22"/>
      <c r="U204" s="22"/>
      <c r="V204" s="22"/>
      <c r="W204" s="22"/>
      <c r="X204" s="22"/>
      <c r="Y204" s="22"/>
      <c r="Z204" s="22"/>
      <c r="AA204" s="22"/>
      <c r="AB204" s="22"/>
      <c r="AC204" s="22"/>
      <c r="AD204" s="22"/>
      <c r="AE204" s="22"/>
      <c r="AF204" s="22"/>
      <c r="AG204" s="22"/>
      <c r="AH204" s="22"/>
      <c r="AI204" s="22"/>
      <c r="AJ204" s="22"/>
      <c r="AK204" s="22"/>
      <c r="AL204" s="22"/>
      <c r="AM204" s="22"/>
      <c r="AN204" s="22"/>
    </row>
    <row r="205" spans="1:40" x14ac:dyDescent="0.25">
      <c r="A205" s="22"/>
      <c r="B205" s="22"/>
      <c r="C205" s="22"/>
      <c r="D205" s="22"/>
      <c r="E205" s="22"/>
      <c r="F205" s="22"/>
      <c r="G205" s="22"/>
      <c r="H205" s="22"/>
      <c r="I205" s="22"/>
      <c r="J205" s="22"/>
      <c r="K205" s="22"/>
      <c r="L205" s="22"/>
      <c r="M205" s="22"/>
      <c r="N205" s="22"/>
      <c r="O205" s="22"/>
      <c r="P205" s="22"/>
      <c r="Q205" s="22"/>
      <c r="R205" s="22"/>
      <c r="S205" s="22"/>
      <c r="T205" s="22"/>
      <c r="U205" s="22"/>
      <c r="V205" s="22"/>
      <c r="W205" s="22"/>
      <c r="X205" s="22"/>
      <c r="Y205" s="22"/>
      <c r="Z205" s="22"/>
      <c r="AA205" s="22"/>
      <c r="AB205" s="22"/>
      <c r="AC205" s="22"/>
      <c r="AD205" s="22"/>
      <c r="AE205" s="22"/>
      <c r="AF205" s="22"/>
      <c r="AG205" s="22"/>
      <c r="AH205" s="22"/>
      <c r="AI205" s="22"/>
      <c r="AJ205" s="22"/>
      <c r="AK205" s="22"/>
      <c r="AL205" s="22"/>
      <c r="AM205" s="22"/>
      <c r="AN205" s="22"/>
    </row>
    <row r="206" spans="1:40" x14ac:dyDescent="0.25">
      <c r="A206" s="22"/>
      <c r="B206" s="22"/>
      <c r="C206" s="22"/>
      <c r="D206" s="22"/>
      <c r="E206" s="22"/>
      <c r="F206" s="22"/>
      <c r="G206" s="22"/>
      <c r="H206" s="22"/>
      <c r="I206" s="22"/>
      <c r="J206" s="22"/>
      <c r="K206" s="22"/>
      <c r="L206" s="22"/>
      <c r="M206" s="22"/>
      <c r="N206" s="22"/>
      <c r="O206" s="22"/>
      <c r="P206" s="22"/>
      <c r="Q206" s="22"/>
      <c r="R206" s="22"/>
      <c r="S206" s="22"/>
      <c r="T206" s="22"/>
      <c r="U206" s="22"/>
      <c r="V206" s="22"/>
      <c r="W206" s="22"/>
      <c r="X206" s="22"/>
      <c r="Y206" s="22"/>
      <c r="Z206" s="22"/>
      <c r="AA206" s="22"/>
      <c r="AB206" s="22"/>
      <c r="AC206" s="22"/>
      <c r="AD206" s="22"/>
      <c r="AE206" s="22"/>
      <c r="AF206" s="22"/>
      <c r="AG206" s="22"/>
      <c r="AH206" s="22"/>
      <c r="AI206" s="22"/>
      <c r="AJ206" s="22"/>
      <c r="AK206" s="22"/>
      <c r="AL206" s="22"/>
      <c r="AM206" s="22"/>
      <c r="AN206" s="22"/>
    </row>
    <row r="207" spans="1:40" x14ac:dyDescent="0.25">
      <c r="A207" s="22"/>
      <c r="B207" s="22"/>
      <c r="C207" s="22"/>
      <c r="D207" s="22"/>
      <c r="E207" s="22"/>
      <c r="F207" s="22"/>
      <c r="G207" s="22"/>
      <c r="H207" s="22"/>
      <c r="I207" s="22"/>
      <c r="J207" s="22"/>
      <c r="K207" s="22"/>
      <c r="L207" s="22"/>
      <c r="M207" s="22"/>
      <c r="N207" s="22"/>
      <c r="O207" s="22"/>
      <c r="P207" s="22"/>
      <c r="Q207" s="22"/>
      <c r="R207" s="22"/>
      <c r="S207" s="22"/>
      <c r="T207" s="22"/>
      <c r="U207" s="22"/>
      <c r="V207" s="22"/>
      <c r="W207" s="22"/>
      <c r="X207" s="22"/>
      <c r="Y207" s="22"/>
      <c r="Z207" s="22"/>
      <c r="AA207" s="22"/>
      <c r="AB207" s="22"/>
      <c r="AC207" s="22"/>
      <c r="AD207" s="22"/>
      <c r="AE207" s="22"/>
      <c r="AF207" s="22"/>
      <c r="AG207" s="22"/>
      <c r="AH207" s="22"/>
      <c r="AI207" s="22"/>
      <c r="AJ207" s="22"/>
      <c r="AK207" s="22"/>
      <c r="AL207" s="22"/>
      <c r="AM207" s="22"/>
      <c r="AN207" s="22"/>
    </row>
    <row r="208" spans="1:40" x14ac:dyDescent="0.25">
      <c r="A208" s="22"/>
      <c r="B208" s="22"/>
      <c r="C208" s="22"/>
      <c r="D208" s="22"/>
      <c r="E208" s="22"/>
      <c r="F208" s="22"/>
      <c r="G208" s="22"/>
      <c r="H208" s="22"/>
      <c r="I208" s="22"/>
      <c r="J208" s="22"/>
      <c r="K208" s="22"/>
      <c r="L208" s="22"/>
      <c r="M208" s="22"/>
      <c r="N208" s="22"/>
      <c r="O208" s="22"/>
      <c r="P208" s="22"/>
      <c r="Q208" s="22"/>
      <c r="R208" s="22"/>
      <c r="S208" s="22"/>
      <c r="T208" s="22"/>
      <c r="U208" s="22"/>
      <c r="V208" s="22"/>
      <c r="W208" s="22"/>
      <c r="X208" s="22"/>
      <c r="Y208" s="22"/>
      <c r="Z208" s="22"/>
      <c r="AA208" s="22"/>
      <c r="AB208" s="22"/>
      <c r="AC208" s="22"/>
      <c r="AD208" s="22"/>
      <c r="AE208" s="22"/>
      <c r="AF208" s="22"/>
      <c r="AG208" s="22"/>
      <c r="AH208" s="22"/>
      <c r="AI208" s="22"/>
      <c r="AJ208" s="22"/>
      <c r="AK208" s="22"/>
      <c r="AL208" s="22"/>
      <c r="AM208" s="22"/>
      <c r="AN208" s="22"/>
    </row>
    <row r="209" spans="1:40" x14ac:dyDescent="0.25">
      <c r="A209" s="22"/>
      <c r="B209" s="22"/>
      <c r="C209" s="22"/>
      <c r="D209" s="22"/>
      <c r="E209" s="22"/>
      <c r="F209" s="22"/>
      <c r="G209" s="22"/>
      <c r="H209" s="22"/>
      <c r="I209" s="22"/>
      <c r="J209" s="22"/>
      <c r="K209" s="22"/>
      <c r="L209" s="22"/>
      <c r="M209" s="22"/>
      <c r="N209" s="22"/>
      <c r="O209" s="22"/>
      <c r="P209" s="22"/>
      <c r="Q209" s="22"/>
      <c r="R209" s="22"/>
      <c r="S209" s="22"/>
      <c r="T209" s="22"/>
      <c r="U209" s="22"/>
      <c r="V209" s="22"/>
      <c r="W209" s="22"/>
      <c r="X209" s="22"/>
      <c r="Y209" s="22"/>
      <c r="Z209" s="22"/>
      <c r="AA209" s="22"/>
      <c r="AB209" s="22"/>
      <c r="AC209" s="22"/>
      <c r="AD209" s="22"/>
      <c r="AE209" s="22"/>
      <c r="AF209" s="22"/>
      <c r="AG209" s="22"/>
      <c r="AH209" s="22"/>
      <c r="AI209" s="22"/>
      <c r="AJ209" s="22"/>
      <c r="AK209" s="22"/>
      <c r="AL209" s="22"/>
      <c r="AM209" s="22"/>
      <c r="AN209" s="22"/>
    </row>
    <row r="210" spans="1:40" x14ac:dyDescent="0.25">
      <c r="A210" s="22"/>
      <c r="B210" s="22"/>
      <c r="C210" s="22"/>
      <c r="D210" s="22"/>
      <c r="E210" s="22"/>
      <c r="F210" s="22"/>
      <c r="G210" s="22"/>
      <c r="H210" s="22"/>
      <c r="I210" s="22"/>
      <c r="J210" s="22"/>
      <c r="K210" s="22"/>
      <c r="L210" s="22"/>
      <c r="M210" s="22"/>
      <c r="N210" s="22"/>
      <c r="O210" s="22"/>
      <c r="P210" s="22"/>
      <c r="Q210" s="22"/>
      <c r="R210" s="22"/>
      <c r="S210" s="22"/>
      <c r="T210" s="22"/>
      <c r="U210" s="22"/>
      <c r="V210" s="22"/>
      <c r="W210" s="22"/>
      <c r="X210" s="22"/>
      <c r="Y210" s="22"/>
      <c r="Z210" s="22"/>
      <c r="AA210" s="22"/>
      <c r="AB210" s="22"/>
      <c r="AC210" s="22"/>
      <c r="AD210" s="22"/>
      <c r="AE210" s="22"/>
      <c r="AF210" s="22"/>
      <c r="AG210" s="22"/>
      <c r="AH210" s="22"/>
      <c r="AI210" s="22"/>
      <c r="AJ210" s="22"/>
      <c r="AK210" s="22"/>
      <c r="AL210" s="22"/>
      <c r="AM210" s="22"/>
      <c r="AN210" s="22"/>
    </row>
    <row r="211" spans="1:40" x14ac:dyDescent="0.25">
      <c r="A211" s="22"/>
      <c r="B211" s="22"/>
      <c r="C211" s="22"/>
      <c r="D211" s="22"/>
      <c r="E211" s="22"/>
      <c r="F211" s="22"/>
      <c r="G211" s="22"/>
      <c r="H211" s="22"/>
      <c r="I211" s="22"/>
      <c r="J211" s="22"/>
      <c r="K211" s="22"/>
      <c r="L211" s="22"/>
      <c r="M211" s="22"/>
      <c r="N211" s="22"/>
      <c r="O211" s="22"/>
      <c r="P211" s="22"/>
      <c r="Q211" s="22"/>
      <c r="R211" s="22"/>
      <c r="S211" s="22"/>
      <c r="T211" s="22"/>
      <c r="U211" s="22"/>
      <c r="V211" s="22"/>
      <c r="W211" s="22"/>
      <c r="X211" s="22"/>
      <c r="Y211" s="22"/>
      <c r="Z211" s="22"/>
      <c r="AA211" s="22"/>
      <c r="AB211" s="22"/>
      <c r="AC211" s="22"/>
      <c r="AD211" s="22"/>
      <c r="AE211" s="22"/>
      <c r="AF211" s="22"/>
      <c r="AG211" s="22"/>
      <c r="AH211" s="22"/>
      <c r="AI211" s="22"/>
      <c r="AJ211" s="22"/>
      <c r="AK211" s="22"/>
      <c r="AL211" s="22"/>
      <c r="AM211" s="22"/>
      <c r="AN211" s="22"/>
    </row>
    <row r="212" spans="1:40" x14ac:dyDescent="0.25">
      <c r="A212" s="22"/>
      <c r="B212" s="22"/>
      <c r="C212" s="22"/>
      <c r="D212" s="22"/>
      <c r="E212" s="22"/>
      <c r="F212" s="22"/>
      <c r="G212" s="22"/>
      <c r="H212" s="22"/>
      <c r="I212" s="22"/>
      <c r="J212" s="22"/>
      <c r="K212" s="22"/>
      <c r="L212" s="22"/>
      <c r="M212" s="22"/>
      <c r="N212" s="22"/>
      <c r="O212" s="22"/>
      <c r="P212" s="22"/>
      <c r="Q212" s="22"/>
      <c r="R212" s="22"/>
      <c r="S212" s="22"/>
      <c r="T212" s="22"/>
      <c r="U212" s="22"/>
      <c r="V212" s="22"/>
      <c r="W212" s="22"/>
      <c r="X212" s="22"/>
      <c r="Y212" s="22"/>
      <c r="Z212" s="22"/>
      <c r="AA212" s="22"/>
      <c r="AB212" s="22"/>
      <c r="AC212" s="22"/>
      <c r="AD212" s="22"/>
      <c r="AE212" s="22"/>
      <c r="AF212" s="22"/>
      <c r="AG212" s="22"/>
      <c r="AH212" s="22"/>
      <c r="AI212" s="22"/>
      <c r="AJ212" s="22"/>
      <c r="AK212" s="22"/>
      <c r="AL212" s="22"/>
      <c r="AM212" s="22"/>
      <c r="AN212" s="22"/>
    </row>
    <row r="213" spans="1:40" x14ac:dyDescent="0.25">
      <c r="A213" s="22"/>
      <c r="B213" s="22"/>
      <c r="C213" s="22"/>
      <c r="D213" s="22"/>
      <c r="E213" s="22"/>
      <c r="F213" s="22"/>
      <c r="G213" s="22"/>
      <c r="H213" s="22"/>
      <c r="I213" s="22"/>
      <c r="J213" s="22"/>
      <c r="K213" s="22"/>
      <c r="L213" s="22"/>
      <c r="M213" s="22"/>
      <c r="N213" s="22"/>
      <c r="O213" s="22"/>
      <c r="P213" s="22"/>
      <c r="Q213" s="22"/>
      <c r="R213" s="22"/>
      <c r="S213" s="22"/>
      <c r="T213" s="22"/>
      <c r="U213" s="22"/>
      <c r="V213" s="22"/>
      <c r="W213" s="22"/>
      <c r="X213" s="22"/>
      <c r="Y213" s="22"/>
      <c r="Z213" s="22"/>
      <c r="AA213" s="22"/>
      <c r="AB213" s="22"/>
      <c r="AC213" s="22"/>
      <c r="AD213" s="22"/>
      <c r="AE213" s="22"/>
      <c r="AF213" s="22"/>
      <c r="AG213" s="22"/>
      <c r="AH213" s="22"/>
      <c r="AI213" s="22"/>
      <c r="AJ213" s="22"/>
      <c r="AK213" s="22"/>
      <c r="AL213" s="22"/>
      <c r="AM213" s="22"/>
      <c r="AN213" s="22"/>
    </row>
    <row r="214" spans="1:40" x14ac:dyDescent="0.25">
      <c r="A214" s="22"/>
      <c r="B214" s="22"/>
      <c r="C214" s="22"/>
      <c r="D214" s="22"/>
      <c r="E214" s="22"/>
      <c r="F214" s="22"/>
      <c r="G214" s="22"/>
      <c r="H214" s="22"/>
      <c r="I214" s="22"/>
      <c r="J214" s="22"/>
      <c r="K214" s="22"/>
      <c r="L214" s="22"/>
      <c r="M214" s="22"/>
      <c r="N214" s="22"/>
      <c r="O214" s="22"/>
      <c r="P214" s="22"/>
      <c r="Q214" s="22"/>
      <c r="R214" s="22"/>
      <c r="S214" s="22"/>
      <c r="T214" s="22"/>
      <c r="U214" s="22"/>
      <c r="V214" s="22"/>
      <c r="W214" s="22"/>
      <c r="X214" s="22"/>
      <c r="Y214" s="22"/>
      <c r="Z214" s="22"/>
      <c r="AA214" s="22"/>
      <c r="AB214" s="22"/>
      <c r="AC214" s="22"/>
      <c r="AD214" s="22"/>
      <c r="AE214" s="22"/>
      <c r="AF214" s="22"/>
      <c r="AG214" s="22"/>
      <c r="AH214" s="22"/>
      <c r="AI214" s="22"/>
      <c r="AJ214" s="22"/>
      <c r="AK214" s="22"/>
      <c r="AL214" s="22"/>
      <c r="AM214" s="22"/>
      <c r="AN214" s="22"/>
    </row>
    <row r="215" spans="1:40" x14ac:dyDescent="0.25">
      <c r="A215" s="22"/>
      <c r="B215" s="22"/>
      <c r="C215" s="22"/>
      <c r="D215" s="22"/>
      <c r="E215" s="22"/>
      <c r="F215" s="22"/>
      <c r="G215" s="22"/>
      <c r="H215" s="22"/>
      <c r="I215" s="22"/>
      <c r="J215" s="22"/>
      <c r="K215" s="22"/>
      <c r="L215" s="22"/>
      <c r="M215" s="22"/>
      <c r="N215" s="22"/>
      <c r="O215" s="22"/>
      <c r="P215" s="22"/>
      <c r="Q215" s="22"/>
      <c r="R215" s="22"/>
      <c r="S215" s="22"/>
      <c r="T215" s="22"/>
      <c r="U215" s="22"/>
      <c r="V215" s="22"/>
      <c r="W215" s="22"/>
      <c r="X215" s="22"/>
      <c r="Y215" s="22"/>
      <c r="Z215" s="22"/>
      <c r="AA215" s="22"/>
      <c r="AB215" s="22"/>
      <c r="AC215" s="22"/>
      <c r="AD215" s="22"/>
      <c r="AE215" s="22"/>
      <c r="AF215" s="22"/>
      <c r="AG215" s="22"/>
      <c r="AH215" s="22"/>
      <c r="AI215" s="22"/>
      <c r="AJ215" s="22"/>
      <c r="AK215" s="22"/>
      <c r="AL215" s="22"/>
      <c r="AM215" s="22"/>
      <c r="AN215" s="22"/>
    </row>
    <row r="216" spans="1:40" x14ac:dyDescent="0.25">
      <c r="A216" s="22"/>
      <c r="B216" s="22"/>
      <c r="C216" s="22"/>
      <c r="D216" s="22"/>
      <c r="E216" s="22"/>
      <c r="F216" s="22"/>
      <c r="G216" s="22"/>
      <c r="H216" s="22"/>
      <c r="I216" s="22"/>
      <c r="J216" s="22"/>
      <c r="K216" s="22"/>
      <c r="L216" s="22"/>
      <c r="M216" s="22"/>
      <c r="N216" s="22"/>
      <c r="O216" s="22"/>
      <c r="P216" s="22"/>
      <c r="Q216" s="22"/>
      <c r="R216" s="22"/>
      <c r="S216" s="22"/>
      <c r="T216" s="22"/>
      <c r="U216" s="22"/>
      <c r="V216" s="22"/>
      <c r="W216" s="22"/>
      <c r="X216" s="22"/>
      <c r="Y216" s="22"/>
      <c r="Z216" s="22"/>
      <c r="AA216" s="22"/>
      <c r="AB216" s="22"/>
      <c r="AC216" s="22"/>
      <c r="AD216" s="22"/>
      <c r="AE216" s="22"/>
      <c r="AF216" s="22"/>
      <c r="AG216" s="22"/>
      <c r="AH216" s="22"/>
      <c r="AI216" s="22"/>
      <c r="AJ216" s="22"/>
      <c r="AK216" s="22"/>
      <c r="AL216" s="22"/>
      <c r="AM216" s="22"/>
      <c r="AN216" s="22"/>
    </row>
    <row r="217" spans="1:40" x14ac:dyDescent="0.25">
      <c r="A217" s="22"/>
      <c r="B217" s="22"/>
      <c r="C217" s="22"/>
      <c r="D217" s="22"/>
      <c r="E217" s="22"/>
      <c r="F217" s="22"/>
      <c r="G217" s="22"/>
      <c r="H217" s="22"/>
      <c r="I217" s="22"/>
      <c r="J217" s="22"/>
      <c r="K217" s="22"/>
      <c r="L217" s="22"/>
      <c r="M217" s="22"/>
      <c r="N217" s="22"/>
      <c r="O217" s="22"/>
      <c r="P217" s="22"/>
      <c r="Q217" s="22"/>
      <c r="R217" s="22"/>
      <c r="S217" s="22"/>
      <c r="T217" s="22"/>
      <c r="U217" s="22"/>
      <c r="V217" s="22"/>
      <c r="W217" s="22"/>
      <c r="X217" s="22"/>
      <c r="Y217" s="22"/>
      <c r="Z217" s="22"/>
      <c r="AA217" s="22"/>
      <c r="AB217" s="22"/>
      <c r="AC217" s="22"/>
      <c r="AD217" s="22"/>
      <c r="AE217" s="22"/>
      <c r="AF217" s="22"/>
      <c r="AG217" s="22"/>
      <c r="AH217" s="22"/>
      <c r="AI217" s="22"/>
      <c r="AJ217" s="22"/>
      <c r="AK217" s="22"/>
      <c r="AL217" s="22"/>
      <c r="AM217" s="22"/>
      <c r="AN217" s="22"/>
    </row>
    <row r="218" spans="1:40" x14ac:dyDescent="0.25">
      <c r="A218" s="22"/>
      <c r="B218" s="22"/>
      <c r="C218" s="22"/>
      <c r="D218" s="22"/>
      <c r="E218" s="22"/>
      <c r="F218" s="22"/>
      <c r="G218" s="22"/>
      <c r="H218" s="22"/>
      <c r="I218" s="22"/>
      <c r="J218" s="22"/>
      <c r="K218" s="22"/>
      <c r="L218" s="22"/>
      <c r="M218" s="22"/>
      <c r="N218" s="22"/>
      <c r="O218" s="22"/>
      <c r="P218" s="22"/>
      <c r="Q218" s="22"/>
      <c r="R218" s="22"/>
      <c r="S218" s="22"/>
      <c r="T218" s="22"/>
      <c r="U218" s="22"/>
      <c r="V218" s="22"/>
      <c r="W218" s="22"/>
      <c r="X218" s="22"/>
      <c r="Y218" s="22"/>
      <c r="Z218" s="22"/>
      <c r="AA218" s="22"/>
      <c r="AB218" s="22"/>
      <c r="AC218" s="22"/>
      <c r="AD218" s="22"/>
      <c r="AE218" s="22"/>
      <c r="AF218" s="22"/>
      <c r="AG218" s="22"/>
      <c r="AH218" s="22"/>
      <c r="AI218" s="22"/>
      <c r="AJ218" s="22"/>
      <c r="AK218" s="22"/>
      <c r="AL218" s="22"/>
      <c r="AM218" s="22"/>
      <c r="AN218" s="22"/>
    </row>
    <row r="219" spans="1:40" x14ac:dyDescent="0.25">
      <c r="A219" s="22"/>
      <c r="B219" s="22"/>
      <c r="C219" s="22"/>
      <c r="D219" s="22"/>
      <c r="E219" s="22"/>
      <c r="F219" s="22"/>
      <c r="G219" s="22"/>
      <c r="H219" s="22"/>
      <c r="I219" s="22"/>
      <c r="J219" s="22"/>
      <c r="K219" s="22"/>
      <c r="L219" s="22"/>
      <c r="M219" s="22"/>
      <c r="N219" s="22"/>
      <c r="O219" s="22"/>
      <c r="P219" s="22"/>
      <c r="Q219" s="22"/>
      <c r="R219" s="22"/>
      <c r="S219" s="22"/>
      <c r="T219" s="22"/>
      <c r="U219" s="22"/>
      <c r="V219" s="22"/>
      <c r="W219" s="22"/>
      <c r="X219" s="22"/>
      <c r="Y219" s="22"/>
      <c r="Z219" s="22"/>
      <c r="AA219" s="22"/>
      <c r="AB219" s="22"/>
      <c r="AC219" s="22"/>
      <c r="AD219" s="22"/>
      <c r="AE219" s="22"/>
      <c r="AF219" s="22"/>
      <c r="AG219" s="22"/>
      <c r="AH219" s="22"/>
      <c r="AI219" s="22"/>
      <c r="AJ219" s="22"/>
      <c r="AK219" s="22"/>
      <c r="AL219" s="22"/>
      <c r="AM219" s="22"/>
      <c r="AN219" s="22"/>
    </row>
    <row r="220" spans="1:40" x14ac:dyDescent="0.25">
      <c r="A220" s="22"/>
      <c r="B220" s="22"/>
      <c r="C220" s="22"/>
      <c r="D220" s="22"/>
      <c r="E220" s="22"/>
      <c r="F220" s="22"/>
      <c r="G220" s="22"/>
      <c r="H220" s="22"/>
      <c r="I220" s="22"/>
      <c r="J220" s="22"/>
      <c r="K220" s="22"/>
      <c r="L220" s="22"/>
      <c r="M220" s="22"/>
      <c r="N220" s="22"/>
      <c r="O220" s="22"/>
      <c r="P220" s="22"/>
      <c r="Q220" s="22"/>
      <c r="R220" s="22"/>
      <c r="S220" s="22"/>
      <c r="T220" s="22"/>
      <c r="U220" s="22"/>
      <c r="V220" s="22"/>
      <c r="W220" s="22"/>
      <c r="X220" s="22"/>
      <c r="Y220" s="22"/>
      <c r="Z220" s="22"/>
      <c r="AA220" s="22"/>
      <c r="AB220" s="22"/>
      <c r="AC220" s="22"/>
      <c r="AD220" s="22"/>
      <c r="AE220" s="22"/>
      <c r="AF220" s="22"/>
      <c r="AG220" s="22"/>
      <c r="AH220" s="22"/>
      <c r="AI220" s="22"/>
      <c r="AJ220" s="22"/>
      <c r="AK220" s="22"/>
      <c r="AL220" s="22"/>
      <c r="AM220" s="22"/>
      <c r="AN220" s="22"/>
    </row>
    <row r="221" spans="1:40" x14ac:dyDescent="0.25">
      <c r="A221" s="22"/>
      <c r="B221" s="22"/>
      <c r="C221" s="22"/>
      <c r="D221" s="22"/>
      <c r="E221" s="22"/>
      <c r="F221" s="22"/>
      <c r="G221" s="22"/>
      <c r="H221" s="22"/>
      <c r="I221" s="22"/>
      <c r="J221" s="22"/>
      <c r="K221" s="22"/>
      <c r="L221" s="22"/>
      <c r="M221" s="22"/>
      <c r="N221" s="22"/>
      <c r="O221" s="22"/>
      <c r="P221" s="22"/>
      <c r="Q221" s="22"/>
      <c r="R221" s="22"/>
      <c r="S221" s="22"/>
      <c r="T221" s="22"/>
      <c r="U221" s="22"/>
      <c r="V221" s="22"/>
      <c r="W221" s="22"/>
      <c r="X221" s="22"/>
      <c r="Y221" s="22"/>
      <c r="Z221" s="22"/>
      <c r="AA221" s="22"/>
      <c r="AB221" s="22"/>
      <c r="AC221" s="22"/>
      <c r="AD221" s="22"/>
      <c r="AE221" s="22"/>
      <c r="AF221" s="22"/>
      <c r="AG221" s="22"/>
      <c r="AH221" s="22"/>
      <c r="AI221" s="22"/>
      <c r="AJ221" s="22"/>
      <c r="AK221" s="22"/>
      <c r="AL221" s="22"/>
      <c r="AM221" s="22"/>
      <c r="AN221" s="22"/>
    </row>
    <row r="222" spans="1:40" x14ac:dyDescent="0.25">
      <c r="A222" s="22"/>
      <c r="B222" s="22"/>
      <c r="C222" s="22"/>
      <c r="D222" s="22"/>
      <c r="E222" s="22"/>
      <c r="F222" s="22"/>
      <c r="G222" s="22"/>
      <c r="H222" s="22"/>
      <c r="I222" s="22"/>
      <c r="J222" s="22"/>
      <c r="K222" s="22"/>
      <c r="L222" s="22"/>
      <c r="M222" s="22"/>
      <c r="N222" s="22"/>
      <c r="O222" s="22"/>
      <c r="P222" s="22"/>
      <c r="Q222" s="22"/>
      <c r="R222" s="22"/>
      <c r="S222" s="22"/>
      <c r="T222" s="22"/>
      <c r="U222" s="22"/>
      <c r="V222" s="22"/>
      <c r="W222" s="22"/>
      <c r="X222" s="22"/>
      <c r="Y222" s="22"/>
      <c r="Z222" s="22"/>
      <c r="AA222" s="22"/>
      <c r="AB222" s="22"/>
      <c r="AC222" s="22"/>
      <c r="AD222" s="22"/>
      <c r="AE222" s="22"/>
      <c r="AF222" s="22"/>
      <c r="AG222" s="22"/>
      <c r="AH222" s="22"/>
      <c r="AI222" s="22"/>
      <c r="AJ222" s="22"/>
      <c r="AK222" s="22"/>
      <c r="AL222" s="22"/>
      <c r="AM222" s="22"/>
      <c r="AN222" s="22"/>
    </row>
    <row r="223" spans="1:40" x14ac:dyDescent="0.25">
      <c r="A223" s="22"/>
      <c r="B223" s="22"/>
      <c r="C223" s="22"/>
      <c r="D223" s="22"/>
      <c r="E223" s="22"/>
      <c r="F223" s="22"/>
      <c r="G223" s="22"/>
      <c r="H223" s="22"/>
      <c r="I223" s="22"/>
      <c r="J223" s="22"/>
      <c r="K223" s="22"/>
      <c r="L223" s="22"/>
      <c r="M223" s="22"/>
      <c r="N223" s="22"/>
      <c r="O223" s="22"/>
      <c r="P223" s="22"/>
      <c r="Q223" s="22"/>
      <c r="R223" s="22"/>
      <c r="S223" s="22"/>
      <c r="T223" s="22"/>
      <c r="U223" s="22"/>
      <c r="V223" s="22"/>
      <c r="W223" s="22"/>
      <c r="X223" s="22"/>
      <c r="Y223" s="22"/>
      <c r="Z223" s="22"/>
      <c r="AA223" s="22"/>
      <c r="AB223" s="22"/>
      <c r="AC223" s="22"/>
      <c r="AD223" s="22"/>
      <c r="AE223" s="22"/>
      <c r="AF223" s="22"/>
      <c r="AG223" s="22"/>
      <c r="AH223" s="22"/>
      <c r="AI223" s="22"/>
      <c r="AJ223" s="22"/>
      <c r="AK223" s="22"/>
      <c r="AL223" s="22"/>
      <c r="AM223" s="22"/>
      <c r="AN223" s="22"/>
    </row>
    <row r="224" spans="1:40" x14ac:dyDescent="0.25">
      <c r="A224" s="22"/>
      <c r="B224" s="22"/>
      <c r="C224" s="22"/>
      <c r="D224" s="22"/>
      <c r="E224" s="22"/>
      <c r="F224" s="22"/>
      <c r="G224" s="22"/>
      <c r="H224" s="22"/>
      <c r="I224" s="22"/>
      <c r="J224" s="22"/>
      <c r="K224" s="22"/>
      <c r="L224" s="22"/>
      <c r="M224" s="22"/>
      <c r="N224" s="22"/>
      <c r="O224" s="22"/>
      <c r="P224" s="22"/>
      <c r="Q224" s="22"/>
      <c r="R224" s="22"/>
      <c r="S224" s="22"/>
      <c r="T224" s="22"/>
      <c r="U224" s="22"/>
      <c r="V224" s="22"/>
      <c r="W224" s="22"/>
      <c r="X224" s="22"/>
      <c r="Y224" s="22"/>
      <c r="Z224" s="22"/>
      <c r="AA224" s="22"/>
      <c r="AB224" s="22"/>
      <c r="AC224" s="22"/>
      <c r="AD224" s="22"/>
      <c r="AE224" s="22"/>
      <c r="AF224" s="22"/>
      <c r="AG224" s="22"/>
      <c r="AH224" s="22"/>
      <c r="AI224" s="22"/>
      <c r="AJ224" s="22"/>
      <c r="AK224" s="22"/>
      <c r="AL224" s="22"/>
      <c r="AM224" s="22"/>
      <c r="AN224" s="22"/>
    </row>
    <row r="225" spans="1:40" x14ac:dyDescent="0.25">
      <c r="A225" s="22"/>
      <c r="B225" s="22"/>
      <c r="C225" s="22"/>
      <c r="D225" s="22"/>
      <c r="E225" s="22"/>
      <c r="F225" s="22"/>
      <c r="G225" s="22"/>
      <c r="H225" s="22"/>
      <c r="I225" s="22"/>
      <c r="J225" s="22"/>
      <c r="K225" s="22"/>
      <c r="L225" s="22"/>
      <c r="M225" s="22"/>
      <c r="N225" s="22"/>
      <c r="O225" s="22"/>
      <c r="P225" s="22"/>
      <c r="Q225" s="22"/>
      <c r="R225" s="22"/>
      <c r="S225" s="22"/>
      <c r="T225" s="22"/>
      <c r="U225" s="22"/>
      <c r="V225" s="22"/>
      <c r="W225" s="22"/>
      <c r="X225" s="22"/>
      <c r="Y225" s="22"/>
      <c r="Z225" s="22"/>
      <c r="AA225" s="22"/>
      <c r="AB225" s="22"/>
      <c r="AC225" s="22"/>
      <c r="AD225" s="22"/>
      <c r="AE225" s="22"/>
      <c r="AF225" s="22"/>
      <c r="AG225" s="22"/>
      <c r="AH225" s="22"/>
      <c r="AI225" s="22"/>
      <c r="AJ225" s="22"/>
      <c r="AK225" s="22"/>
      <c r="AL225" s="22"/>
      <c r="AM225" s="22"/>
      <c r="AN225" s="22"/>
    </row>
    <row r="226" spans="1:40" x14ac:dyDescent="0.25">
      <c r="A226" s="22"/>
      <c r="B226" s="22"/>
      <c r="C226" s="22"/>
      <c r="D226" s="22"/>
      <c r="E226" s="22"/>
      <c r="F226" s="22"/>
      <c r="G226" s="22"/>
      <c r="H226" s="22"/>
      <c r="I226" s="22"/>
      <c r="J226" s="22"/>
      <c r="K226" s="22"/>
      <c r="L226" s="22"/>
      <c r="M226" s="22"/>
      <c r="N226" s="22"/>
      <c r="O226" s="22"/>
      <c r="P226" s="22"/>
      <c r="Q226" s="22"/>
      <c r="R226" s="22"/>
      <c r="S226" s="22"/>
      <c r="T226" s="22"/>
      <c r="U226" s="22"/>
      <c r="V226" s="22"/>
      <c r="W226" s="22"/>
      <c r="X226" s="22"/>
      <c r="Y226" s="22"/>
      <c r="Z226" s="22"/>
      <c r="AA226" s="22"/>
      <c r="AB226" s="22"/>
      <c r="AC226" s="22"/>
      <c r="AD226" s="22"/>
      <c r="AE226" s="22"/>
      <c r="AF226" s="22"/>
      <c r="AG226" s="22"/>
      <c r="AH226" s="22"/>
      <c r="AI226" s="22"/>
      <c r="AJ226" s="22"/>
      <c r="AK226" s="22"/>
      <c r="AL226" s="22"/>
      <c r="AM226" s="22"/>
      <c r="AN226" s="22"/>
    </row>
    <row r="227" spans="1:40" x14ac:dyDescent="0.25">
      <c r="A227" s="22"/>
      <c r="B227" s="22"/>
      <c r="C227" s="22"/>
      <c r="D227" s="22"/>
      <c r="E227" s="22"/>
      <c r="F227" s="22"/>
      <c r="G227" s="22"/>
      <c r="H227" s="22"/>
      <c r="I227" s="22"/>
      <c r="J227" s="22"/>
      <c r="K227" s="22"/>
      <c r="L227" s="22"/>
      <c r="M227" s="22"/>
      <c r="N227" s="22"/>
      <c r="O227" s="22"/>
      <c r="P227" s="22"/>
      <c r="Q227" s="22"/>
      <c r="R227" s="22"/>
      <c r="S227" s="22"/>
      <c r="T227" s="22"/>
      <c r="U227" s="22"/>
      <c r="V227" s="22"/>
      <c r="W227" s="22"/>
      <c r="X227" s="22"/>
      <c r="Y227" s="22"/>
      <c r="Z227" s="22"/>
      <c r="AA227" s="22"/>
      <c r="AB227" s="22"/>
      <c r="AC227" s="22"/>
      <c r="AD227" s="22"/>
      <c r="AE227" s="22"/>
      <c r="AF227" s="22"/>
      <c r="AG227" s="22"/>
      <c r="AH227" s="22"/>
      <c r="AI227" s="22"/>
      <c r="AJ227" s="22"/>
      <c r="AK227" s="22"/>
      <c r="AL227" s="22"/>
      <c r="AM227" s="22"/>
      <c r="AN227" s="22"/>
    </row>
    <row r="228" spans="1:40" x14ac:dyDescent="0.25">
      <c r="A228" s="22"/>
      <c r="B228" s="22"/>
      <c r="C228" s="22"/>
      <c r="D228" s="22"/>
      <c r="E228" s="22"/>
      <c r="F228" s="22"/>
      <c r="G228" s="22"/>
      <c r="H228" s="22"/>
      <c r="I228" s="22"/>
      <c r="J228" s="22"/>
      <c r="K228" s="22"/>
      <c r="L228" s="22"/>
      <c r="M228" s="22"/>
      <c r="N228" s="22"/>
      <c r="O228" s="22"/>
      <c r="P228" s="22"/>
      <c r="Q228" s="22"/>
      <c r="R228" s="22"/>
      <c r="S228" s="22"/>
      <c r="T228" s="22"/>
      <c r="U228" s="22"/>
      <c r="V228" s="22"/>
      <c r="W228" s="22"/>
      <c r="X228" s="22"/>
      <c r="Y228" s="22"/>
      <c r="Z228" s="22"/>
      <c r="AA228" s="22"/>
      <c r="AB228" s="22"/>
      <c r="AC228" s="22"/>
      <c r="AD228" s="22"/>
      <c r="AE228" s="22"/>
      <c r="AF228" s="22"/>
      <c r="AG228" s="22"/>
      <c r="AH228" s="22"/>
      <c r="AI228" s="22"/>
      <c r="AJ228" s="22"/>
      <c r="AK228" s="22"/>
      <c r="AL228" s="22"/>
      <c r="AM228" s="22"/>
      <c r="AN228" s="22"/>
    </row>
    <row r="229" spans="1:40" x14ac:dyDescent="0.25">
      <c r="A229" s="22"/>
      <c r="B229" s="22"/>
      <c r="C229" s="22"/>
      <c r="D229" s="22"/>
      <c r="E229" s="22"/>
      <c r="F229" s="22"/>
      <c r="G229" s="22"/>
      <c r="H229" s="22"/>
      <c r="I229" s="22"/>
      <c r="J229" s="22"/>
      <c r="K229" s="22"/>
      <c r="L229" s="22"/>
      <c r="M229" s="22"/>
      <c r="N229" s="22"/>
      <c r="O229" s="22"/>
      <c r="P229" s="22"/>
      <c r="Q229" s="22"/>
      <c r="R229" s="22"/>
      <c r="S229" s="22"/>
      <c r="T229" s="22"/>
      <c r="U229" s="22"/>
      <c r="V229" s="22"/>
      <c r="W229" s="22"/>
      <c r="X229" s="22"/>
      <c r="Y229" s="22"/>
      <c r="Z229" s="22"/>
      <c r="AA229" s="22"/>
      <c r="AB229" s="22"/>
      <c r="AC229" s="22"/>
      <c r="AD229" s="22"/>
      <c r="AE229" s="22"/>
      <c r="AF229" s="22"/>
      <c r="AG229" s="22"/>
      <c r="AH229" s="22"/>
      <c r="AI229" s="22"/>
      <c r="AJ229" s="22"/>
      <c r="AK229" s="22"/>
      <c r="AL229" s="22"/>
      <c r="AM229" s="22"/>
      <c r="AN229" s="22"/>
    </row>
    <row r="230" spans="1:40" x14ac:dyDescent="0.25">
      <c r="A230" s="22"/>
      <c r="B230" s="22"/>
      <c r="C230" s="22"/>
      <c r="D230" s="22"/>
      <c r="E230" s="22"/>
      <c r="F230" s="22"/>
      <c r="G230" s="22"/>
      <c r="H230" s="22"/>
      <c r="I230" s="22"/>
      <c r="J230" s="22"/>
      <c r="K230" s="22"/>
      <c r="L230" s="22"/>
      <c r="M230" s="22"/>
      <c r="N230" s="22"/>
      <c r="O230" s="22"/>
      <c r="P230" s="22"/>
      <c r="Q230" s="22"/>
      <c r="R230" s="22"/>
      <c r="S230" s="22"/>
      <c r="T230" s="22"/>
      <c r="U230" s="22"/>
      <c r="V230" s="22"/>
      <c r="W230" s="22"/>
      <c r="X230" s="22"/>
      <c r="Y230" s="22"/>
      <c r="Z230" s="22"/>
      <c r="AA230" s="22"/>
      <c r="AB230" s="22"/>
      <c r="AC230" s="22"/>
      <c r="AD230" s="22"/>
      <c r="AE230" s="22"/>
      <c r="AF230" s="22"/>
      <c r="AG230" s="22"/>
      <c r="AH230" s="22"/>
      <c r="AI230" s="22"/>
      <c r="AJ230" s="22"/>
      <c r="AK230" s="22"/>
      <c r="AL230" s="22"/>
      <c r="AM230" s="22"/>
      <c r="AN230" s="22"/>
    </row>
    <row r="231" spans="1:40" x14ac:dyDescent="0.25">
      <c r="A231" s="22"/>
      <c r="B231" s="22"/>
      <c r="C231" s="22"/>
      <c r="D231" s="22"/>
      <c r="E231" s="22"/>
      <c r="F231" s="22"/>
      <c r="G231" s="22"/>
      <c r="H231" s="22"/>
      <c r="I231" s="22"/>
      <c r="J231" s="22"/>
      <c r="K231" s="22"/>
      <c r="L231" s="22"/>
      <c r="M231" s="22"/>
      <c r="N231" s="22"/>
      <c r="O231" s="22"/>
      <c r="P231" s="22"/>
      <c r="Q231" s="22"/>
      <c r="R231" s="22"/>
      <c r="S231" s="22"/>
      <c r="T231" s="22"/>
      <c r="U231" s="22"/>
      <c r="V231" s="22"/>
      <c r="W231" s="22"/>
      <c r="X231" s="22"/>
      <c r="Y231" s="22"/>
      <c r="Z231" s="22"/>
      <c r="AA231" s="22"/>
      <c r="AB231" s="22"/>
      <c r="AC231" s="22"/>
      <c r="AD231" s="22"/>
      <c r="AE231" s="22"/>
      <c r="AF231" s="22"/>
      <c r="AG231" s="22"/>
      <c r="AH231" s="22"/>
      <c r="AI231" s="22"/>
      <c r="AJ231" s="22"/>
      <c r="AK231" s="22"/>
      <c r="AL231" s="22"/>
      <c r="AM231" s="22"/>
      <c r="AN231" s="22"/>
    </row>
    <row r="232" spans="1:40" x14ac:dyDescent="0.25">
      <c r="A232" s="22"/>
      <c r="B232" s="22"/>
      <c r="C232" s="22"/>
      <c r="D232" s="22"/>
      <c r="E232" s="22"/>
      <c r="F232" s="22"/>
      <c r="G232" s="22"/>
      <c r="H232" s="22"/>
      <c r="I232" s="22"/>
      <c r="J232" s="22"/>
      <c r="K232" s="22"/>
      <c r="L232" s="22"/>
      <c r="M232" s="22"/>
      <c r="N232" s="22"/>
      <c r="O232" s="22"/>
      <c r="P232" s="22"/>
      <c r="Q232" s="22"/>
      <c r="R232" s="22"/>
      <c r="S232" s="22"/>
      <c r="T232" s="22"/>
      <c r="U232" s="22"/>
      <c r="V232" s="22"/>
      <c r="W232" s="22"/>
      <c r="X232" s="22"/>
      <c r="Y232" s="22"/>
      <c r="Z232" s="22"/>
      <c r="AA232" s="22"/>
      <c r="AB232" s="22"/>
      <c r="AC232" s="22"/>
      <c r="AD232" s="22"/>
      <c r="AE232" s="22"/>
      <c r="AF232" s="22"/>
      <c r="AG232" s="22"/>
      <c r="AH232" s="22"/>
      <c r="AI232" s="22"/>
      <c r="AJ232" s="22"/>
      <c r="AK232" s="22"/>
      <c r="AL232" s="22"/>
      <c r="AM232" s="22"/>
      <c r="AN232" s="22"/>
    </row>
    <row r="233" spans="1:40" x14ac:dyDescent="0.25">
      <c r="A233" s="22"/>
      <c r="B233" s="22"/>
      <c r="C233" s="22"/>
      <c r="D233" s="22"/>
      <c r="E233" s="22"/>
      <c r="F233" s="22"/>
      <c r="G233" s="22"/>
      <c r="H233" s="22"/>
      <c r="I233" s="22"/>
      <c r="J233" s="22"/>
      <c r="K233" s="22"/>
      <c r="L233" s="22"/>
      <c r="M233" s="22"/>
      <c r="N233" s="22"/>
      <c r="O233" s="22"/>
      <c r="P233" s="22"/>
      <c r="Q233" s="22"/>
      <c r="R233" s="22"/>
      <c r="S233" s="22"/>
      <c r="T233" s="22"/>
      <c r="U233" s="22"/>
      <c r="V233" s="22"/>
      <c r="W233" s="22"/>
      <c r="X233" s="22"/>
      <c r="Y233" s="22"/>
      <c r="Z233" s="22"/>
      <c r="AA233" s="22"/>
      <c r="AB233" s="22"/>
      <c r="AC233" s="22"/>
      <c r="AD233" s="22"/>
      <c r="AE233" s="22"/>
      <c r="AF233" s="22"/>
      <c r="AG233" s="22"/>
      <c r="AH233" s="22"/>
      <c r="AI233" s="22"/>
      <c r="AJ233" s="22"/>
      <c r="AK233" s="22"/>
      <c r="AL233" s="22"/>
      <c r="AM233" s="22"/>
      <c r="AN233" s="22"/>
    </row>
    <row r="234" spans="1:40" x14ac:dyDescent="0.25">
      <c r="A234" s="22"/>
      <c r="B234" s="22"/>
      <c r="C234" s="22"/>
      <c r="D234" s="22"/>
      <c r="E234" s="22"/>
      <c r="F234" s="22"/>
      <c r="G234" s="22"/>
      <c r="H234" s="22"/>
      <c r="I234" s="22"/>
      <c r="J234" s="22"/>
      <c r="K234" s="22"/>
      <c r="L234" s="22"/>
      <c r="M234" s="22"/>
      <c r="N234" s="22"/>
      <c r="O234" s="22"/>
      <c r="P234" s="22"/>
      <c r="Q234" s="22"/>
      <c r="R234" s="22"/>
      <c r="S234" s="22"/>
      <c r="T234" s="22"/>
      <c r="U234" s="22"/>
      <c r="V234" s="22"/>
      <c r="W234" s="22"/>
      <c r="X234" s="22"/>
      <c r="Y234" s="22"/>
      <c r="Z234" s="22"/>
      <c r="AA234" s="22"/>
      <c r="AB234" s="22"/>
      <c r="AC234" s="22"/>
      <c r="AD234" s="22"/>
      <c r="AE234" s="22"/>
      <c r="AF234" s="22"/>
      <c r="AG234" s="22"/>
      <c r="AH234" s="22"/>
      <c r="AI234" s="22"/>
      <c r="AJ234" s="22"/>
      <c r="AK234" s="22"/>
      <c r="AL234" s="22"/>
      <c r="AM234" s="22"/>
      <c r="AN234" s="22"/>
    </row>
    <row r="235" spans="1:40" x14ac:dyDescent="0.25">
      <c r="A235" s="22"/>
      <c r="B235" s="22"/>
      <c r="C235" s="22"/>
      <c r="D235" s="22"/>
      <c r="E235" s="22"/>
      <c r="F235" s="22"/>
      <c r="G235" s="22"/>
      <c r="H235" s="22"/>
      <c r="I235" s="22"/>
      <c r="J235" s="22"/>
      <c r="K235" s="22"/>
      <c r="L235" s="22"/>
      <c r="M235" s="22"/>
      <c r="N235" s="22"/>
      <c r="O235" s="22"/>
      <c r="P235" s="22"/>
      <c r="Q235" s="22"/>
      <c r="R235" s="22"/>
      <c r="S235" s="22"/>
      <c r="T235" s="22"/>
      <c r="U235" s="22"/>
      <c r="V235" s="22"/>
      <c r="W235" s="22"/>
      <c r="X235" s="22"/>
      <c r="Y235" s="22"/>
      <c r="Z235" s="22"/>
      <c r="AA235" s="22"/>
      <c r="AB235" s="22"/>
      <c r="AC235" s="22"/>
      <c r="AD235" s="22"/>
      <c r="AE235" s="22"/>
      <c r="AF235" s="22"/>
      <c r="AG235" s="22"/>
      <c r="AH235" s="22"/>
      <c r="AI235" s="22"/>
      <c r="AJ235" s="22"/>
      <c r="AK235" s="22"/>
      <c r="AL235" s="22"/>
      <c r="AM235" s="22"/>
      <c r="AN235" s="22"/>
    </row>
    <row r="236" spans="1:40" x14ac:dyDescent="0.25">
      <c r="A236" s="22"/>
      <c r="B236" s="22"/>
      <c r="C236" s="22"/>
      <c r="D236" s="22"/>
      <c r="E236" s="22"/>
      <c r="F236" s="22"/>
      <c r="G236" s="22"/>
      <c r="H236" s="22"/>
      <c r="I236" s="22"/>
      <c r="J236" s="22"/>
      <c r="K236" s="22"/>
      <c r="L236" s="22"/>
      <c r="M236" s="22"/>
      <c r="N236" s="22"/>
      <c r="O236" s="22"/>
      <c r="P236" s="22"/>
      <c r="Q236" s="22"/>
      <c r="R236" s="22"/>
      <c r="S236" s="22"/>
      <c r="T236" s="22"/>
      <c r="U236" s="22"/>
      <c r="V236" s="22"/>
      <c r="W236" s="22"/>
      <c r="X236" s="22"/>
      <c r="Y236" s="22"/>
      <c r="Z236" s="22"/>
      <c r="AA236" s="22"/>
      <c r="AB236" s="22"/>
      <c r="AC236" s="22"/>
      <c r="AD236" s="22"/>
      <c r="AE236" s="22"/>
      <c r="AF236" s="22"/>
      <c r="AG236" s="22"/>
      <c r="AH236" s="22"/>
      <c r="AI236" s="22"/>
      <c r="AJ236" s="22"/>
      <c r="AK236" s="22"/>
      <c r="AL236" s="22"/>
      <c r="AM236" s="22"/>
      <c r="AN236" s="22"/>
    </row>
    <row r="237" spans="1:40" x14ac:dyDescent="0.25">
      <c r="A237" s="22"/>
      <c r="B237" s="22"/>
      <c r="C237" s="22"/>
      <c r="D237" s="22"/>
      <c r="E237" s="22"/>
      <c r="F237" s="22"/>
      <c r="G237" s="22"/>
      <c r="H237" s="22"/>
      <c r="I237" s="22"/>
      <c r="J237" s="22"/>
      <c r="K237" s="22"/>
      <c r="L237" s="22"/>
      <c r="M237" s="22"/>
      <c r="N237" s="22"/>
      <c r="O237" s="22"/>
      <c r="P237" s="22"/>
      <c r="Q237" s="22"/>
      <c r="R237" s="22"/>
      <c r="S237" s="22"/>
      <c r="T237" s="22"/>
      <c r="U237" s="22"/>
      <c r="V237" s="22"/>
      <c r="W237" s="22"/>
      <c r="X237" s="22"/>
      <c r="Y237" s="22"/>
      <c r="Z237" s="22"/>
      <c r="AA237" s="22"/>
      <c r="AB237" s="22"/>
      <c r="AC237" s="22"/>
      <c r="AD237" s="22"/>
      <c r="AE237" s="22"/>
      <c r="AF237" s="22"/>
      <c r="AG237" s="22"/>
      <c r="AH237" s="22"/>
      <c r="AI237" s="22"/>
      <c r="AJ237" s="22"/>
      <c r="AK237" s="22"/>
      <c r="AL237" s="22"/>
      <c r="AM237" s="22"/>
      <c r="AN237" s="22"/>
    </row>
    <row r="238" spans="1:40" x14ac:dyDescent="0.25">
      <c r="A238" s="22"/>
      <c r="B238" s="22"/>
      <c r="C238" s="22"/>
      <c r="D238" s="22"/>
      <c r="E238" s="22"/>
      <c r="F238" s="22"/>
      <c r="G238" s="22"/>
      <c r="H238" s="22"/>
      <c r="I238" s="22"/>
      <c r="J238" s="22"/>
      <c r="K238" s="22"/>
      <c r="L238" s="22"/>
      <c r="M238" s="22"/>
      <c r="N238" s="22"/>
      <c r="O238" s="22"/>
      <c r="P238" s="22"/>
      <c r="Q238" s="22"/>
      <c r="R238" s="22"/>
      <c r="S238" s="22"/>
      <c r="T238" s="22"/>
      <c r="U238" s="22"/>
      <c r="V238" s="22"/>
      <c r="W238" s="22"/>
      <c r="X238" s="22"/>
      <c r="Y238" s="22"/>
      <c r="Z238" s="22"/>
      <c r="AA238" s="22"/>
      <c r="AB238" s="22"/>
      <c r="AC238" s="22"/>
      <c r="AD238" s="22"/>
      <c r="AE238" s="22"/>
      <c r="AF238" s="22"/>
      <c r="AG238" s="22"/>
      <c r="AH238" s="22"/>
      <c r="AI238" s="22"/>
      <c r="AJ238" s="22"/>
      <c r="AK238" s="22"/>
      <c r="AL238" s="22"/>
      <c r="AM238" s="22"/>
      <c r="AN238" s="22"/>
    </row>
    <row r="239" spans="1:40" x14ac:dyDescent="0.25">
      <c r="A239" s="22"/>
      <c r="B239" s="22"/>
      <c r="C239" s="22"/>
      <c r="D239" s="22"/>
      <c r="E239" s="22"/>
      <c r="F239" s="22"/>
      <c r="G239" s="22"/>
      <c r="H239" s="22"/>
      <c r="I239" s="22"/>
      <c r="J239" s="22"/>
      <c r="K239" s="22"/>
      <c r="L239" s="22"/>
      <c r="M239" s="22"/>
      <c r="N239" s="22"/>
      <c r="O239" s="22"/>
      <c r="P239" s="22"/>
      <c r="Q239" s="22"/>
      <c r="R239" s="22"/>
      <c r="S239" s="22"/>
      <c r="T239" s="22"/>
      <c r="U239" s="22"/>
      <c r="V239" s="22"/>
      <c r="W239" s="22"/>
      <c r="X239" s="22"/>
      <c r="Y239" s="22"/>
      <c r="Z239" s="22"/>
      <c r="AA239" s="22"/>
      <c r="AB239" s="22"/>
      <c r="AC239" s="22"/>
      <c r="AD239" s="22"/>
      <c r="AE239" s="22"/>
      <c r="AF239" s="22"/>
      <c r="AG239" s="22"/>
      <c r="AH239" s="22"/>
      <c r="AI239" s="22"/>
      <c r="AJ239" s="22"/>
      <c r="AK239" s="22"/>
      <c r="AL239" s="22"/>
      <c r="AM239" s="22"/>
      <c r="AN239" s="22"/>
    </row>
    <row r="240" spans="1:40" x14ac:dyDescent="0.25">
      <c r="A240" s="22"/>
      <c r="B240" s="22"/>
      <c r="C240" s="22"/>
      <c r="D240" s="22"/>
      <c r="E240" s="22"/>
      <c r="F240" s="22"/>
      <c r="G240" s="22"/>
      <c r="H240" s="22"/>
      <c r="I240" s="22"/>
      <c r="J240" s="22"/>
      <c r="K240" s="22"/>
      <c r="L240" s="22"/>
      <c r="M240" s="22"/>
      <c r="N240" s="22"/>
      <c r="O240" s="22"/>
      <c r="P240" s="22"/>
      <c r="Q240" s="22"/>
      <c r="R240" s="22"/>
      <c r="S240" s="22"/>
      <c r="T240" s="22"/>
      <c r="U240" s="22"/>
      <c r="V240" s="22"/>
      <c r="W240" s="22"/>
      <c r="X240" s="22"/>
      <c r="Y240" s="22"/>
      <c r="Z240" s="22"/>
      <c r="AA240" s="22"/>
      <c r="AB240" s="22"/>
      <c r="AC240" s="22"/>
      <c r="AD240" s="22"/>
      <c r="AE240" s="22"/>
      <c r="AF240" s="22"/>
      <c r="AG240" s="22"/>
      <c r="AH240" s="22"/>
      <c r="AI240" s="22"/>
      <c r="AJ240" s="22"/>
      <c r="AK240" s="22"/>
      <c r="AL240" s="22"/>
      <c r="AM240" s="22"/>
      <c r="AN240" s="22"/>
    </row>
    <row r="241" spans="1:40" x14ac:dyDescent="0.25">
      <c r="A241" s="22"/>
      <c r="B241" s="22"/>
      <c r="C241" s="22"/>
      <c r="D241" s="22"/>
      <c r="E241" s="22"/>
      <c r="F241" s="22"/>
      <c r="G241" s="22"/>
      <c r="H241" s="22"/>
      <c r="I241" s="22"/>
      <c r="J241" s="22"/>
      <c r="K241" s="22"/>
      <c r="L241" s="22"/>
      <c r="M241" s="22"/>
      <c r="N241" s="22"/>
      <c r="O241" s="22"/>
      <c r="P241" s="22"/>
      <c r="Q241" s="22"/>
      <c r="R241" s="22"/>
      <c r="S241" s="22"/>
      <c r="T241" s="22"/>
      <c r="U241" s="22"/>
      <c r="V241" s="22"/>
      <c r="W241" s="22"/>
      <c r="X241" s="22"/>
      <c r="Y241" s="22"/>
      <c r="Z241" s="22"/>
      <c r="AA241" s="22"/>
      <c r="AB241" s="22"/>
      <c r="AC241" s="22"/>
      <c r="AD241" s="22"/>
      <c r="AE241" s="22"/>
      <c r="AF241" s="22"/>
      <c r="AG241" s="22"/>
      <c r="AH241" s="22"/>
      <c r="AI241" s="22"/>
      <c r="AJ241" s="22"/>
      <c r="AK241" s="22"/>
      <c r="AL241" s="22"/>
      <c r="AM241" s="22"/>
      <c r="AN241" s="22"/>
    </row>
    <row r="242" spans="1:40" x14ac:dyDescent="0.25">
      <c r="A242" s="22"/>
      <c r="B242" s="22"/>
      <c r="C242" s="22"/>
      <c r="D242" s="22"/>
      <c r="E242" s="22"/>
      <c r="F242" s="22"/>
      <c r="G242" s="22"/>
      <c r="H242" s="22"/>
      <c r="I242" s="22"/>
      <c r="J242" s="22"/>
      <c r="K242" s="22"/>
      <c r="L242" s="22"/>
      <c r="M242" s="22"/>
      <c r="N242" s="22"/>
      <c r="O242" s="22"/>
      <c r="P242" s="22"/>
      <c r="Q242" s="22"/>
      <c r="R242" s="22"/>
      <c r="S242" s="22"/>
      <c r="T242" s="22"/>
      <c r="U242" s="22"/>
      <c r="V242" s="22"/>
      <c r="W242" s="22"/>
      <c r="X242" s="22"/>
      <c r="Y242" s="22"/>
      <c r="Z242" s="22"/>
      <c r="AA242" s="22"/>
      <c r="AB242" s="22"/>
      <c r="AC242" s="22"/>
      <c r="AD242" s="22"/>
      <c r="AE242" s="22"/>
      <c r="AF242" s="22"/>
      <c r="AG242" s="22"/>
      <c r="AH242" s="22"/>
      <c r="AI242" s="22"/>
      <c r="AJ242" s="22"/>
      <c r="AK242" s="22"/>
      <c r="AL242" s="22"/>
      <c r="AM242" s="22"/>
      <c r="AN242" s="22"/>
    </row>
    <row r="243" spans="1:40" x14ac:dyDescent="0.25">
      <c r="A243" s="22"/>
      <c r="B243" s="22"/>
      <c r="C243" s="22"/>
      <c r="D243" s="22"/>
      <c r="E243" s="22"/>
      <c r="F243" s="22"/>
      <c r="G243" s="22"/>
      <c r="H243" s="22"/>
      <c r="I243" s="22"/>
      <c r="J243" s="22"/>
      <c r="K243" s="22"/>
      <c r="L243" s="22"/>
      <c r="M243" s="22"/>
      <c r="N243" s="22"/>
      <c r="O243" s="22"/>
      <c r="P243" s="22"/>
      <c r="Q243" s="22"/>
      <c r="R243" s="22"/>
      <c r="S243" s="22"/>
      <c r="T243" s="22"/>
      <c r="U243" s="22"/>
      <c r="V243" s="22"/>
      <c r="W243" s="22"/>
      <c r="X243" s="22"/>
      <c r="Y243" s="22"/>
      <c r="Z243" s="22"/>
      <c r="AA243" s="22"/>
      <c r="AB243" s="22"/>
      <c r="AC243" s="22"/>
      <c r="AD243" s="22"/>
      <c r="AE243" s="22"/>
      <c r="AF243" s="22"/>
      <c r="AG243" s="22"/>
      <c r="AH243" s="22"/>
      <c r="AI243" s="22"/>
      <c r="AJ243" s="22"/>
      <c r="AK243" s="22"/>
      <c r="AL243" s="22"/>
      <c r="AM243" s="22"/>
      <c r="AN243" s="22"/>
    </row>
    <row r="244" spans="1:40" x14ac:dyDescent="0.25">
      <c r="A244" s="22"/>
      <c r="B244" s="22"/>
      <c r="C244" s="22"/>
      <c r="D244" s="22"/>
      <c r="E244" s="22"/>
      <c r="F244" s="22"/>
      <c r="G244" s="22"/>
      <c r="H244" s="22"/>
      <c r="I244" s="22"/>
      <c r="J244" s="22"/>
      <c r="K244" s="22"/>
      <c r="L244" s="22"/>
      <c r="M244" s="22"/>
      <c r="N244" s="22"/>
      <c r="O244" s="22"/>
      <c r="P244" s="22"/>
      <c r="Q244" s="22"/>
      <c r="R244" s="22"/>
      <c r="S244" s="22"/>
      <c r="T244" s="22"/>
      <c r="U244" s="22"/>
      <c r="V244" s="22"/>
      <c r="W244" s="22"/>
      <c r="X244" s="22"/>
      <c r="Y244" s="22"/>
      <c r="Z244" s="22"/>
      <c r="AA244" s="22"/>
      <c r="AB244" s="22"/>
      <c r="AC244" s="22"/>
      <c r="AD244" s="22"/>
      <c r="AE244" s="22"/>
      <c r="AF244" s="22"/>
      <c r="AG244" s="22"/>
      <c r="AH244" s="22"/>
      <c r="AI244" s="22"/>
      <c r="AJ244" s="22"/>
      <c r="AK244" s="22"/>
      <c r="AL244" s="22"/>
      <c r="AM244" s="22"/>
      <c r="AN244" s="22"/>
    </row>
    <row r="245" spans="1:40" x14ac:dyDescent="0.25">
      <c r="A245" s="22"/>
      <c r="B245" s="22"/>
      <c r="C245" s="22"/>
      <c r="D245" s="22"/>
      <c r="E245" s="22"/>
      <c r="F245" s="22"/>
      <c r="G245" s="22"/>
      <c r="H245" s="22"/>
      <c r="I245" s="22"/>
      <c r="J245" s="22"/>
      <c r="K245" s="22"/>
      <c r="L245" s="22"/>
      <c r="M245" s="22"/>
      <c r="N245" s="22"/>
      <c r="O245" s="22"/>
      <c r="P245" s="22"/>
      <c r="Q245" s="22"/>
      <c r="R245" s="22"/>
      <c r="S245" s="22"/>
      <c r="T245" s="22"/>
      <c r="U245" s="22"/>
      <c r="V245" s="22"/>
      <c r="W245" s="22"/>
      <c r="X245" s="22"/>
      <c r="Y245" s="22"/>
      <c r="Z245" s="22"/>
      <c r="AA245" s="22"/>
      <c r="AB245" s="22"/>
      <c r="AC245" s="22"/>
      <c r="AD245" s="22"/>
      <c r="AE245" s="22"/>
      <c r="AF245" s="22"/>
      <c r="AG245" s="22"/>
      <c r="AH245" s="22"/>
      <c r="AI245" s="22"/>
      <c r="AJ245" s="22"/>
      <c r="AK245" s="22"/>
      <c r="AL245" s="22"/>
      <c r="AM245" s="22"/>
      <c r="AN245" s="22"/>
    </row>
    <row r="246" spans="1:40" x14ac:dyDescent="0.25">
      <c r="A246" s="22"/>
      <c r="B246" s="22"/>
      <c r="C246" s="22"/>
      <c r="D246" s="22"/>
      <c r="E246" s="22"/>
      <c r="F246" s="22"/>
      <c r="G246" s="22"/>
      <c r="H246" s="22"/>
      <c r="I246" s="22"/>
      <c r="J246" s="22"/>
      <c r="K246" s="22"/>
      <c r="L246" s="22"/>
      <c r="M246" s="22"/>
      <c r="N246" s="22"/>
      <c r="O246" s="22"/>
      <c r="P246" s="22"/>
      <c r="Q246" s="22"/>
      <c r="R246" s="22"/>
      <c r="S246" s="22"/>
      <c r="T246" s="22"/>
      <c r="U246" s="22"/>
      <c r="V246" s="22"/>
      <c r="W246" s="22"/>
      <c r="X246" s="22"/>
      <c r="Y246" s="22"/>
      <c r="Z246" s="22"/>
      <c r="AA246" s="22"/>
      <c r="AB246" s="22"/>
      <c r="AC246" s="22"/>
      <c r="AD246" s="22"/>
      <c r="AE246" s="22"/>
      <c r="AF246" s="22"/>
      <c r="AG246" s="22"/>
      <c r="AH246" s="22"/>
      <c r="AI246" s="22"/>
      <c r="AJ246" s="22"/>
      <c r="AK246" s="22"/>
      <c r="AL246" s="22"/>
      <c r="AM246" s="22"/>
      <c r="AN246" s="22"/>
    </row>
    <row r="247" spans="1:40" x14ac:dyDescent="0.25">
      <c r="A247" s="22"/>
      <c r="B247" s="22"/>
      <c r="C247" s="22"/>
      <c r="D247" s="22"/>
      <c r="E247" s="22"/>
      <c r="F247" s="22"/>
      <c r="G247" s="22"/>
      <c r="H247" s="22"/>
      <c r="I247" s="22"/>
      <c r="J247" s="22"/>
      <c r="K247" s="22"/>
      <c r="L247" s="22"/>
      <c r="M247" s="22"/>
      <c r="N247" s="22"/>
      <c r="O247" s="22"/>
      <c r="P247" s="22"/>
      <c r="Q247" s="22"/>
      <c r="R247" s="22"/>
      <c r="S247" s="22"/>
      <c r="T247" s="22"/>
      <c r="U247" s="22"/>
      <c r="V247" s="22"/>
      <c r="W247" s="22"/>
      <c r="X247" s="22"/>
      <c r="Y247" s="22"/>
      <c r="Z247" s="22"/>
      <c r="AA247" s="22"/>
      <c r="AB247" s="22"/>
      <c r="AC247" s="22"/>
      <c r="AD247" s="22"/>
      <c r="AE247" s="22"/>
      <c r="AF247" s="22"/>
      <c r="AG247" s="22"/>
      <c r="AH247" s="22"/>
      <c r="AI247" s="22"/>
      <c r="AJ247" s="22"/>
      <c r="AK247" s="22"/>
      <c r="AL247" s="22"/>
      <c r="AM247" s="22"/>
      <c r="AN247" s="22"/>
    </row>
    <row r="248" spans="1:40" x14ac:dyDescent="0.25">
      <c r="A248" s="22"/>
      <c r="B248" s="22"/>
      <c r="C248" s="22"/>
      <c r="D248" s="22"/>
      <c r="E248" s="22"/>
      <c r="F248" s="22"/>
      <c r="G248" s="22"/>
      <c r="H248" s="22"/>
      <c r="I248" s="22"/>
      <c r="J248" s="22"/>
      <c r="K248" s="22"/>
      <c r="L248" s="22"/>
      <c r="M248" s="22"/>
      <c r="N248" s="22"/>
      <c r="O248" s="22"/>
      <c r="P248" s="22"/>
      <c r="Q248" s="22"/>
      <c r="R248" s="22"/>
      <c r="S248" s="22"/>
      <c r="T248" s="22"/>
      <c r="U248" s="22"/>
      <c r="V248" s="22"/>
      <c r="W248" s="22"/>
      <c r="X248" s="22"/>
      <c r="Y248" s="22"/>
      <c r="Z248" s="22"/>
      <c r="AA248" s="22"/>
      <c r="AB248" s="22"/>
      <c r="AC248" s="22"/>
      <c r="AD248" s="22"/>
      <c r="AE248" s="22"/>
      <c r="AF248" s="22"/>
      <c r="AG248" s="22"/>
      <c r="AH248" s="22"/>
      <c r="AI248" s="22"/>
      <c r="AJ248" s="22"/>
      <c r="AK248" s="22"/>
      <c r="AL248" s="22"/>
      <c r="AM248" s="22"/>
      <c r="AN248" s="22"/>
    </row>
    <row r="249" spans="1:40" x14ac:dyDescent="0.25">
      <c r="A249" s="22"/>
      <c r="B249" s="22"/>
      <c r="C249" s="22"/>
      <c r="D249" s="22"/>
      <c r="E249" s="22"/>
      <c r="F249" s="22"/>
      <c r="G249" s="22"/>
      <c r="H249" s="22"/>
      <c r="I249" s="22"/>
      <c r="J249" s="22"/>
      <c r="K249" s="22"/>
      <c r="L249" s="22"/>
      <c r="M249" s="22"/>
      <c r="N249" s="22"/>
      <c r="O249" s="22"/>
      <c r="P249" s="22"/>
      <c r="Q249" s="22"/>
      <c r="R249" s="22"/>
      <c r="S249" s="22"/>
      <c r="T249" s="22"/>
      <c r="U249" s="22"/>
      <c r="V249" s="22"/>
      <c r="W249" s="22"/>
      <c r="X249" s="22"/>
      <c r="Y249" s="22"/>
      <c r="Z249" s="22"/>
      <c r="AA249" s="22"/>
      <c r="AB249" s="22"/>
      <c r="AC249" s="22"/>
      <c r="AD249" s="22"/>
      <c r="AE249" s="22"/>
      <c r="AF249" s="22"/>
      <c r="AG249" s="22"/>
      <c r="AH249" s="22"/>
      <c r="AI249" s="22"/>
      <c r="AJ249" s="22"/>
      <c r="AK249" s="22"/>
      <c r="AL249" s="22"/>
      <c r="AM249" s="22"/>
      <c r="AN249" s="22"/>
    </row>
    <row r="250" spans="1:40" x14ac:dyDescent="0.25">
      <c r="A250" s="22"/>
      <c r="B250" s="22"/>
      <c r="C250" s="22"/>
      <c r="D250" s="22"/>
      <c r="E250" s="22"/>
      <c r="F250" s="22"/>
      <c r="G250" s="22"/>
      <c r="H250" s="22"/>
      <c r="I250" s="22"/>
      <c r="J250" s="22"/>
      <c r="K250" s="22"/>
      <c r="L250" s="22"/>
      <c r="M250" s="22"/>
      <c r="N250" s="22"/>
      <c r="O250" s="22"/>
      <c r="P250" s="22"/>
      <c r="Q250" s="22"/>
      <c r="R250" s="22"/>
      <c r="S250" s="22"/>
      <c r="T250" s="22"/>
      <c r="U250" s="22"/>
      <c r="V250" s="22"/>
      <c r="W250" s="22"/>
      <c r="X250" s="22"/>
      <c r="Y250" s="22"/>
      <c r="Z250" s="22"/>
      <c r="AA250" s="22"/>
      <c r="AB250" s="22"/>
      <c r="AC250" s="22"/>
      <c r="AD250" s="22"/>
      <c r="AE250" s="22"/>
      <c r="AF250" s="22"/>
      <c r="AG250" s="22"/>
      <c r="AH250" s="22"/>
      <c r="AI250" s="22"/>
      <c r="AJ250" s="22"/>
      <c r="AK250" s="22"/>
      <c r="AL250" s="22"/>
      <c r="AM250" s="22"/>
      <c r="AN250" s="22"/>
    </row>
    <row r="251" spans="1:40" x14ac:dyDescent="0.25">
      <c r="A251" s="22"/>
      <c r="B251" s="22"/>
      <c r="C251" s="22"/>
      <c r="D251" s="22"/>
      <c r="E251" s="22"/>
      <c r="F251" s="22"/>
      <c r="G251" s="22"/>
      <c r="H251" s="22"/>
      <c r="I251" s="22"/>
      <c r="J251" s="22"/>
      <c r="K251" s="22"/>
      <c r="L251" s="22"/>
      <c r="M251" s="22"/>
      <c r="N251" s="22"/>
      <c r="O251" s="22"/>
      <c r="P251" s="22"/>
      <c r="Q251" s="22"/>
      <c r="R251" s="22"/>
      <c r="S251" s="22"/>
      <c r="T251" s="22"/>
      <c r="U251" s="22"/>
      <c r="V251" s="22"/>
      <c r="W251" s="22"/>
      <c r="X251" s="22"/>
      <c r="Y251" s="22"/>
      <c r="Z251" s="22"/>
      <c r="AA251" s="22"/>
      <c r="AB251" s="22"/>
      <c r="AC251" s="22"/>
      <c r="AD251" s="22"/>
      <c r="AE251" s="22"/>
      <c r="AF251" s="22"/>
      <c r="AG251" s="22"/>
      <c r="AH251" s="22"/>
      <c r="AI251" s="22"/>
      <c r="AJ251" s="22"/>
      <c r="AK251" s="22"/>
      <c r="AL251" s="22"/>
      <c r="AM251" s="22"/>
      <c r="AN251" s="22"/>
    </row>
    <row r="252" spans="1:40" x14ac:dyDescent="0.25">
      <c r="A252" s="22"/>
      <c r="B252" s="22"/>
      <c r="C252" s="22"/>
      <c r="D252" s="22"/>
      <c r="E252" s="22"/>
      <c r="F252" s="22"/>
      <c r="G252" s="22"/>
      <c r="H252" s="22"/>
      <c r="I252" s="22"/>
      <c r="J252" s="22"/>
      <c r="K252" s="22"/>
      <c r="L252" s="22"/>
      <c r="M252" s="22"/>
      <c r="N252" s="22"/>
      <c r="O252" s="22"/>
      <c r="P252" s="22"/>
      <c r="Q252" s="22"/>
      <c r="R252" s="22"/>
      <c r="S252" s="22"/>
      <c r="T252" s="22"/>
      <c r="U252" s="22"/>
      <c r="V252" s="22"/>
      <c r="W252" s="22"/>
      <c r="X252" s="22"/>
      <c r="Y252" s="22"/>
      <c r="Z252" s="22"/>
      <c r="AA252" s="22"/>
      <c r="AB252" s="22"/>
      <c r="AC252" s="22"/>
      <c r="AD252" s="22"/>
      <c r="AE252" s="22"/>
      <c r="AF252" s="22"/>
      <c r="AG252" s="22"/>
      <c r="AH252" s="22"/>
      <c r="AI252" s="22"/>
      <c r="AJ252" s="22"/>
      <c r="AK252" s="22"/>
      <c r="AL252" s="22"/>
      <c r="AM252" s="22"/>
      <c r="AN252" s="22"/>
    </row>
    <row r="253" spans="1:40" x14ac:dyDescent="0.25">
      <c r="A253" s="22"/>
      <c r="B253" s="22"/>
      <c r="C253" s="22"/>
      <c r="D253" s="22"/>
      <c r="E253" s="22"/>
      <c r="F253" s="22"/>
      <c r="G253" s="22"/>
      <c r="H253" s="22"/>
      <c r="I253" s="22"/>
      <c r="J253" s="22"/>
      <c r="K253" s="22"/>
      <c r="L253" s="22"/>
      <c r="M253" s="22"/>
      <c r="N253" s="22"/>
      <c r="O253" s="22"/>
      <c r="P253" s="22"/>
      <c r="Q253" s="22"/>
      <c r="R253" s="22"/>
      <c r="S253" s="22"/>
      <c r="T253" s="22"/>
      <c r="U253" s="22"/>
      <c r="V253" s="22"/>
      <c r="W253" s="22"/>
      <c r="X253" s="22"/>
      <c r="Y253" s="22"/>
      <c r="Z253" s="22"/>
      <c r="AA253" s="22"/>
      <c r="AB253" s="22"/>
      <c r="AC253" s="22"/>
      <c r="AD253" s="22"/>
      <c r="AE253" s="22"/>
      <c r="AF253" s="22"/>
      <c r="AG253" s="22"/>
      <c r="AH253" s="22"/>
      <c r="AI253" s="22"/>
      <c r="AJ253" s="22"/>
      <c r="AK253" s="22"/>
      <c r="AL253" s="22"/>
      <c r="AM253" s="22"/>
      <c r="AN253" s="22"/>
    </row>
    <row r="254" spans="1:40" x14ac:dyDescent="0.25">
      <c r="A254" s="22"/>
      <c r="B254" s="22"/>
      <c r="C254" s="22"/>
      <c r="D254" s="22"/>
      <c r="E254" s="22"/>
      <c r="F254" s="22"/>
      <c r="G254" s="22"/>
      <c r="H254" s="22"/>
      <c r="I254" s="22"/>
      <c r="J254" s="22"/>
      <c r="K254" s="22"/>
      <c r="L254" s="22"/>
      <c r="M254" s="22"/>
      <c r="N254" s="22"/>
      <c r="O254" s="22"/>
      <c r="P254" s="22"/>
      <c r="Q254" s="22"/>
      <c r="R254" s="22"/>
      <c r="S254" s="22"/>
      <c r="T254" s="22"/>
      <c r="U254" s="22"/>
      <c r="V254" s="22"/>
      <c r="W254" s="22"/>
      <c r="X254" s="22"/>
      <c r="Y254" s="22"/>
      <c r="Z254" s="22"/>
      <c r="AA254" s="22"/>
      <c r="AB254" s="22"/>
      <c r="AC254" s="22"/>
      <c r="AD254" s="22"/>
      <c r="AE254" s="22"/>
      <c r="AF254" s="22"/>
      <c r="AG254" s="22"/>
      <c r="AH254" s="22"/>
      <c r="AI254" s="22"/>
      <c r="AJ254" s="22"/>
      <c r="AK254" s="22"/>
      <c r="AL254" s="22"/>
      <c r="AM254" s="22"/>
      <c r="AN254" s="22"/>
    </row>
    <row r="255" spans="1:40" x14ac:dyDescent="0.25">
      <c r="A255" s="22"/>
      <c r="B255" s="22"/>
      <c r="C255" s="22"/>
      <c r="D255" s="22"/>
      <c r="E255" s="22"/>
      <c r="F255" s="22"/>
      <c r="G255" s="22"/>
      <c r="H255" s="22"/>
      <c r="I255" s="22"/>
      <c r="J255" s="22"/>
      <c r="K255" s="22"/>
      <c r="L255" s="22"/>
      <c r="M255" s="22"/>
      <c r="N255" s="22"/>
      <c r="O255" s="22"/>
      <c r="P255" s="22"/>
      <c r="Q255" s="22"/>
      <c r="R255" s="22"/>
      <c r="S255" s="22"/>
      <c r="T255" s="22"/>
      <c r="U255" s="22"/>
      <c r="V255" s="22"/>
      <c r="W255" s="22"/>
      <c r="X255" s="22"/>
      <c r="Y255" s="22"/>
      <c r="Z255" s="22"/>
      <c r="AA255" s="22"/>
      <c r="AB255" s="22"/>
      <c r="AC255" s="22"/>
      <c r="AD255" s="22"/>
      <c r="AE255" s="22"/>
      <c r="AF255" s="22"/>
      <c r="AG255" s="22"/>
      <c r="AH255" s="22"/>
      <c r="AI255" s="22"/>
      <c r="AJ255" s="22"/>
      <c r="AK255" s="22"/>
      <c r="AL255" s="22"/>
      <c r="AM255" s="22"/>
      <c r="AN255" s="22"/>
    </row>
    <row r="256" spans="1:40" x14ac:dyDescent="0.25">
      <c r="A256" s="22"/>
      <c r="B256" s="22"/>
      <c r="C256" s="22"/>
      <c r="D256" s="22"/>
      <c r="E256" s="22"/>
      <c r="F256" s="22"/>
      <c r="G256" s="22"/>
      <c r="H256" s="22"/>
      <c r="I256" s="22"/>
      <c r="J256" s="22"/>
      <c r="K256" s="22"/>
      <c r="L256" s="22"/>
      <c r="M256" s="22"/>
      <c r="N256" s="22"/>
      <c r="O256" s="22"/>
      <c r="P256" s="22"/>
      <c r="Q256" s="22"/>
      <c r="R256" s="22"/>
      <c r="S256" s="22"/>
      <c r="T256" s="22"/>
      <c r="U256" s="22"/>
      <c r="V256" s="22"/>
      <c r="W256" s="22"/>
      <c r="X256" s="22"/>
      <c r="Y256" s="22"/>
      <c r="Z256" s="22"/>
      <c r="AA256" s="22"/>
      <c r="AB256" s="22"/>
      <c r="AC256" s="22"/>
      <c r="AD256" s="22"/>
      <c r="AE256" s="22"/>
      <c r="AF256" s="22"/>
      <c r="AG256" s="22"/>
      <c r="AH256" s="22"/>
      <c r="AI256" s="22"/>
      <c r="AJ256" s="22"/>
      <c r="AK256" s="22"/>
      <c r="AL256" s="22"/>
      <c r="AM256" s="22"/>
      <c r="AN256" s="22"/>
    </row>
    <row r="257" spans="1:40" x14ac:dyDescent="0.25">
      <c r="A257" s="22"/>
      <c r="B257" s="22"/>
      <c r="C257" s="22"/>
      <c r="D257" s="22"/>
      <c r="E257" s="22"/>
      <c r="F257" s="22"/>
      <c r="G257" s="22"/>
      <c r="H257" s="22"/>
      <c r="I257" s="22"/>
      <c r="J257" s="22"/>
      <c r="K257" s="22"/>
      <c r="L257" s="22"/>
      <c r="M257" s="22"/>
      <c r="N257" s="22"/>
      <c r="O257" s="22"/>
      <c r="P257" s="22"/>
      <c r="Q257" s="22"/>
      <c r="R257" s="22"/>
      <c r="S257" s="22"/>
      <c r="T257" s="22"/>
      <c r="U257" s="22"/>
      <c r="V257" s="22"/>
      <c r="W257" s="22"/>
      <c r="X257" s="22"/>
      <c r="Y257" s="22"/>
      <c r="Z257" s="22"/>
      <c r="AA257" s="22"/>
      <c r="AB257" s="22"/>
      <c r="AC257" s="22"/>
      <c r="AD257" s="22"/>
      <c r="AE257" s="22"/>
      <c r="AF257" s="22"/>
      <c r="AG257" s="22"/>
      <c r="AH257" s="22"/>
      <c r="AI257" s="22"/>
      <c r="AJ257" s="22"/>
      <c r="AK257" s="22"/>
      <c r="AL257" s="22"/>
      <c r="AM257" s="22"/>
      <c r="AN257" s="22"/>
    </row>
    <row r="258" spans="1:40" x14ac:dyDescent="0.25">
      <c r="A258" s="22"/>
      <c r="B258" s="22"/>
      <c r="C258" s="22"/>
      <c r="D258" s="22"/>
      <c r="E258" s="22"/>
      <c r="F258" s="22"/>
      <c r="G258" s="22"/>
      <c r="H258" s="22"/>
      <c r="I258" s="22"/>
      <c r="J258" s="22"/>
      <c r="K258" s="22"/>
      <c r="L258" s="22"/>
      <c r="M258" s="22"/>
      <c r="N258" s="22"/>
      <c r="O258" s="22"/>
      <c r="P258" s="22"/>
      <c r="Q258" s="22"/>
      <c r="R258" s="22"/>
      <c r="S258" s="22"/>
      <c r="T258" s="22"/>
      <c r="U258" s="22"/>
      <c r="V258" s="22"/>
      <c r="W258" s="22"/>
      <c r="X258" s="22"/>
      <c r="Y258" s="22"/>
      <c r="Z258" s="22"/>
      <c r="AA258" s="22"/>
      <c r="AB258" s="22"/>
      <c r="AC258" s="22"/>
      <c r="AD258" s="22"/>
      <c r="AE258" s="22"/>
      <c r="AF258" s="22"/>
      <c r="AG258" s="22"/>
      <c r="AH258" s="22"/>
      <c r="AI258" s="22"/>
      <c r="AJ258" s="22"/>
      <c r="AK258" s="22"/>
      <c r="AL258" s="22"/>
      <c r="AM258" s="22"/>
      <c r="AN258" s="22"/>
    </row>
    <row r="259" spans="1:40" x14ac:dyDescent="0.25">
      <c r="A259" s="22"/>
      <c r="B259" s="22"/>
      <c r="C259" s="22"/>
      <c r="D259" s="22"/>
      <c r="E259" s="22"/>
      <c r="F259" s="22"/>
      <c r="G259" s="22"/>
      <c r="H259" s="22"/>
      <c r="I259" s="22"/>
      <c r="J259" s="22"/>
      <c r="K259" s="22"/>
      <c r="L259" s="22"/>
      <c r="M259" s="22"/>
      <c r="N259" s="22"/>
      <c r="O259" s="22"/>
      <c r="P259" s="22"/>
      <c r="Q259" s="22"/>
      <c r="R259" s="22"/>
      <c r="S259" s="22"/>
      <c r="T259" s="22"/>
      <c r="U259" s="22"/>
      <c r="V259" s="22"/>
      <c r="W259" s="22"/>
      <c r="X259" s="22"/>
      <c r="Y259" s="22"/>
      <c r="Z259" s="22"/>
      <c r="AA259" s="22"/>
      <c r="AB259" s="22"/>
      <c r="AC259" s="22"/>
      <c r="AD259" s="22"/>
      <c r="AE259" s="22"/>
      <c r="AF259" s="22"/>
      <c r="AG259" s="22"/>
      <c r="AH259" s="22"/>
      <c r="AI259" s="22"/>
      <c r="AJ259" s="22"/>
      <c r="AK259" s="22"/>
      <c r="AL259" s="22"/>
      <c r="AM259" s="22"/>
      <c r="AN259" s="22"/>
    </row>
    <row r="260" spans="1:40" x14ac:dyDescent="0.25">
      <c r="A260" s="22"/>
      <c r="B260" s="22"/>
      <c r="C260" s="22"/>
      <c r="D260" s="22"/>
      <c r="E260" s="22"/>
      <c r="F260" s="22"/>
      <c r="G260" s="22"/>
      <c r="H260" s="22"/>
      <c r="I260" s="22"/>
      <c r="J260" s="22"/>
      <c r="K260" s="22"/>
      <c r="L260" s="22"/>
      <c r="M260" s="22"/>
      <c r="N260" s="22"/>
      <c r="O260" s="22"/>
      <c r="P260" s="22"/>
      <c r="Q260" s="22"/>
      <c r="R260" s="22"/>
      <c r="S260" s="22"/>
      <c r="T260" s="22"/>
      <c r="U260" s="22"/>
      <c r="V260" s="22"/>
      <c r="W260" s="22"/>
      <c r="X260" s="22"/>
      <c r="Y260" s="22"/>
      <c r="Z260" s="22"/>
      <c r="AA260" s="22"/>
      <c r="AB260" s="22"/>
      <c r="AC260" s="22"/>
      <c r="AD260" s="22"/>
      <c r="AE260" s="22"/>
      <c r="AF260" s="22"/>
      <c r="AG260" s="22"/>
      <c r="AH260" s="22"/>
      <c r="AI260" s="22"/>
      <c r="AJ260" s="22"/>
      <c r="AK260" s="22"/>
      <c r="AL260" s="22"/>
      <c r="AM260" s="22"/>
      <c r="AN260" s="22"/>
    </row>
    <row r="261" spans="1:40" x14ac:dyDescent="0.25">
      <c r="A261" s="22"/>
      <c r="B261" s="22"/>
      <c r="C261" s="22"/>
      <c r="D261" s="22"/>
      <c r="E261" s="22"/>
      <c r="F261" s="22"/>
      <c r="G261" s="22"/>
      <c r="H261" s="22"/>
      <c r="I261" s="22"/>
      <c r="J261" s="22"/>
      <c r="K261" s="22"/>
      <c r="L261" s="22"/>
      <c r="M261" s="22"/>
      <c r="N261" s="22"/>
      <c r="O261" s="22"/>
      <c r="P261" s="22"/>
      <c r="Q261" s="22"/>
      <c r="R261" s="22"/>
      <c r="S261" s="22"/>
      <c r="T261" s="22"/>
      <c r="U261" s="22"/>
      <c r="V261" s="22"/>
      <c r="W261" s="22"/>
      <c r="X261" s="22"/>
      <c r="Y261" s="22"/>
      <c r="Z261" s="22"/>
      <c r="AA261" s="22"/>
      <c r="AB261" s="22"/>
      <c r="AC261" s="22"/>
      <c r="AD261" s="22"/>
      <c r="AE261" s="22"/>
      <c r="AF261" s="22"/>
      <c r="AG261" s="22"/>
      <c r="AH261" s="22"/>
      <c r="AI261" s="22"/>
      <c r="AJ261" s="22"/>
      <c r="AK261" s="22"/>
      <c r="AL261" s="22"/>
      <c r="AM261" s="22"/>
      <c r="AN261" s="22"/>
    </row>
    <row r="262" spans="1:40" x14ac:dyDescent="0.25">
      <c r="A262" s="22"/>
      <c r="B262" s="22"/>
      <c r="C262" s="22"/>
      <c r="D262" s="22"/>
      <c r="E262" s="22"/>
      <c r="F262" s="22"/>
      <c r="G262" s="22"/>
      <c r="H262" s="22"/>
      <c r="I262" s="22"/>
      <c r="J262" s="22"/>
      <c r="K262" s="22"/>
      <c r="L262" s="22"/>
      <c r="M262" s="22"/>
      <c r="N262" s="22"/>
      <c r="O262" s="22"/>
      <c r="P262" s="22"/>
      <c r="Q262" s="22"/>
      <c r="R262" s="22"/>
      <c r="S262" s="22"/>
      <c r="T262" s="22"/>
      <c r="U262" s="22"/>
      <c r="V262" s="22"/>
      <c r="W262" s="22"/>
      <c r="X262" s="22"/>
      <c r="Y262" s="22"/>
      <c r="Z262" s="22"/>
      <c r="AA262" s="22"/>
      <c r="AB262" s="22"/>
      <c r="AC262" s="22"/>
      <c r="AD262" s="22"/>
      <c r="AE262" s="22"/>
      <c r="AF262" s="22"/>
      <c r="AG262" s="22"/>
      <c r="AH262" s="22"/>
      <c r="AI262" s="22"/>
      <c r="AJ262" s="22"/>
      <c r="AK262" s="22"/>
      <c r="AL262" s="22"/>
      <c r="AM262" s="22"/>
      <c r="AN262" s="22"/>
    </row>
    <row r="263" spans="1:40" x14ac:dyDescent="0.25">
      <c r="A263" s="22"/>
      <c r="B263" s="22"/>
      <c r="C263" s="22"/>
      <c r="D263" s="22"/>
      <c r="E263" s="22"/>
      <c r="F263" s="22"/>
      <c r="G263" s="22"/>
      <c r="H263" s="22"/>
      <c r="I263" s="22"/>
      <c r="J263" s="22"/>
      <c r="K263" s="22"/>
      <c r="L263" s="22"/>
      <c r="M263" s="22"/>
      <c r="N263" s="22"/>
      <c r="O263" s="22"/>
      <c r="P263" s="22"/>
      <c r="Q263" s="22"/>
      <c r="R263" s="22"/>
      <c r="S263" s="22"/>
      <c r="T263" s="22"/>
      <c r="U263" s="22"/>
      <c r="V263" s="22"/>
      <c r="W263" s="22"/>
      <c r="X263" s="22"/>
      <c r="Y263" s="22"/>
      <c r="Z263" s="22"/>
      <c r="AA263" s="22"/>
      <c r="AB263" s="22"/>
      <c r="AC263" s="22"/>
      <c r="AD263" s="22"/>
      <c r="AE263" s="22"/>
      <c r="AF263" s="22"/>
      <c r="AG263" s="22"/>
      <c r="AH263" s="22"/>
      <c r="AI263" s="22"/>
      <c r="AJ263" s="22"/>
      <c r="AK263" s="22"/>
      <c r="AL263" s="22"/>
      <c r="AM263" s="22"/>
      <c r="AN263" s="22"/>
    </row>
    <row r="264" spans="1:40" x14ac:dyDescent="0.25">
      <c r="A264" s="22"/>
      <c r="B264" s="22"/>
      <c r="C264" s="22"/>
      <c r="D264" s="22"/>
      <c r="E264" s="22"/>
      <c r="F264" s="22"/>
      <c r="G264" s="22"/>
      <c r="H264" s="22"/>
      <c r="I264" s="22"/>
      <c r="J264" s="22"/>
      <c r="K264" s="22"/>
      <c r="L264" s="22"/>
      <c r="M264" s="22"/>
      <c r="N264" s="22"/>
      <c r="O264" s="22"/>
      <c r="P264" s="22"/>
      <c r="Q264" s="22"/>
      <c r="R264" s="22"/>
      <c r="S264" s="22"/>
      <c r="T264" s="22"/>
      <c r="U264" s="22"/>
      <c r="V264" s="22"/>
      <c r="W264" s="22"/>
      <c r="X264" s="22"/>
      <c r="Y264" s="22"/>
      <c r="Z264" s="22"/>
      <c r="AA264" s="22"/>
      <c r="AB264" s="22"/>
      <c r="AC264" s="22"/>
      <c r="AD264" s="22"/>
      <c r="AE264" s="22"/>
      <c r="AF264" s="22"/>
      <c r="AG264" s="22"/>
      <c r="AH264" s="22"/>
      <c r="AI264" s="22"/>
      <c r="AJ264" s="22"/>
      <c r="AK264" s="22"/>
      <c r="AL264" s="22"/>
      <c r="AM264" s="22"/>
      <c r="AN264" s="22"/>
    </row>
    <row r="265" spans="1:40" x14ac:dyDescent="0.25">
      <c r="A265" s="22"/>
      <c r="B265" s="22"/>
      <c r="C265" s="22"/>
      <c r="D265" s="22"/>
      <c r="E265" s="22"/>
      <c r="F265" s="22"/>
      <c r="G265" s="22"/>
      <c r="H265" s="22"/>
      <c r="I265" s="22"/>
      <c r="J265" s="22"/>
      <c r="K265" s="22"/>
      <c r="L265" s="22"/>
      <c r="M265" s="22"/>
      <c r="N265" s="22"/>
      <c r="O265" s="22"/>
      <c r="P265" s="22"/>
      <c r="Q265" s="22"/>
      <c r="R265" s="22"/>
      <c r="S265" s="22"/>
      <c r="T265" s="22"/>
      <c r="U265" s="22"/>
      <c r="V265" s="22"/>
      <c r="W265" s="22"/>
      <c r="X265" s="22"/>
      <c r="Y265" s="22"/>
      <c r="Z265" s="22"/>
      <c r="AA265" s="22"/>
      <c r="AB265" s="22"/>
      <c r="AC265" s="22"/>
      <c r="AD265" s="22"/>
      <c r="AE265" s="22"/>
      <c r="AF265" s="22"/>
      <c r="AG265" s="22"/>
      <c r="AH265" s="22"/>
      <c r="AI265" s="22"/>
      <c r="AJ265" s="22"/>
      <c r="AK265" s="22"/>
      <c r="AL265" s="22"/>
      <c r="AM265" s="22"/>
      <c r="AN265" s="22"/>
    </row>
    <row r="266" spans="1:40" x14ac:dyDescent="0.25">
      <c r="A266" s="22"/>
      <c r="B266" s="22"/>
      <c r="C266" s="22"/>
      <c r="D266" s="22"/>
      <c r="E266" s="22"/>
      <c r="F266" s="22"/>
      <c r="G266" s="22"/>
      <c r="H266" s="22"/>
      <c r="I266" s="22"/>
      <c r="J266" s="22"/>
      <c r="K266" s="22"/>
      <c r="L266" s="22"/>
      <c r="M266" s="22"/>
      <c r="N266" s="22"/>
      <c r="O266" s="22"/>
      <c r="P266" s="22"/>
      <c r="Q266" s="22"/>
      <c r="R266" s="22"/>
      <c r="S266" s="22"/>
      <c r="T266" s="22"/>
      <c r="U266" s="22"/>
      <c r="V266" s="22"/>
      <c r="W266" s="22"/>
      <c r="X266" s="22"/>
      <c r="Y266" s="22"/>
      <c r="Z266" s="22"/>
      <c r="AA266" s="22"/>
      <c r="AB266" s="22"/>
      <c r="AC266" s="22"/>
      <c r="AD266" s="22"/>
      <c r="AE266" s="22"/>
      <c r="AF266" s="22"/>
      <c r="AG266" s="22"/>
      <c r="AH266" s="22"/>
      <c r="AI266" s="22"/>
      <c r="AJ266" s="22"/>
      <c r="AK266" s="22"/>
      <c r="AL266" s="22"/>
      <c r="AM266" s="22"/>
      <c r="AN266" s="22"/>
    </row>
    <row r="267" spans="1:40" x14ac:dyDescent="0.25">
      <c r="A267" s="22"/>
      <c r="B267" s="22"/>
      <c r="C267" s="22"/>
      <c r="D267" s="22"/>
      <c r="E267" s="22"/>
      <c r="F267" s="22"/>
      <c r="G267" s="22"/>
      <c r="H267" s="22"/>
      <c r="I267" s="22"/>
      <c r="J267" s="22"/>
      <c r="K267" s="22"/>
      <c r="L267" s="22"/>
      <c r="M267" s="22"/>
      <c r="N267" s="22"/>
      <c r="O267" s="22"/>
      <c r="P267" s="22"/>
      <c r="Q267" s="22"/>
      <c r="R267" s="22"/>
      <c r="S267" s="22"/>
      <c r="T267" s="22"/>
      <c r="U267" s="22"/>
      <c r="V267" s="22"/>
      <c r="W267" s="22"/>
      <c r="X267" s="22"/>
      <c r="Y267" s="22"/>
      <c r="Z267" s="22"/>
      <c r="AA267" s="22"/>
      <c r="AB267" s="22"/>
      <c r="AC267" s="22"/>
      <c r="AD267" s="22"/>
      <c r="AE267" s="22"/>
      <c r="AF267" s="22"/>
      <c r="AG267" s="22"/>
      <c r="AH267" s="22"/>
      <c r="AI267" s="22"/>
      <c r="AJ267" s="22"/>
      <c r="AK267" s="22"/>
      <c r="AL267" s="22"/>
      <c r="AM267" s="22"/>
      <c r="AN267" s="22"/>
    </row>
    <row r="268" spans="1:40" x14ac:dyDescent="0.25">
      <c r="A268" s="22"/>
      <c r="B268" s="22"/>
      <c r="C268" s="22"/>
      <c r="D268" s="22"/>
      <c r="E268" s="22"/>
      <c r="F268" s="22"/>
      <c r="G268" s="22"/>
      <c r="H268" s="22"/>
      <c r="I268" s="22"/>
      <c r="J268" s="22"/>
      <c r="K268" s="22"/>
      <c r="L268" s="22"/>
      <c r="M268" s="22"/>
      <c r="N268" s="22"/>
      <c r="O268" s="22"/>
      <c r="P268" s="22"/>
      <c r="Q268" s="22"/>
      <c r="R268" s="22"/>
      <c r="S268" s="22"/>
      <c r="T268" s="22"/>
      <c r="U268" s="22"/>
      <c r="V268" s="22"/>
      <c r="W268" s="22"/>
      <c r="X268" s="22"/>
      <c r="Y268" s="22"/>
      <c r="Z268" s="22"/>
      <c r="AA268" s="22"/>
      <c r="AB268" s="22"/>
      <c r="AC268" s="22"/>
      <c r="AD268" s="22"/>
      <c r="AE268" s="22"/>
      <c r="AF268" s="22"/>
      <c r="AG268" s="22"/>
      <c r="AH268" s="22"/>
      <c r="AI268" s="22"/>
      <c r="AJ268" s="22"/>
      <c r="AK268" s="22"/>
      <c r="AL268" s="22"/>
      <c r="AM268" s="22"/>
      <c r="AN268" s="22"/>
    </row>
    <row r="269" spans="1:40" x14ac:dyDescent="0.25">
      <c r="A269" s="22"/>
      <c r="B269" s="22"/>
      <c r="C269" s="22"/>
      <c r="D269" s="22"/>
      <c r="E269" s="22"/>
      <c r="F269" s="22"/>
      <c r="G269" s="22"/>
      <c r="H269" s="22"/>
      <c r="I269" s="22"/>
      <c r="J269" s="22"/>
      <c r="K269" s="22"/>
      <c r="L269" s="22"/>
      <c r="M269" s="22"/>
      <c r="N269" s="22"/>
      <c r="O269" s="22"/>
      <c r="P269" s="22"/>
      <c r="Q269" s="22"/>
      <c r="R269" s="22"/>
      <c r="S269" s="22"/>
      <c r="T269" s="22"/>
      <c r="U269" s="22"/>
      <c r="V269" s="22"/>
      <c r="W269" s="22"/>
      <c r="X269" s="22"/>
      <c r="Y269" s="22"/>
      <c r="Z269" s="22"/>
      <c r="AA269" s="22"/>
      <c r="AB269" s="22"/>
      <c r="AC269" s="22"/>
      <c r="AD269" s="22"/>
      <c r="AE269" s="22"/>
      <c r="AF269" s="22"/>
      <c r="AG269" s="22"/>
      <c r="AH269" s="22"/>
      <c r="AI269" s="22"/>
      <c r="AJ269" s="22"/>
      <c r="AK269" s="22"/>
      <c r="AL269" s="22"/>
      <c r="AM269" s="22"/>
      <c r="AN269" s="22"/>
    </row>
    <row r="270" spans="1:40" x14ac:dyDescent="0.25">
      <c r="A270" s="22"/>
      <c r="B270" s="22"/>
      <c r="C270" s="22"/>
      <c r="D270" s="22"/>
      <c r="E270" s="22"/>
      <c r="F270" s="22"/>
      <c r="G270" s="22"/>
      <c r="H270" s="22"/>
      <c r="I270" s="22"/>
      <c r="J270" s="22"/>
      <c r="K270" s="22"/>
      <c r="L270" s="22"/>
      <c r="M270" s="22"/>
      <c r="N270" s="22"/>
      <c r="O270" s="22"/>
      <c r="P270" s="22"/>
      <c r="Q270" s="22"/>
      <c r="R270" s="22"/>
      <c r="S270" s="22"/>
      <c r="T270" s="22"/>
      <c r="U270" s="22"/>
      <c r="V270" s="22"/>
      <c r="W270" s="22"/>
      <c r="X270" s="22"/>
      <c r="Y270" s="22"/>
      <c r="Z270" s="22"/>
      <c r="AA270" s="22"/>
      <c r="AB270" s="22"/>
      <c r="AC270" s="22"/>
      <c r="AD270" s="22"/>
      <c r="AE270" s="22"/>
      <c r="AF270" s="22"/>
      <c r="AG270" s="22"/>
      <c r="AH270" s="22"/>
      <c r="AI270" s="22"/>
      <c r="AJ270" s="22"/>
      <c r="AK270" s="22"/>
      <c r="AL270" s="22"/>
      <c r="AM270" s="22"/>
      <c r="AN270" s="22"/>
    </row>
    <row r="271" spans="1:40" x14ac:dyDescent="0.25">
      <c r="A271" s="22"/>
      <c r="B271" s="22"/>
      <c r="C271" s="22"/>
      <c r="D271" s="22"/>
      <c r="E271" s="22"/>
      <c r="F271" s="22"/>
      <c r="G271" s="22"/>
      <c r="H271" s="22"/>
      <c r="I271" s="22"/>
      <c r="J271" s="22"/>
      <c r="K271" s="22"/>
      <c r="L271" s="22"/>
      <c r="M271" s="22"/>
      <c r="N271" s="22"/>
      <c r="O271" s="22"/>
      <c r="P271" s="22"/>
      <c r="Q271" s="22"/>
      <c r="R271" s="22"/>
      <c r="S271" s="22"/>
      <c r="T271" s="22"/>
      <c r="U271" s="22"/>
      <c r="V271" s="22"/>
      <c r="W271" s="22"/>
      <c r="X271" s="22"/>
      <c r="Y271" s="22"/>
      <c r="Z271" s="22"/>
      <c r="AA271" s="22"/>
      <c r="AB271" s="22"/>
      <c r="AC271" s="22"/>
      <c r="AD271" s="22"/>
      <c r="AE271" s="22"/>
      <c r="AF271" s="22"/>
      <c r="AG271" s="22"/>
      <c r="AH271" s="22"/>
      <c r="AI271" s="22"/>
      <c r="AJ271" s="22"/>
      <c r="AK271" s="22"/>
      <c r="AL271" s="22"/>
      <c r="AM271" s="22"/>
      <c r="AN271" s="22"/>
    </row>
    <row r="272" spans="1:40" x14ac:dyDescent="0.25">
      <c r="A272" s="22"/>
      <c r="B272" s="22"/>
      <c r="C272" s="22"/>
      <c r="D272" s="22"/>
      <c r="E272" s="22"/>
      <c r="F272" s="22"/>
      <c r="G272" s="22"/>
      <c r="H272" s="22"/>
      <c r="I272" s="22"/>
      <c r="J272" s="22"/>
      <c r="K272" s="22"/>
      <c r="L272" s="22"/>
      <c r="M272" s="22"/>
      <c r="N272" s="22"/>
      <c r="O272" s="22"/>
      <c r="P272" s="22"/>
      <c r="Q272" s="22"/>
      <c r="R272" s="22"/>
      <c r="S272" s="22"/>
      <c r="T272" s="22"/>
      <c r="U272" s="22"/>
      <c r="V272" s="22"/>
      <c r="W272" s="22"/>
      <c r="X272" s="22"/>
      <c r="Y272" s="22"/>
      <c r="Z272" s="22"/>
      <c r="AA272" s="22"/>
      <c r="AB272" s="22"/>
      <c r="AC272" s="22"/>
      <c r="AD272" s="22"/>
      <c r="AE272" s="22"/>
      <c r="AF272" s="22"/>
      <c r="AG272" s="22"/>
      <c r="AH272" s="22"/>
      <c r="AI272" s="22"/>
      <c r="AJ272" s="22"/>
      <c r="AK272" s="22"/>
      <c r="AL272" s="22"/>
      <c r="AM272" s="22"/>
      <c r="AN272" s="22"/>
    </row>
    <row r="273" spans="1:40" x14ac:dyDescent="0.25">
      <c r="A273" s="22"/>
      <c r="B273" s="22"/>
      <c r="C273" s="22"/>
      <c r="D273" s="22"/>
      <c r="E273" s="22"/>
      <c r="F273" s="22"/>
      <c r="G273" s="22"/>
      <c r="H273" s="22"/>
      <c r="I273" s="22"/>
      <c r="J273" s="22"/>
      <c r="K273" s="22"/>
      <c r="L273" s="22"/>
      <c r="M273" s="22"/>
      <c r="N273" s="22"/>
      <c r="O273" s="22"/>
      <c r="P273" s="22"/>
      <c r="Q273" s="22"/>
      <c r="R273" s="22"/>
      <c r="S273" s="22"/>
      <c r="T273" s="22"/>
      <c r="U273" s="22"/>
      <c r="V273" s="22"/>
      <c r="W273" s="22"/>
      <c r="X273" s="22"/>
      <c r="Y273" s="22"/>
      <c r="Z273" s="22"/>
      <c r="AA273" s="22"/>
      <c r="AB273" s="22"/>
      <c r="AC273" s="22"/>
      <c r="AD273" s="22"/>
      <c r="AE273" s="22"/>
      <c r="AF273" s="22"/>
      <c r="AG273" s="22"/>
      <c r="AH273" s="22"/>
      <c r="AI273" s="22"/>
      <c r="AJ273" s="22"/>
      <c r="AK273" s="22"/>
      <c r="AL273" s="22"/>
      <c r="AM273" s="22"/>
      <c r="AN273" s="22"/>
    </row>
    <row r="274" spans="1:40" x14ac:dyDescent="0.25">
      <c r="A274" s="22"/>
      <c r="B274" s="22"/>
      <c r="C274" s="22"/>
      <c r="D274" s="22"/>
      <c r="E274" s="22"/>
      <c r="F274" s="22"/>
      <c r="G274" s="22"/>
      <c r="H274" s="22"/>
      <c r="I274" s="22"/>
      <c r="J274" s="22"/>
      <c r="K274" s="22"/>
      <c r="L274" s="22"/>
      <c r="M274" s="22"/>
      <c r="N274" s="22"/>
      <c r="O274" s="22"/>
      <c r="P274" s="22"/>
      <c r="Q274" s="22"/>
      <c r="R274" s="22"/>
      <c r="S274" s="22"/>
      <c r="T274" s="22"/>
      <c r="U274" s="22"/>
      <c r="V274" s="22"/>
      <c r="W274" s="22"/>
      <c r="X274" s="22"/>
      <c r="Y274" s="22"/>
      <c r="Z274" s="22"/>
      <c r="AA274" s="22"/>
      <c r="AB274" s="22"/>
      <c r="AC274" s="22"/>
      <c r="AD274" s="22"/>
      <c r="AE274" s="22"/>
      <c r="AF274" s="22"/>
      <c r="AG274" s="22"/>
      <c r="AH274" s="22"/>
      <c r="AI274" s="22"/>
      <c r="AJ274" s="22"/>
      <c r="AK274" s="22"/>
      <c r="AL274" s="22"/>
      <c r="AM274" s="22"/>
      <c r="AN274" s="22"/>
    </row>
    <row r="275" spans="1:40" x14ac:dyDescent="0.25">
      <c r="A275" s="22"/>
      <c r="B275" s="22"/>
      <c r="C275" s="22"/>
      <c r="D275" s="22"/>
      <c r="E275" s="22"/>
      <c r="F275" s="22"/>
      <c r="G275" s="22"/>
      <c r="H275" s="22"/>
      <c r="I275" s="22"/>
      <c r="J275" s="22"/>
      <c r="K275" s="22"/>
      <c r="L275" s="22"/>
      <c r="M275" s="22"/>
      <c r="N275" s="22"/>
      <c r="O275" s="22"/>
      <c r="P275" s="22"/>
      <c r="Q275" s="22"/>
      <c r="R275" s="22"/>
      <c r="S275" s="22"/>
      <c r="T275" s="22"/>
      <c r="U275" s="22"/>
      <c r="V275" s="22"/>
      <c r="W275" s="22"/>
      <c r="X275" s="22"/>
      <c r="Y275" s="22"/>
      <c r="Z275" s="22"/>
      <c r="AA275" s="22"/>
      <c r="AB275" s="22"/>
      <c r="AC275" s="22"/>
      <c r="AD275" s="22"/>
      <c r="AE275" s="22"/>
      <c r="AF275" s="22"/>
      <c r="AG275" s="22"/>
      <c r="AH275" s="22"/>
      <c r="AI275" s="22"/>
      <c r="AJ275" s="22"/>
      <c r="AK275" s="22"/>
      <c r="AL275" s="22"/>
      <c r="AM275" s="22"/>
      <c r="AN275" s="22"/>
    </row>
    <row r="276" spans="1:40" x14ac:dyDescent="0.25">
      <c r="A276" s="22"/>
      <c r="B276" s="22"/>
      <c r="C276" s="22"/>
      <c r="D276" s="22"/>
      <c r="E276" s="22"/>
      <c r="F276" s="22"/>
      <c r="G276" s="22"/>
      <c r="H276" s="22"/>
      <c r="I276" s="22"/>
      <c r="J276" s="22"/>
      <c r="K276" s="22"/>
      <c r="L276" s="22"/>
      <c r="M276" s="22"/>
      <c r="N276" s="22"/>
      <c r="O276" s="22"/>
      <c r="P276" s="22"/>
      <c r="Q276" s="22"/>
      <c r="R276" s="22"/>
      <c r="S276" s="22"/>
      <c r="T276" s="22"/>
      <c r="U276" s="22"/>
      <c r="V276" s="22"/>
      <c r="W276" s="22"/>
      <c r="X276" s="22"/>
      <c r="Y276" s="22"/>
      <c r="Z276" s="22"/>
      <c r="AA276" s="22"/>
      <c r="AB276" s="22"/>
      <c r="AC276" s="22"/>
      <c r="AD276" s="22"/>
      <c r="AE276" s="22"/>
      <c r="AF276" s="22"/>
      <c r="AG276" s="22"/>
      <c r="AH276" s="22"/>
      <c r="AI276" s="22"/>
      <c r="AJ276" s="22"/>
      <c r="AK276" s="22"/>
      <c r="AL276" s="22"/>
      <c r="AM276" s="22"/>
      <c r="AN276" s="22"/>
    </row>
    <row r="277" spans="1:40" x14ac:dyDescent="0.25">
      <c r="A277" s="22"/>
      <c r="B277" s="22"/>
      <c r="C277" s="22"/>
      <c r="D277" s="22"/>
      <c r="E277" s="22"/>
      <c r="F277" s="22"/>
      <c r="G277" s="22"/>
      <c r="H277" s="22"/>
      <c r="I277" s="22"/>
      <c r="J277" s="22"/>
      <c r="K277" s="22"/>
      <c r="L277" s="22"/>
      <c r="M277" s="22"/>
      <c r="N277" s="22"/>
      <c r="O277" s="22"/>
      <c r="P277" s="22"/>
      <c r="Q277" s="22"/>
      <c r="R277" s="22"/>
      <c r="S277" s="22"/>
      <c r="T277" s="22"/>
      <c r="U277" s="22"/>
      <c r="V277" s="22"/>
      <c r="W277" s="22"/>
      <c r="X277" s="22"/>
      <c r="Y277" s="22"/>
      <c r="Z277" s="22"/>
      <c r="AA277" s="22"/>
      <c r="AB277" s="22"/>
      <c r="AC277" s="22"/>
      <c r="AD277" s="22"/>
      <c r="AE277" s="22"/>
      <c r="AF277" s="22"/>
      <c r="AG277" s="22"/>
      <c r="AH277" s="22"/>
      <c r="AI277" s="22"/>
      <c r="AJ277" s="22"/>
      <c r="AK277" s="22"/>
      <c r="AL277" s="22"/>
      <c r="AM277" s="22"/>
      <c r="AN277" s="22"/>
    </row>
    <row r="278" spans="1:40" x14ac:dyDescent="0.25">
      <c r="A278" s="22"/>
      <c r="B278" s="22"/>
      <c r="C278" s="22"/>
      <c r="D278" s="22"/>
      <c r="E278" s="22"/>
      <c r="F278" s="22"/>
      <c r="G278" s="22"/>
      <c r="H278" s="22"/>
      <c r="I278" s="22"/>
      <c r="J278" s="22"/>
      <c r="K278" s="22"/>
      <c r="L278" s="22"/>
      <c r="M278" s="22"/>
      <c r="N278" s="22"/>
      <c r="O278" s="22"/>
      <c r="P278" s="22"/>
      <c r="Q278" s="22"/>
      <c r="R278" s="22"/>
      <c r="S278" s="22"/>
      <c r="T278" s="22"/>
      <c r="U278" s="22"/>
      <c r="V278" s="22"/>
      <c r="W278" s="22"/>
      <c r="X278" s="22"/>
      <c r="Y278" s="22"/>
      <c r="Z278" s="22"/>
      <c r="AA278" s="22"/>
      <c r="AB278" s="22"/>
      <c r="AC278" s="22"/>
      <c r="AD278" s="22"/>
      <c r="AE278" s="22"/>
      <c r="AF278" s="22"/>
      <c r="AG278" s="22"/>
      <c r="AH278" s="22"/>
      <c r="AI278" s="22"/>
      <c r="AJ278" s="22"/>
      <c r="AK278" s="22"/>
      <c r="AL278" s="22"/>
      <c r="AM278" s="22"/>
      <c r="AN278" s="22"/>
    </row>
    <row r="279" spans="1:40" x14ac:dyDescent="0.25">
      <c r="A279" s="22"/>
      <c r="B279" s="22"/>
      <c r="C279" s="22"/>
      <c r="D279" s="22"/>
      <c r="E279" s="22"/>
      <c r="F279" s="22"/>
      <c r="G279" s="22"/>
      <c r="H279" s="22"/>
      <c r="I279" s="22"/>
      <c r="J279" s="22"/>
      <c r="K279" s="22"/>
      <c r="L279" s="22"/>
      <c r="M279" s="22"/>
      <c r="N279" s="22"/>
      <c r="O279" s="22"/>
      <c r="P279" s="22"/>
      <c r="Q279" s="22"/>
      <c r="R279" s="22"/>
      <c r="S279" s="22"/>
      <c r="T279" s="22"/>
      <c r="U279" s="22"/>
      <c r="V279" s="22"/>
      <c r="W279" s="22"/>
      <c r="X279" s="22"/>
      <c r="Y279" s="22"/>
      <c r="Z279" s="22"/>
      <c r="AA279" s="22"/>
      <c r="AB279" s="22"/>
      <c r="AC279" s="22"/>
      <c r="AD279" s="22"/>
      <c r="AE279" s="22"/>
      <c r="AF279" s="22"/>
      <c r="AG279" s="22"/>
      <c r="AH279" s="22"/>
      <c r="AI279" s="22"/>
      <c r="AJ279" s="22"/>
      <c r="AK279" s="22"/>
      <c r="AL279" s="22"/>
      <c r="AM279" s="22"/>
      <c r="AN279" s="22"/>
    </row>
    <row r="280" spans="1:40" x14ac:dyDescent="0.25">
      <c r="A280" s="22"/>
      <c r="B280" s="22"/>
      <c r="C280" s="22"/>
      <c r="D280" s="22"/>
      <c r="E280" s="22"/>
      <c r="F280" s="22"/>
      <c r="G280" s="22"/>
      <c r="H280" s="22"/>
      <c r="I280" s="22"/>
      <c r="J280" s="22"/>
      <c r="K280" s="22"/>
      <c r="L280" s="22"/>
      <c r="M280" s="22"/>
      <c r="N280" s="22"/>
      <c r="O280" s="22"/>
      <c r="P280" s="22"/>
      <c r="Q280" s="22"/>
      <c r="R280" s="22"/>
      <c r="S280" s="22"/>
      <c r="T280" s="22"/>
      <c r="U280" s="22"/>
      <c r="V280" s="22"/>
      <c r="W280" s="22"/>
      <c r="X280" s="22"/>
      <c r="Y280" s="22"/>
      <c r="Z280" s="22"/>
      <c r="AA280" s="22"/>
      <c r="AB280" s="22"/>
      <c r="AC280" s="22"/>
      <c r="AD280" s="22"/>
      <c r="AE280" s="22"/>
      <c r="AF280" s="22"/>
      <c r="AG280" s="22"/>
      <c r="AH280" s="22"/>
      <c r="AI280" s="22"/>
      <c r="AJ280" s="22"/>
      <c r="AK280" s="22"/>
      <c r="AL280" s="22"/>
      <c r="AM280" s="22"/>
      <c r="AN280" s="22"/>
    </row>
    <row r="281" spans="1:40" x14ac:dyDescent="0.25">
      <c r="A281" s="22"/>
      <c r="B281" s="22"/>
      <c r="C281" s="22"/>
      <c r="D281" s="22"/>
      <c r="E281" s="22"/>
      <c r="F281" s="22"/>
      <c r="G281" s="22"/>
      <c r="H281" s="22"/>
      <c r="I281" s="22"/>
      <c r="J281" s="22"/>
      <c r="K281" s="22"/>
      <c r="L281" s="22"/>
      <c r="M281" s="22"/>
      <c r="N281" s="22"/>
      <c r="O281" s="22"/>
      <c r="P281" s="22"/>
      <c r="Q281" s="22"/>
      <c r="R281" s="22"/>
      <c r="S281" s="22"/>
      <c r="T281" s="22"/>
      <c r="U281" s="22"/>
      <c r="V281" s="22"/>
      <c r="W281" s="22"/>
      <c r="X281" s="22"/>
      <c r="Y281" s="22"/>
      <c r="Z281" s="22"/>
      <c r="AA281" s="22"/>
      <c r="AB281" s="22"/>
      <c r="AC281" s="22"/>
      <c r="AD281" s="22"/>
      <c r="AE281" s="22"/>
      <c r="AF281" s="22"/>
      <c r="AG281" s="22"/>
      <c r="AH281" s="22"/>
      <c r="AI281" s="22"/>
      <c r="AJ281" s="22"/>
      <c r="AK281" s="22"/>
      <c r="AL281" s="22"/>
      <c r="AM281" s="22"/>
      <c r="AN281" s="22"/>
    </row>
    <row r="282" spans="1:40" x14ac:dyDescent="0.25">
      <c r="A282" s="22"/>
      <c r="B282" s="22"/>
      <c r="C282" s="22"/>
      <c r="D282" s="22"/>
      <c r="E282" s="22"/>
      <c r="F282" s="22"/>
      <c r="G282" s="22"/>
      <c r="H282" s="22"/>
      <c r="I282" s="22"/>
      <c r="J282" s="22"/>
      <c r="K282" s="22"/>
      <c r="L282" s="22"/>
      <c r="M282" s="22"/>
      <c r="N282" s="22"/>
      <c r="O282" s="22"/>
      <c r="P282" s="22"/>
      <c r="Q282" s="22"/>
      <c r="R282" s="22"/>
      <c r="S282" s="22"/>
      <c r="T282" s="22"/>
      <c r="U282" s="22"/>
      <c r="V282" s="22"/>
      <c r="W282" s="22"/>
      <c r="X282" s="22"/>
      <c r="Y282" s="22"/>
      <c r="Z282" s="22"/>
      <c r="AA282" s="22"/>
      <c r="AB282" s="22"/>
      <c r="AC282" s="22"/>
      <c r="AD282" s="22"/>
      <c r="AE282" s="22"/>
      <c r="AF282" s="22"/>
      <c r="AG282" s="22"/>
      <c r="AH282" s="22"/>
      <c r="AI282" s="22"/>
      <c r="AJ282" s="22"/>
      <c r="AK282" s="22"/>
      <c r="AL282" s="22"/>
      <c r="AM282" s="22"/>
      <c r="AN282" s="22"/>
    </row>
    <row r="283" spans="1:40" x14ac:dyDescent="0.25">
      <c r="A283" s="22"/>
      <c r="B283" s="22"/>
      <c r="C283" s="22"/>
      <c r="D283" s="22"/>
      <c r="E283" s="22"/>
      <c r="F283" s="22"/>
      <c r="G283" s="22"/>
      <c r="H283" s="22"/>
      <c r="I283" s="22"/>
      <c r="J283" s="22"/>
      <c r="K283" s="22"/>
      <c r="L283" s="22"/>
      <c r="M283" s="22"/>
      <c r="N283" s="22"/>
      <c r="O283" s="22"/>
      <c r="P283" s="22"/>
      <c r="Q283" s="22"/>
      <c r="R283" s="22"/>
      <c r="S283" s="22"/>
      <c r="T283" s="22"/>
      <c r="U283" s="22"/>
      <c r="V283" s="22"/>
      <c r="W283" s="22"/>
      <c r="X283" s="22"/>
      <c r="Y283" s="22"/>
      <c r="Z283" s="22"/>
      <c r="AA283" s="22"/>
      <c r="AB283" s="22"/>
      <c r="AC283" s="22"/>
      <c r="AD283" s="22"/>
      <c r="AE283" s="22"/>
      <c r="AF283" s="22"/>
      <c r="AG283" s="22"/>
      <c r="AH283" s="22"/>
      <c r="AI283" s="22"/>
      <c r="AJ283" s="22"/>
      <c r="AK283" s="22"/>
      <c r="AL283" s="22"/>
      <c r="AM283" s="22"/>
      <c r="AN283" s="22"/>
    </row>
    <row r="284" spans="1:40" x14ac:dyDescent="0.25">
      <c r="A284" s="22"/>
      <c r="B284" s="22"/>
      <c r="C284" s="22"/>
      <c r="D284" s="22"/>
      <c r="E284" s="22"/>
      <c r="F284" s="22"/>
      <c r="G284" s="22"/>
      <c r="H284" s="22"/>
      <c r="I284" s="22"/>
      <c r="J284" s="22"/>
      <c r="K284" s="22"/>
      <c r="L284" s="22"/>
      <c r="M284" s="22"/>
      <c r="N284" s="22"/>
      <c r="O284" s="22"/>
      <c r="P284" s="22"/>
      <c r="Q284" s="22"/>
      <c r="R284" s="22"/>
      <c r="S284" s="22"/>
      <c r="T284" s="22"/>
      <c r="U284" s="22"/>
      <c r="V284" s="22"/>
      <c r="W284" s="22"/>
      <c r="X284" s="22"/>
      <c r="Y284" s="22"/>
      <c r="Z284" s="22"/>
      <c r="AA284" s="22"/>
      <c r="AB284" s="22"/>
      <c r="AC284" s="22"/>
      <c r="AD284" s="22"/>
      <c r="AE284" s="22"/>
      <c r="AF284" s="22"/>
      <c r="AG284" s="22"/>
      <c r="AH284" s="22"/>
      <c r="AI284" s="22"/>
      <c r="AJ284" s="22"/>
      <c r="AK284" s="22"/>
      <c r="AL284" s="22"/>
      <c r="AM284" s="22"/>
      <c r="AN284" s="22"/>
    </row>
    <row r="285" spans="1:40" x14ac:dyDescent="0.25">
      <c r="A285" s="22"/>
      <c r="B285" s="22"/>
      <c r="C285" s="22"/>
      <c r="D285" s="22"/>
      <c r="E285" s="22"/>
      <c r="F285" s="22"/>
      <c r="G285" s="22"/>
      <c r="H285" s="22"/>
      <c r="I285" s="22"/>
      <c r="J285" s="22"/>
      <c r="K285" s="22"/>
      <c r="L285" s="22"/>
      <c r="M285" s="22"/>
      <c r="N285" s="22"/>
      <c r="O285" s="22"/>
      <c r="P285" s="22"/>
      <c r="Q285" s="22"/>
      <c r="R285" s="22"/>
      <c r="S285" s="22"/>
      <c r="T285" s="22"/>
      <c r="U285" s="22"/>
      <c r="V285" s="22"/>
      <c r="W285" s="22"/>
      <c r="X285" s="22"/>
      <c r="Y285" s="22"/>
      <c r="Z285" s="22"/>
      <c r="AA285" s="22"/>
      <c r="AB285" s="22"/>
      <c r="AC285" s="22"/>
      <c r="AD285" s="22"/>
      <c r="AE285" s="22"/>
      <c r="AF285" s="22"/>
      <c r="AG285" s="22"/>
      <c r="AH285" s="22"/>
      <c r="AI285" s="22"/>
      <c r="AJ285" s="22"/>
      <c r="AK285" s="22"/>
      <c r="AL285" s="22"/>
      <c r="AM285" s="22"/>
      <c r="AN285" s="22"/>
    </row>
    <row r="286" spans="1:40" x14ac:dyDescent="0.25">
      <c r="A286" s="22"/>
      <c r="B286" s="22"/>
      <c r="C286" s="22"/>
      <c r="D286" s="22"/>
      <c r="E286" s="22"/>
      <c r="F286" s="22"/>
      <c r="G286" s="22"/>
      <c r="H286" s="22"/>
      <c r="I286" s="22"/>
      <c r="J286" s="22"/>
      <c r="K286" s="22"/>
      <c r="L286" s="22"/>
      <c r="M286" s="22"/>
      <c r="N286" s="22"/>
      <c r="O286" s="22"/>
      <c r="P286" s="22"/>
      <c r="Q286" s="22"/>
      <c r="R286" s="22"/>
      <c r="S286" s="22"/>
      <c r="T286" s="22"/>
      <c r="U286" s="22"/>
      <c r="V286" s="22"/>
      <c r="W286" s="22"/>
      <c r="X286" s="22"/>
      <c r="Y286" s="22"/>
      <c r="Z286" s="22"/>
      <c r="AA286" s="22"/>
      <c r="AB286" s="22"/>
      <c r="AC286" s="22"/>
      <c r="AD286" s="22"/>
      <c r="AE286" s="22"/>
      <c r="AF286" s="22"/>
      <c r="AG286" s="22"/>
      <c r="AH286" s="22"/>
      <c r="AI286" s="22"/>
      <c r="AJ286" s="22"/>
      <c r="AK286" s="22"/>
      <c r="AL286" s="22"/>
      <c r="AM286" s="22"/>
      <c r="AN286" s="22"/>
    </row>
    <row r="287" spans="1:40" x14ac:dyDescent="0.25">
      <c r="A287" s="22"/>
      <c r="B287" s="22"/>
      <c r="C287" s="22"/>
      <c r="D287" s="22"/>
      <c r="E287" s="22"/>
      <c r="F287" s="22"/>
      <c r="G287" s="22"/>
      <c r="H287" s="22"/>
      <c r="I287" s="22"/>
      <c r="J287" s="22"/>
      <c r="K287" s="22"/>
      <c r="L287" s="22"/>
      <c r="M287" s="22"/>
      <c r="N287" s="22"/>
      <c r="O287" s="22"/>
      <c r="P287" s="22"/>
      <c r="Q287" s="22"/>
      <c r="R287" s="22"/>
      <c r="S287" s="22"/>
      <c r="T287" s="22"/>
      <c r="U287" s="22"/>
      <c r="V287" s="22"/>
      <c r="W287" s="22"/>
      <c r="X287" s="22"/>
      <c r="Y287" s="22"/>
      <c r="Z287" s="22"/>
      <c r="AA287" s="22"/>
      <c r="AB287" s="22"/>
      <c r="AC287" s="22"/>
      <c r="AD287" s="22"/>
      <c r="AE287" s="22"/>
      <c r="AF287" s="22"/>
      <c r="AG287" s="22"/>
      <c r="AH287" s="22"/>
      <c r="AI287" s="22"/>
      <c r="AJ287" s="22"/>
      <c r="AK287" s="22"/>
      <c r="AL287" s="22"/>
      <c r="AM287" s="22"/>
      <c r="AN287" s="22"/>
    </row>
    <row r="288" spans="1:40" x14ac:dyDescent="0.25">
      <c r="A288" s="22"/>
      <c r="B288" s="22"/>
      <c r="C288" s="22"/>
      <c r="D288" s="22"/>
      <c r="E288" s="22"/>
      <c r="F288" s="22"/>
      <c r="G288" s="22"/>
      <c r="H288" s="22"/>
      <c r="I288" s="22"/>
      <c r="J288" s="22"/>
      <c r="K288" s="22"/>
      <c r="L288" s="22"/>
      <c r="M288" s="22"/>
      <c r="N288" s="22"/>
      <c r="O288" s="22"/>
      <c r="P288" s="22"/>
      <c r="Q288" s="22"/>
      <c r="R288" s="22"/>
      <c r="S288" s="22"/>
      <c r="T288" s="22"/>
      <c r="U288" s="22"/>
      <c r="V288" s="22"/>
      <c r="W288" s="22"/>
      <c r="X288" s="22"/>
      <c r="Y288" s="22"/>
      <c r="Z288" s="22"/>
      <c r="AA288" s="22"/>
      <c r="AB288" s="22"/>
      <c r="AC288" s="22"/>
      <c r="AD288" s="22"/>
      <c r="AE288" s="22"/>
      <c r="AF288" s="22"/>
      <c r="AG288" s="22"/>
      <c r="AH288" s="22"/>
      <c r="AI288" s="22"/>
      <c r="AJ288" s="22"/>
      <c r="AK288" s="22"/>
      <c r="AL288" s="22"/>
      <c r="AM288" s="22"/>
      <c r="AN288" s="22"/>
    </row>
    <row r="289" spans="1:40" x14ac:dyDescent="0.25">
      <c r="A289" s="22"/>
      <c r="B289" s="22"/>
      <c r="C289" s="22"/>
      <c r="D289" s="22"/>
      <c r="E289" s="22"/>
      <c r="F289" s="22"/>
      <c r="G289" s="22"/>
      <c r="H289" s="22"/>
      <c r="I289" s="22"/>
      <c r="J289" s="22"/>
      <c r="K289" s="22"/>
      <c r="L289" s="22"/>
      <c r="M289" s="22"/>
      <c r="N289" s="22"/>
      <c r="O289" s="22"/>
      <c r="P289" s="22"/>
      <c r="Q289" s="22"/>
      <c r="R289" s="22"/>
      <c r="S289" s="22"/>
      <c r="T289" s="22"/>
      <c r="U289" s="22"/>
      <c r="V289" s="22"/>
      <c r="W289" s="22"/>
      <c r="X289" s="22"/>
      <c r="Y289" s="22"/>
      <c r="Z289" s="22"/>
      <c r="AA289" s="22"/>
      <c r="AB289" s="22"/>
      <c r="AC289" s="22"/>
      <c r="AD289" s="22"/>
      <c r="AE289" s="22"/>
      <c r="AF289" s="22"/>
      <c r="AG289" s="22"/>
      <c r="AH289" s="22"/>
      <c r="AI289" s="22"/>
      <c r="AJ289" s="22"/>
      <c r="AK289" s="22"/>
      <c r="AL289" s="22"/>
      <c r="AM289" s="22"/>
      <c r="AN289" s="22"/>
    </row>
    <row r="290" spans="1:40" x14ac:dyDescent="0.25">
      <c r="A290" s="22"/>
      <c r="B290" s="22"/>
      <c r="C290" s="22"/>
      <c r="D290" s="22"/>
      <c r="E290" s="22"/>
      <c r="F290" s="22"/>
      <c r="G290" s="22"/>
      <c r="H290" s="22"/>
      <c r="I290" s="22"/>
      <c r="J290" s="22"/>
      <c r="K290" s="22"/>
      <c r="L290" s="22"/>
      <c r="M290" s="22"/>
      <c r="N290" s="22"/>
      <c r="O290" s="22"/>
      <c r="P290" s="22"/>
      <c r="Q290" s="22"/>
      <c r="R290" s="22"/>
      <c r="S290" s="22"/>
      <c r="T290" s="22"/>
      <c r="U290" s="22"/>
      <c r="V290" s="22"/>
      <c r="W290" s="22"/>
      <c r="X290" s="22"/>
      <c r="Y290" s="22"/>
      <c r="Z290" s="22"/>
      <c r="AA290" s="22"/>
      <c r="AB290" s="22"/>
      <c r="AC290" s="22"/>
      <c r="AD290" s="22"/>
      <c r="AE290" s="22"/>
      <c r="AF290" s="22"/>
      <c r="AG290" s="22"/>
      <c r="AH290" s="22"/>
      <c r="AI290" s="22"/>
      <c r="AJ290" s="22"/>
      <c r="AK290" s="22"/>
      <c r="AL290" s="22"/>
      <c r="AM290" s="22"/>
      <c r="AN290" s="22"/>
    </row>
    <row r="291" spans="1:40" x14ac:dyDescent="0.25">
      <c r="A291" s="22"/>
      <c r="B291" s="22"/>
      <c r="C291" s="22"/>
      <c r="D291" s="22"/>
      <c r="E291" s="22"/>
      <c r="F291" s="22"/>
      <c r="G291" s="22"/>
      <c r="H291" s="22"/>
      <c r="I291" s="22"/>
      <c r="J291" s="22"/>
      <c r="K291" s="22"/>
      <c r="L291" s="22"/>
      <c r="M291" s="22"/>
      <c r="N291" s="22"/>
      <c r="O291" s="22"/>
      <c r="P291" s="22"/>
      <c r="Q291" s="22"/>
      <c r="R291" s="22"/>
      <c r="S291" s="22"/>
      <c r="T291" s="22"/>
      <c r="U291" s="22"/>
      <c r="V291" s="22"/>
      <c r="W291" s="22"/>
      <c r="X291" s="22"/>
      <c r="Y291" s="22"/>
      <c r="Z291" s="22"/>
      <c r="AA291" s="22"/>
      <c r="AB291" s="22"/>
      <c r="AC291" s="22"/>
      <c r="AD291" s="22"/>
      <c r="AE291" s="22"/>
      <c r="AF291" s="22"/>
      <c r="AG291" s="22"/>
      <c r="AH291" s="22"/>
      <c r="AI291" s="22"/>
      <c r="AJ291" s="22"/>
      <c r="AK291" s="22"/>
      <c r="AL291" s="22"/>
      <c r="AM291" s="22"/>
      <c r="AN291" s="22"/>
    </row>
    <row r="292" spans="1:40" x14ac:dyDescent="0.25">
      <c r="A292" s="22"/>
      <c r="B292" s="22"/>
      <c r="C292" s="22"/>
      <c r="D292" s="22"/>
      <c r="E292" s="22"/>
      <c r="F292" s="22"/>
      <c r="G292" s="22"/>
      <c r="H292" s="22"/>
      <c r="I292" s="22"/>
      <c r="J292" s="22"/>
      <c r="K292" s="22"/>
      <c r="L292" s="22"/>
      <c r="M292" s="22"/>
      <c r="N292" s="22"/>
      <c r="O292" s="22"/>
      <c r="P292" s="22"/>
      <c r="Q292" s="22"/>
      <c r="R292" s="22"/>
      <c r="S292" s="22"/>
      <c r="T292" s="22"/>
      <c r="U292" s="22"/>
      <c r="V292" s="22"/>
      <c r="W292" s="22"/>
      <c r="X292" s="22"/>
      <c r="Y292" s="22"/>
      <c r="Z292" s="22"/>
      <c r="AA292" s="22"/>
      <c r="AB292" s="22"/>
      <c r="AC292" s="22"/>
      <c r="AD292" s="22"/>
      <c r="AE292" s="22"/>
      <c r="AF292" s="22"/>
      <c r="AG292" s="22"/>
      <c r="AH292" s="22"/>
      <c r="AI292" s="22"/>
      <c r="AJ292" s="22"/>
      <c r="AK292" s="22"/>
      <c r="AL292" s="22"/>
      <c r="AM292" s="22"/>
      <c r="AN292" s="22"/>
    </row>
    <row r="293" spans="1:40" x14ac:dyDescent="0.25">
      <c r="A293" s="22"/>
      <c r="B293" s="22"/>
      <c r="C293" s="22"/>
      <c r="D293" s="22"/>
      <c r="E293" s="22"/>
      <c r="F293" s="22"/>
      <c r="G293" s="22"/>
      <c r="H293" s="22"/>
      <c r="I293" s="22"/>
      <c r="J293" s="22"/>
      <c r="K293" s="22"/>
      <c r="L293" s="22"/>
      <c r="M293" s="22"/>
      <c r="N293" s="22"/>
      <c r="O293" s="22"/>
      <c r="P293" s="22"/>
      <c r="Q293" s="22"/>
      <c r="R293" s="22"/>
      <c r="S293" s="22"/>
      <c r="T293" s="22"/>
      <c r="U293" s="22"/>
      <c r="V293" s="22"/>
      <c r="W293" s="22"/>
      <c r="X293" s="22"/>
      <c r="Y293" s="22"/>
      <c r="Z293" s="22"/>
      <c r="AA293" s="22"/>
      <c r="AB293" s="22"/>
      <c r="AC293" s="22"/>
      <c r="AD293" s="22"/>
      <c r="AE293" s="22"/>
      <c r="AF293" s="22"/>
      <c r="AG293" s="22"/>
      <c r="AH293" s="22"/>
      <c r="AI293" s="22"/>
      <c r="AJ293" s="22"/>
      <c r="AK293" s="22"/>
      <c r="AL293" s="22"/>
      <c r="AM293" s="22"/>
      <c r="AN293" s="22"/>
    </row>
    <row r="294" spans="1:40" x14ac:dyDescent="0.25">
      <c r="A294" s="22"/>
      <c r="B294" s="22"/>
      <c r="C294" s="22"/>
      <c r="D294" s="22"/>
      <c r="E294" s="22"/>
      <c r="F294" s="22"/>
      <c r="G294" s="22"/>
      <c r="H294" s="22"/>
      <c r="I294" s="22"/>
      <c r="J294" s="22"/>
      <c r="K294" s="22"/>
      <c r="L294" s="22"/>
      <c r="M294" s="22"/>
      <c r="N294" s="22"/>
      <c r="O294" s="22"/>
      <c r="P294" s="22"/>
      <c r="Q294" s="22"/>
      <c r="R294" s="22"/>
      <c r="S294" s="22"/>
      <c r="T294" s="22"/>
      <c r="U294" s="22"/>
      <c r="V294" s="22"/>
      <c r="W294" s="22"/>
      <c r="X294" s="22"/>
      <c r="Y294" s="22"/>
      <c r="Z294" s="22"/>
      <c r="AA294" s="22"/>
      <c r="AB294" s="22"/>
      <c r="AC294" s="22"/>
      <c r="AD294" s="22"/>
      <c r="AE294" s="22"/>
      <c r="AF294" s="22"/>
      <c r="AG294" s="22"/>
      <c r="AH294" s="22"/>
      <c r="AI294" s="22"/>
      <c r="AJ294" s="22"/>
      <c r="AK294" s="22"/>
      <c r="AL294" s="22"/>
      <c r="AM294" s="22"/>
      <c r="AN294" s="22"/>
    </row>
    <row r="295" spans="1:40" x14ac:dyDescent="0.25">
      <c r="A295" s="22"/>
      <c r="B295" s="22"/>
      <c r="C295" s="22"/>
      <c r="D295" s="22"/>
      <c r="E295" s="22"/>
      <c r="F295" s="22"/>
      <c r="G295" s="22"/>
      <c r="H295" s="22"/>
      <c r="I295" s="22"/>
      <c r="J295" s="22"/>
      <c r="K295" s="22"/>
      <c r="L295" s="22"/>
      <c r="M295" s="22"/>
      <c r="N295" s="22"/>
      <c r="O295" s="22"/>
      <c r="P295" s="22"/>
      <c r="Q295" s="22"/>
      <c r="R295" s="22"/>
      <c r="S295" s="22"/>
      <c r="T295" s="22"/>
      <c r="U295" s="22"/>
      <c r="V295" s="22"/>
      <c r="W295" s="22"/>
      <c r="X295" s="22"/>
      <c r="Y295" s="22"/>
      <c r="Z295" s="22"/>
      <c r="AA295" s="22"/>
      <c r="AB295" s="22"/>
      <c r="AC295" s="22"/>
      <c r="AD295" s="22"/>
      <c r="AE295" s="22"/>
      <c r="AF295" s="22"/>
      <c r="AG295" s="22"/>
      <c r="AH295" s="22"/>
      <c r="AI295" s="22"/>
      <c r="AJ295" s="22"/>
      <c r="AK295" s="22"/>
      <c r="AL295" s="22"/>
      <c r="AM295" s="22"/>
      <c r="AN295" s="22"/>
    </row>
    <row r="296" spans="1:40" x14ac:dyDescent="0.25">
      <c r="A296" s="22"/>
      <c r="B296" s="22"/>
      <c r="C296" s="22"/>
      <c r="D296" s="22"/>
      <c r="E296" s="22"/>
      <c r="F296" s="22"/>
      <c r="G296" s="22"/>
      <c r="H296" s="22"/>
      <c r="I296" s="22"/>
      <c r="J296" s="22"/>
      <c r="K296" s="22"/>
      <c r="L296" s="22"/>
      <c r="M296" s="22"/>
      <c r="N296" s="22"/>
      <c r="O296" s="22"/>
      <c r="P296" s="22"/>
      <c r="Q296" s="22"/>
      <c r="R296" s="22"/>
      <c r="S296" s="22"/>
      <c r="T296" s="22"/>
      <c r="U296" s="22"/>
      <c r="V296" s="22"/>
      <c r="W296" s="22"/>
      <c r="X296" s="22"/>
      <c r="Y296" s="22"/>
      <c r="Z296" s="22"/>
      <c r="AA296" s="22"/>
      <c r="AB296" s="22"/>
      <c r="AC296" s="22"/>
      <c r="AD296" s="22"/>
      <c r="AE296" s="22"/>
      <c r="AF296" s="22"/>
      <c r="AG296" s="22"/>
      <c r="AH296" s="22"/>
      <c r="AI296" s="22"/>
      <c r="AJ296" s="22"/>
      <c r="AK296" s="22"/>
      <c r="AL296" s="22"/>
      <c r="AM296" s="22"/>
      <c r="AN296" s="22"/>
    </row>
    <row r="297" spans="1:40" x14ac:dyDescent="0.25">
      <c r="A297" s="22"/>
      <c r="B297" s="22"/>
      <c r="C297" s="22"/>
      <c r="D297" s="22"/>
      <c r="E297" s="22"/>
      <c r="F297" s="22"/>
      <c r="G297" s="22"/>
      <c r="H297" s="22"/>
      <c r="I297" s="22"/>
      <c r="J297" s="22"/>
      <c r="K297" s="22"/>
      <c r="L297" s="22"/>
      <c r="M297" s="22"/>
      <c r="N297" s="22"/>
      <c r="O297" s="22"/>
      <c r="P297" s="22"/>
      <c r="Q297" s="22"/>
      <c r="R297" s="22"/>
      <c r="S297" s="22"/>
      <c r="T297" s="22"/>
      <c r="U297" s="22"/>
      <c r="V297" s="22"/>
      <c r="W297" s="22"/>
      <c r="X297" s="22"/>
      <c r="Y297" s="22"/>
      <c r="Z297" s="22"/>
      <c r="AA297" s="22"/>
      <c r="AB297" s="22"/>
      <c r="AC297" s="22"/>
      <c r="AD297" s="22"/>
      <c r="AE297" s="22"/>
      <c r="AF297" s="22"/>
      <c r="AG297" s="22"/>
      <c r="AH297" s="22"/>
      <c r="AI297" s="22"/>
      <c r="AJ297" s="22"/>
      <c r="AK297" s="22"/>
      <c r="AL297" s="22"/>
      <c r="AM297" s="22"/>
      <c r="AN297" s="22"/>
    </row>
    <row r="298" spans="1:40" x14ac:dyDescent="0.25">
      <c r="A298" s="22"/>
      <c r="B298" s="22"/>
      <c r="C298" s="22"/>
      <c r="D298" s="22"/>
      <c r="E298" s="22"/>
      <c r="F298" s="22"/>
      <c r="G298" s="22"/>
      <c r="H298" s="22"/>
      <c r="I298" s="22"/>
      <c r="J298" s="22"/>
      <c r="K298" s="22"/>
      <c r="L298" s="22"/>
      <c r="M298" s="22"/>
      <c r="N298" s="22"/>
      <c r="O298" s="22"/>
      <c r="P298" s="22"/>
      <c r="Q298" s="22"/>
      <c r="R298" s="22"/>
      <c r="S298" s="22"/>
      <c r="T298" s="22"/>
      <c r="U298" s="22"/>
      <c r="V298" s="22"/>
      <c r="W298" s="22"/>
      <c r="X298" s="22"/>
      <c r="Y298" s="22"/>
      <c r="Z298" s="22"/>
      <c r="AA298" s="22"/>
      <c r="AB298" s="22"/>
      <c r="AC298" s="22"/>
      <c r="AD298" s="22"/>
      <c r="AE298" s="22"/>
      <c r="AF298" s="22"/>
      <c r="AG298" s="22"/>
      <c r="AH298" s="22"/>
      <c r="AI298" s="22"/>
      <c r="AJ298" s="22"/>
      <c r="AK298" s="22"/>
      <c r="AL298" s="22"/>
      <c r="AM298" s="22"/>
      <c r="AN298" s="22"/>
    </row>
    <row r="299" spans="1:40" x14ac:dyDescent="0.25">
      <c r="A299" s="22"/>
      <c r="B299" s="22"/>
      <c r="C299" s="22"/>
      <c r="D299" s="22"/>
      <c r="E299" s="22"/>
      <c r="F299" s="22"/>
      <c r="G299" s="22"/>
      <c r="H299" s="22"/>
      <c r="I299" s="22"/>
      <c r="J299" s="22"/>
      <c r="K299" s="22"/>
      <c r="L299" s="22"/>
      <c r="M299" s="22"/>
      <c r="N299" s="22"/>
      <c r="O299" s="22"/>
      <c r="P299" s="22"/>
      <c r="Q299" s="22"/>
      <c r="R299" s="22"/>
      <c r="S299" s="22"/>
      <c r="T299" s="22"/>
      <c r="U299" s="22"/>
      <c r="V299" s="22"/>
      <c r="W299" s="22"/>
      <c r="X299" s="22"/>
      <c r="Y299" s="22"/>
      <c r="Z299" s="22"/>
      <c r="AA299" s="22"/>
      <c r="AB299" s="22"/>
      <c r="AC299" s="22"/>
      <c r="AD299" s="22"/>
      <c r="AE299" s="22"/>
      <c r="AF299" s="22"/>
      <c r="AG299" s="22"/>
      <c r="AH299" s="22"/>
      <c r="AI299" s="22"/>
      <c r="AJ299" s="22"/>
      <c r="AK299" s="22"/>
      <c r="AL299" s="22"/>
      <c r="AM299" s="22"/>
      <c r="AN299" s="22"/>
    </row>
    <row r="300" spans="1:40" x14ac:dyDescent="0.25">
      <c r="A300" s="22"/>
      <c r="B300" s="22"/>
      <c r="C300" s="22"/>
      <c r="D300" s="22"/>
      <c r="E300" s="22"/>
      <c r="F300" s="22"/>
      <c r="G300" s="22"/>
      <c r="H300" s="22"/>
      <c r="I300" s="22"/>
      <c r="J300" s="22"/>
      <c r="K300" s="22"/>
      <c r="L300" s="22"/>
      <c r="M300" s="22"/>
      <c r="N300" s="22"/>
      <c r="O300" s="22"/>
      <c r="P300" s="22"/>
      <c r="Q300" s="22"/>
      <c r="R300" s="22"/>
      <c r="S300" s="22"/>
      <c r="T300" s="22"/>
      <c r="U300" s="22"/>
      <c r="V300" s="22"/>
      <c r="W300" s="22"/>
      <c r="X300" s="22"/>
      <c r="Y300" s="22"/>
      <c r="Z300" s="22"/>
      <c r="AA300" s="22"/>
      <c r="AB300" s="22"/>
      <c r="AC300" s="22"/>
      <c r="AD300" s="22"/>
      <c r="AE300" s="22"/>
      <c r="AF300" s="22"/>
      <c r="AG300" s="22"/>
      <c r="AH300" s="22"/>
      <c r="AI300" s="22"/>
      <c r="AJ300" s="22"/>
      <c r="AK300" s="22"/>
      <c r="AL300" s="22"/>
      <c r="AM300" s="22"/>
      <c r="AN300" s="22"/>
    </row>
    <row r="301" spans="1:40" x14ac:dyDescent="0.25">
      <c r="A301" s="22"/>
      <c r="B301" s="22"/>
      <c r="C301" s="22"/>
      <c r="D301" s="22"/>
      <c r="E301" s="22"/>
      <c r="F301" s="22"/>
      <c r="G301" s="22"/>
      <c r="H301" s="22"/>
      <c r="I301" s="22"/>
      <c r="J301" s="22"/>
      <c r="K301" s="22"/>
      <c r="L301" s="22"/>
      <c r="M301" s="22"/>
      <c r="N301" s="22"/>
      <c r="O301" s="22"/>
      <c r="P301" s="22"/>
      <c r="Q301" s="22"/>
      <c r="R301" s="22"/>
      <c r="S301" s="22"/>
      <c r="T301" s="22"/>
      <c r="U301" s="22"/>
      <c r="V301" s="22"/>
      <c r="W301" s="22"/>
      <c r="X301" s="22"/>
      <c r="Y301" s="22"/>
      <c r="Z301" s="22"/>
      <c r="AA301" s="22"/>
      <c r="AB301" s="22"/>
      <c r="AC301" s="22"/>
      <c r="AD301" s="22"/>
      <c r="AE301" s="22"/>
      <c r="AF301" s="22"/>
      <c r="AG301" s="22"/>
      <c r="AH301" s="22"/>
      <c r="AI301" s="22"/>
      <c r="AJ301" s="22"/>
      <c r="AK301" s="22"/>
      <c r="AL301" s="22"/>
      <c r="AM301" s="22"/>
      <c r="AN301" s="22"/>
    </row>
    <row r="302" spans="1:40" x14ac:dyDescent="0.25">
      <c r="A302" s="22"/>
      <c r="B302" s="22"/>
      <c r="C302" s="22"/>
      <c r="D302" s="22"/>
      <c r="E302" s="22"/>
      <c r="F302" s="22"/>
      <c r="G302" s="22"/>
      <c r="H302" s="22"/>
      <c r="I302" s="22"/>
      <c r="J302" s="22"/>
      <c r="K302" s="22"/>
      <c r="L302" s="22"/>
      <c r="M302" s="22"/>
      <c r="N302" s="22"/>
      <c r="O302" s="22"/>
      <c r="P302" s="22"/>
      <c r="Q302" s="22"/>
      <c r="R302" s="22"/>
      <c r="S302" s="22"/>
      <c r="T302" s="22"/>
      <c r="U302" s="22"/>
      <c r="V302" s="22"/>
      <c r="W302" s="22"/>
      <c r="X302" s="22"/>
      <c r="Y302" s="22"/>
      <c r="Z302" s="22"/>
      <c r="AA302" s="22"/>
      <c r="AB302" s="22"/>
      <c r="AC302" s="22"/>
      <c r="AD302" s="22"/>
      <c r="AE302" s="22"/>
      <c r="AF302" s="22"/>
      <c r="AG302" s="22"/>
      <c r="AH302" s="22"/>
      <c r="AI302" s="22"/>
      <c r="AJ302" s="22"/>
      <c r="AK302" s="22"/>
      <c r="AL302" s="22"/>
      <c r="AM302" s="22"/>
      <c r="AN302" s="22"/>
    </row>
    <row r="303" spans="1:40" x14ac:dyDescent="0.25">
      <c r="A303" s="22"/>
      <c r="B303" s="22"/>
      <c r="C303" s="22"/>
      <c r="D303" s="22"/>
      <c r="E303" s="22"/>
      <c r="F303" s="22"/>
      <c r="G303" s="22"/>
      <c r="H303" s="22"/>
      <c r="I303" s="22"/>
      <c r="J303" s="22"/>
      <c r="K303" s="22"/>
      <c r="L303" s="22"/>
      <c r="M303" s="22"/>
      <c r="N303" s="22"/>
      <c r="O303" s="22"/>
      <c r="P303" s="22"/>
      <c r="Q303" s="22"/>
      <c r="R303" s="22"/>
      <c r="S303" s="22"/>
      <c r="T303" s="22"/>
      <c r="U303" s="22"/>
      <c r="V303" s="22"/>
      <c r="W303" s="22"/>
      <c r="X303" s="22"/>
      <c r="Y303" s="22"/>
      <c r="Z303" s="22"/>
      <c r="AA303" s="22"/>
      <c r="AB303" s="22"/>
      <c r="AC303" s="22"/>
      <c r="AD303" s="22"/>
      <c r="AE303" s="22"/>
      <c r="AF303" s="22"/>
      <c r="AG303" s="22"/>
      <c r="AH303" s="22"/>
      <c r="AI303" s="22"/>
      <c r="AJ303" s="22"/>
      <c r="AK303" s="22"/>
      <c r="AL303" s="22"/>
      <c r="AM303" s="22"/>
      <c r="AN303" s="22"/>
    </row>
    <row r="304" spans="1:40" x14ac:dyDescent="0.25">
      <c r="A304" s="22"/>
      <c r="B304" s="22"/>
      <c r="C304" s="22"/>
      <c r="D304" s="22"/>
      <c r="E304" s="22"/>
      <c r="F304" s="22"/>
      <c r="G304" s="22"/>
      <c r="H304" s="22"/>
      <c r="I304" s="22"/>
      <c r="J304" s="22"/>
      <c r="K304" s="22"/>
      <c r="L304" s="22"/>
      <c r="M304" s="22"/>
      <c r="N304" s="22"/>
      <c r="O304" s="22"/>
      <c r="P304" s="22"/>
      <c r="Q304" s="22"/>
      <c r="R304" s="22"/>
      <c r="S304" s="22"/>
      <c r="T304" s="22"/>
      <c r="U304" s="22"/>
      <c r="V304" s="22"/>
      <c r="W304" s="22"/>
      <c r="X304" s="22"/>
      <c r="Y304" s="22"/>
      <c r="Z304" s="22"/>
      <c r="AA304" s="22"/>
      <c r="AB304" s="22"/>
      <c r="AC304" s="22"/>
      <c r="AD304" s="22"/>
      <c r="AE304" s="22"/>
      <c r="AF304" s="22"/>
      <c r="AG304" s="22"/>
      <c r="AH304" s="22"/>
      <c r="AI304" s="22"/>
      <c r="AJ304" s="22"/>
      <c r="AK304" s="22"/>
      <c r="AL304" s="22"/>
      <c r="AM304" s="22"/>
      <c r="AN304" s="22"/>
    </row>
    <row r="305" spans="1:40" x14ac:dyDescent="0.25">
      <c r="A305" s="22"/>
      <c r="B305" s="22"/>
      <c r="C305" s="22"/>
      <c r="D305" s="22"/>
      <c r="E305" s="22"/>
      <c r="F305" s="22"/>
      <c r="G305" s="22"/>
      <c r="H305" s="22"/>
      <c r="I305" s="22"/>
      <c r="J305" s="22"/>
      <c r="K305" s="22"/>
      <c r="L305" s="22"/>
      <c r="M305" s="22"/>
      <c r="N305" s="22"/>
      <c r="O305" s="22"/>
      <c r="P305" s="22"/>
      <c r="Q305" s="22"/>
      <c r="R305" s="22"/>
      <c r="S305" s="22"/>
      <c r="T305" s="22"/>
      <c r="U305" s="22"/>
      <c r="V305" s="22"/>
      <c r="W305" s="22"/>
      <c r="X305" s="22"/>
      <c r="Y305" s="22"/>
      <c r="Z305" s="22"/>
      <c r="AA305" s="22"/>
      <c r="AB305" s="22"/>
      <c r="AC305" s="22"/>
      <c r="AD305" s="22"/>
      <c r="AE305" s="22"/>
      <c r="AF305" s="22"/>
      <c r="AG305" s="22"/>
      <c r="AH305" s="22"/>
      <c r="AI305" s="22"/>
      <c r="AJ305" s="22"/>
      <c r="AK305" s="22"/>
      <c r="AL305" s="22"/>
      <c r="AM305" s="22"/>
      <c r="AN305" s="22"/>
    </row>
    <row r="306" spans="1:40" x14ac:dyDescent="0.25">
      <c r="A306" s="22"/>
      <c r="B306" s="22"/>
      <c r="C306" s="22"/>
      <c r="D306" s="22"/>
      <c r="E306" s="22"/>
      <c r="F306" s="22"/>
      <c r="G306" s="22"/>
      <c r="H306" s="22"/>
      <c r="I306" s="22"/>
      <c r="J306" s="22"/>
      <c r="K306" s="22"/>
      <c r="L306" s="22"/>
      <c r="M306" s="22"/>
      <c r="N306" s="22"/>
      <c r="O306" s="22"/>
      <c r="P306" s="22"/>
      <c r="Q306" s="22"/>
      <c r="R306" s="22"/>
      <c r="S306" s="22"/>
      <c r="T306" s="22"/>
      <c r="U306" s="22"/>
      <c r="V306" s="22"/>
      <c r="W306" s="22"/>
      <c r="X306" s="22"/>
      <c r="Y306" s="22"/>
      <c r="Z306" s="22"/>
      <c r="AA306" s="22"/>
      <c r="AB306" s="22"/>
      <c r="AC306" s="22"/>
      <c r="AD306" s="22"/>
      <c r="AE306" s="22"/>
      <c r="AF306" s="22"/>
      <c r="AG306" s="22"/>
      <c r="AH306" s="22"/>
      <c r="AI306" s="22"/>
      <c r="AJ306" s="22"/>
      <c r="AK306" s="22"/>
      <c r="AL306" s="22"/>
      <c r="AM306" s="22"/>
      <c r="AN306" s="22"/>
    </row>
    <row r="307" spans="1:40" x14ac:dyDescent="0.25">
      <c r="A307" s="22"/>
      <c r="B307" s="22"/>
      <c r="C307" s="22"/>
      <c r="D307" s="22"/>
      <c r="E307" s="22"/>
      <c r="F307" s="22"/>
      <c r="G307" s="22"/>
      <c r="H307" s="22"/>
      <c r="I307" s="22"/>
      <c r="J307" s="22"/>
      <c r="K307" s="22"/>
      <c r="L307" s="22"/>
      <c r="M307" s="22"/>
      <c r="N307" s="22"/>
      <c r="O307" s="22"/>
      <c r="P307" s="22"/>
      <c r="Q307" s="22"/>
      <c r="R307" s="22"/>
      <c r="S307" s="22"/>
      <c r="T307" s="22"/>
      <c r="U307" s="22"/>
      <c r="V307" s="22"/>
      <c r="W307" s="22"/>
      <c r="X307" s="22"/>
      <c r="Y307" s="22"/>
      <c r="Z307" s="22"/>
      <c r="AA307" s="22"/>
      <c r="AB307" s="22"/>
      <c r="AC307" s="22"/>
      <c r="AD307" s="22"/>
      <c r="AE307" s="22"/>
      <c r="AF307" s="22"/>
      <c r="AG307" s="22"/>
      <c r="AH307" s="22"/>
      <c r="AI307" s="22"/>
      <c r="AJ307" s="22"/>
      <c r="AK307" s="22"/>
      <c r="AL307" s="22"/>
      <c r="AM307" s="22"/>
      <c r="AN307" s="22"/>
    </row>
    <row r="308" spans="1:40" x14ac:dyDescent="0.25">
      <c r="A308" s="22"/>
      <c r="B308" s="22"/>
      <c r="C308" s="22"/>
      <c r="D308" s="22"/>
      <c r="E308" s="22"/>
      <c r="F308" s="22"/>
      <c r="G308" s="22"/>
      <c r="H308" s="22"/>
      <c r="I308" s="22"/>
      <c r="J308" s="22"/>
      <c r="K308" s="22"/>
      <c r="L308" s="22"/>
      <c r="M308" s="22"/>
      <c r="N308" s="22"/>
      <c r="O308" s="22"/>
      <c r="P308" s="22"/>
      <c r="Q308" s="22"/>
      <c r="R308" s="22"/>
      <c r="S308" s="22"/>
      <c r="T308" s="22"/>
      <c r="U308" s="22"/>
      <c r="V308" s="22"/>
      <c r="W308" s="22"/>
      <c r="X308" s="22"/>
      <c r="Y308" s="22"/>
      <c r="Z308" s="22"/>
      <c r="AA308" s="22"/>
      <c r="AB308" s="22"/>
      <c r="AC308" s="22"/>
      <c r="AD308" s="22"/>
      <c r="AE308" s="22"/>
      <c r="AF308" s="22"/>
      <c r="AG308" s="22"/>
      <c r="AH308" s="22"/>
      <c r="AI308" s="22"/>
      <c r="AJ308" s="22"/>
      <c r="AK308" s="22"/>
      <c r="AL308" s="22"/>
      <c r="AM308" s="22"/>
      <c r="AN308" s="22"/>
    </row>
    <row r="309" spans="1:40" x14ac:dyDescent="0.25">
      <c r="A309" s="22"/>
      <c r="B309" s="22"/>
      <c r="C309" s="22"/>
      <c r="D309" s="22"/>
      <c r="E309" s="22"/>
      <c r="F309" s="22"/>
      <c r="G309" s="22"/>
      <c r="H309" s="22"/>
      <c r="I309" s="22"/>
      <c r="J309" s="22"/>
      <c r="K309" s="22"/>
      <c r="L309" s="22"/>
      <c r="M309" s="22"/>
      <c r="N309" s="22"/>
      <c r="O309" s="22"/>
      <c r="P309" s="22"/>
      <c r="Q309" s="22"/>
      <c r="R309" s="22"/>
      <c r="S309" s="22"/>
      <c r="T309" s="22"/>
      <c r="U309" s="22"/>
      <c r="V309" s="22"/>
      <c r="W309" s="22"/>
      <c r="X309" s="22"/>
      <c r="Y309" s="22"/>
      <c r="Z309" s="22"/>
      <c r="AA309" s="22"/>
      <c r="AB309" s="22"/>
      <c r="AC309" s="22"/>
      <c r="AD309" s="22"/>
      <c r="AE309" s="22"/>
      <c r="AF309" s="22"/>
      <c r="AG309" s="22"/>
      <c r="AH309" s="22"/>
      <c r="AI309" s="22"/>
      <c r="AJ309" s="22"/>
      <c r="AK309" s="22"/>
      <c r="AL309" s="22"/>
      <c r="AM309" s="22"/>
      <c r="AN309" s="22"/>
    </row>
    <row r="310" spans="1:40" x14ac:dyDescent="0.25">
      <c r="A310" s="22"/>
      <c r="B310" s="22"/>
      <c r="C310" s="22"/>
      <c r="D310" s="22"/>
      <c r="E310" s="22"/>
      <c r="F310" s="22"/>
      <c r="G310" s="22"/>
      <c r="H310" s="22"/>
      <c r="I310" s="22"/>
      <c r="J310" s="22"/>
      <c r="K310" s="22"/>
      <c r="L310" s="22"/>
      <c r="M310" s="22"/>
      <c r="N310" s="22"/>
      <c r="O310" s="22"/>
      <c r="P310" s="22"/>
      <c r="Q310" s="22"/>
      <c r="R310" s="22"/>
      <c r="S310" s="22"/>
      <c r="T310" s="22"/>
      <c r="U310" s="22"/>
      <c r="V310" s="22"/>
      <c r="W310" s="22"/>
      <c r="X310" s="22"/>
      <c r="Y310" s="22"/>
      <c r="Z310" s="22"/>
      <c r="AA310" s="22"/>
      <c r="AB310" s="22"/>
      <c r="AC310" s="22"/>
      <c r="AD310" s="22"/>
      <c r="AE310" s="22"/>
      <c r="AF310" s="22"/>
      <c r="AG310" s="22"/>
      <c r="AH310" s="22"/>
      <c r="AI310" s="22"/>
      <c r="AJ310" s="22"/>
      <c r="AK310" s="22"/>
      <c r="AL310" s="22"/>
      <c r="AM310" s="22"/>
      <c r="AN310" s="22"/>
    </row>
    <row r="311" spans="1:40" x14ac:dyDescent="0.25">
      <c r="A311" s="22"/>
      <c r="B311" s="22"/>
      <c r="C311" s="22"/>
      <c r="D311" s="22"/>
      <c r="E311" s="22"/>
      <c r="F311" s="22"/>
      <c r="G311" s="22"/>
      <c r="H311" s="22"/>
      <c r="I311" s="22"/>
      <c r="J311" s="22"/>
      <c r="K311" s="22"/>
      <c r="L311" s="22"/>
      <c r="M311" s="22"/>
      <c r="N311" s="22"/>
      <c r="O311" s="22"/>
      <c r="P311" s="22"/>
      <c r="Q311" s="22"/>
      <c r="R311" s="22"/>
      <c r="S311" s="22"/>
      <c r="T311" s="22"/>
      <c r="U311" s="22"/>
      <c r="V311" s="22"/>
      <c r="W311" s="22"/>
      <c r="X311" s="22"/>
      <c r="Y311" s="22"/>
      <c r="Z311" s="22"/>
      <c r="AA311" s="22"/>
      <c r="AB311" s="22"/>
      <c r="AC311" s="22"/>
      <c r="AD311" s="22"/>
      <c r="AE311" s="22"/>
      <c r="AF311" s="22"/>
      <c r="AG311" s="22"/>
      <c r="AH311" s="22"/>
      <c r="AI311" s="22"/>
      <c r="AJ311" s="22"/>
      <c r="AK311" s="22"/>
      <c r="AL311" s="22"/>
      <c r="AM311" s="22"/>
      <c r="AN311" s="22"/>
    </row>
    <row r="312" spans="1:40" x14ac:dyDescent="0.25">
      <c r="A312" s="22"/>
      <c r="B312" s="22"/>
      <c r="C312" s="22"/>
      <c r="D312" s="22"/>
      <c r="E312" s="22"/>
      <c r="F312" s="22"/>
      <c r="G312" s="22"/>
      <c r="H312" s="22"/>
      <c r="I312" s="22"/>
      <c r="J312" s="22"/>
      <c r="K312" s="22"/>
      <c r="L312" s="22"/>
      <c r="M312" s="22"/>
      <c r="N312" s="22"/>
      <c r="O312" s="22"/>
      <c r="P312" s="22"/>
      <c r="Q312" s="22"/>
      <c r="R312" s="22"/>
      <c r="S312" s="22"/>
      <c r="T312" s="22"/>
      <c r="U312" s="22"/>
      <c r="V312" s="22"/>
      <c r="W312" s="22"/>
      <c r="X312" s="22"/>
      <c r="Y312" s="22"/>
      <c r="Z312" s="22"/>
      <c r="AA312" s="22"/>
      <c r="AB312" s="22"/>
      <c r="AC312" s="22"/>
      <c r="AD312" s="22"/>
      <c r="AE312" s="22"/>
      <c r="AF312" s="22"/>
      <c r="AG312" s="22"/>
      <c r="AH312" s="22"/>
      <c r="AI312" s="22"/>
      <c r="AJ312" s="22"/>
      <c r="AK312" s="22"/>
      <c r="AL312" s="22"/>
      <c r="AM312" s="22"/>
      <c r="AN312" s="22"/>
    </row>
    <row r="313" spans="1:40" x14ac:dyDescent="0.25">
      <c r="A313" s="22"/>
      <c r="B313" s="22"/>
      <c r="C313" s="22"/>
      <c r="D313" s="22"/>
      <c r="E313" s="22"/>
      <c r="F313" s="22"/>
      <c r="G313" s="22"/>
      <c r="H313" s="22"/>
      <c r="I313" s="22"/>
      <c r="J313" s="22"/>
      <c r="K313" s="22"/>
      <c r="L313" s="22"/>
      <c r="M313" s="22"/>
      <c r="N313" s="22"/>
      <c r="O313" s="22"/>
      <c r="P313" s="22"/>
      <c r="Q313" s="22"/>
      <c r="R313" s="22"/>
      <c r="S313" s="22"/>
      <c r="T313" s="22"/>
      <c r="U313" s="22"/>
      <c r="V313" s="22"/>
      <c r="W313" s="22"/>
      <c r="X313" s="22"/>
      <c r="Y313" s="22"/>
      <c r="Z313" s="22"/>
      <c r="AA313" s="22"/>
      <c r="AB313" s="22"/>
      <c r="AC313" s="22"/>
      <c r="AD313" s="22"/>
      <c r="AE313" s="22"/>
      <c r="AF313" s="22"/>
      <c r="AG313" s="22"/>
      <c r="AH313" s="22"/>
      <c r="AI313" s="22"/>
      <c r="AJ313" s="22"/>
      <c r="AK313" s="22"/>
      <c r="AL313" s="22"/>
      <c r="AM313" s="22"/>
      <c r="AN313" s="22"/>
    </row>
    <row r="314" spans="1:40" x14ac:dyDescent="0.25">
      <c r="A314" s="22"/>
      <c r="B314" s="22"/>
      <c r="C314" s="22"/>
      <c r="D314" s="22"/>
      <c r="E314" s="22"/>
      <c r="F314" s="22"/>
      <c r="G314" s="22"/>
      <c r="H314" s="22"/>
      <c r="I314" s="22"/>
      <c r="J314" s="22"/>
      <c r="K314" s="22"/>
      <c r="L314" s="22"/>
      <c r="M314" s="22"/>
      <c r="N314" s="22"/>
      <c r="O314" s="22"/>
      <c r="P314" s="22"/>
      <c r="Q314" s="22"/>
      <c r="R314" s="22"/>
      <c r="S314" s="22"/>
      <c r="T314" s="22"/>
      <c r="U314" s="22"/>
      <c r="V314" s="22"/>
      <c r="W314" s="22"/>
      <c r="X314" s="22"/>
      <c r="Y314" s="22"/>
      <c r="Z314" s="22"/>
      <c r="AA314" s="22"/>
      <c r="AB314" s="22"/>
      <c r="AC314" s="22"/>
      <c r="AD314" s="22"/>
      <c r="AE314" s="22"/>
      <c r="AF314" s="22"/>
      <c r="AG314" s="22"/>
      <c r="AH314" s="22"/>
      <c r="AI314" s="22"/>
      <c r="AJ314" s="22"/>
      <c r="AK314" s="22"/>
      <c r="AL314" s="22"/>
      <c r="AM314" s="22"/>
      <c r="AN314" s="22"/>
    </row>
    <row r="315" spans="1:40" x14ac:dyDescent="0.25">
      <c r="A315" s="22"/>
      <c r="B315" s="22"/>
      <c r="C315" s="22"/>
      <c r="D315" s="22"/>
      <c r="E315" s="22"/>
      <c r="F315" s="22"/>
      <c r="G315" s="22"/>
      <c r="H315" s="22"/>
      <c r="I315" s="22"/>
      <c r="J315" s="22"/>
      <c r="K315" s="22"/>
      <c r="L315" s="22"/>
      <c r="M315" s="22"/>
      <c r="N315" s="22"/>
      <c r="O315" s="22"/>
      <c r="P315" s="22"/>
      <c r="Q315" s="22"/>
      <c r="R315" s="22"/>
      <c r="S315" s="22"/>
      <c r="T315" s="22"/>
      <c r="U315" s="22"/>
      <c r="V315" s="22"/>
      <c r="W315" s="22"/>
      <c r="X315" s="22"/>
      <c r="Y315" s="22"/>
      <c r="Z315" s="22"/>
      <c r="AA315" s="22"/>
      <c r="AB315" s="22"/>
      <c r="AC315" s="22"/>
      <c r="AD315" s="22"/>
      <c r="AE315" s="22"/>
      <c r="AF315" s="22"/>
      <c r="AG315" s="22"/>
      <c r="AH315" s="22"/>
      <c r="AI315" s="22"/>
      <c r="AJ315" s="22"/>
      <c r="AK315" s="22"/>
      <c r="AL315" s="22"/>
      <c r="AM315" s="22"/>
      <c r="AN315" s="22"/>
    </row>
    <row r="316" spans="1:40" x14ac:dyDescent="0.25">
      <c r="A316" s="22"/>
      <c r="B316" s="22"/>
      <c r="C316" s="22"/>
      <c r="D316" s="22"/>
      <c r="E316" s="22"/>
      <c r="F316" s="22"/>
      <c r="G316" s="22"/>
      <c r="H316" s="22"/>
      <c r="I316" s="22"/>
      <c r="J316" s="22"/>
      <c r="K316" s="22"/>
      <c r="L316" s="22"/>
      <c r="M316" s="22"/>
      <c r="N316" s="22"/>
      <c r="O316" s="22"/>
      <c r="P316" s="22"/>
      <c r="Q316" s="22"/>
      <c r="R316" s="22"/>
      <c r="S316" s="22"/>
      <c r="T316" s="22"/>
      <c r="U316" s="22"/>
      <c r="V316" s="22"/>
      <c r="W316" s="22"/>
      <c r="X316" s="22"/>
      <c r="Y316" s="22"/>
      <c r="Z316" s="22"/>
      <c r="AA316" s="22"/>
      <c r="AB316" s="22"/>
      <c r="AC316" s="22"/>
      <c r="AD316" s="22"/>
      <c r="AE316" s="22"/>
      <c r="AF316" s="22"/>
      <c r="AG316" s="22"/>
      <c r="AH316" s="22"/>
      <c r="AI316" s="22"/>
      <c r="AJ316" s="22"/>
      <c r="AK316" s="22"/>
      <c r="AL316" s="22"/>
      <c r="AM316" s="22"/>
      <c r="AN316" s="22"/>
    </row>
    <row r="317" spans="1:40" x14ac:dyDescent="0.25">
      <c r="A317" s="22"/>
      <c r="B317" s="22"/>
      <c r="C317" s="22"/>
      <c r="D317" s="22"/>
      <c r="E317" s="22"/>
      <c r="F317" s="22"/>
      <c r="G317" s="22"/>
      <c r="H317" s="22"/>
      <c r="I317" s="22"/>
      <c r="J317" s="22"/>
      <c r="K317" s="22"/>
      <c r="L317" s="22"/>
      <c r="M317" s="22"/>
      <c r="N317" s="22"/>
      <c r="O317" s="22"/>
      <c r="P317" s="22"/>
      <c r="Q317" s="22"/>
      <c r="R317" s="22"/>
      <c r="S317" s="22"/>
      <c r="T317" s="22"/>
      <c r="U317" s="22"/>
      <c r="V317" s="22"/>
      <c r="W317" s="22"/>
      <c r="X317" s="22"/>
      <c r="Y317" s="22"/>
      <c r="Z317" s="22"/>
      <c r="AA317" s="22"/>
      <c r="AB317" s="22"/>
      <c r="AC317" s="22"/>
      <c r="AD317" s="22"/>
      <c r="AE317" s="22"/>
      <c r="AF317" s="22"/>
      <c r="AG317" s="22"/>
      <c r="AH317" s="22"/>
      <c r="AI317" s="22"/>
      <c r="AJ317" s="22"/>
      <c r="AK317" s="22"/>
      <c r="AL317" s="22"/>
      <c r="AM317" s="22"/>
      <c r="AN317" s="22"/>
    </row>
    <row r="318" spans="1:40" x14ac:dyDescent="0.25">
      <c r="A318" s="22"/>
      <c r="B318" s="22"/>
      <c r="C318" s="22"/>
      <c r="D318" s="22"/>
      <c r="E318" s="22"/>
      <c r="F318" s="22"/>
      <c r="G318" s="22"/>
      <c r="H318" s="22"/>
      <c r="I318" s="22"/>
      <c r="J318" s="22"/>
      <c r="K318" s="22"/>
      <c r="L318" s="22"/>
      <c r="M318" s="22"/>
      <c r="N318" s="22"/>
      <c r="O318" s="22"/>
      <c r="P318" s="22"/>
      <c r="Q318" s="22"/>
      <c r="R318" s="22"/>
      <c r="S318" s="22"/>
      <c r="T318" s="22"/>
      <c r="U318" s="22"/>
      <c r="V318" s="22"/>
      <c r="W318" s="22"/>
      <c r="X318" s="22"/>
      <c r="Y318" s="22"/>
      <c r="Z318" s="22"/>
      <c r="AA318" s="22"/>
      <c r="AB318" s="22"/>
      <c r="AC318" s="22"/>
      <c r="AD318" s="22"/>
      <c r="AE318" s="22"/>
      <c r="AF318" s="22"/>
      <c r="AG318" s="22"/>
      <c r="AH318" s="22"/>
      <c r="AI318" s="22"/>
      <c r="AJ318" s="22"/>
      <c r="AK318" s="22"/>
      <c r="AL318" s="22"/>
      <c r="AM318" s="22"/>
      <c r="AN318" s="22"/>
    </row>
    <row r="319" spans="1:40" x14ac:dyDescent="0.25">
      <c r="A319" s="22"/>
      <c r="B319" s="22"/>
      <c r="C319" s="22"/>
      <c r="D319" s="22"/>
      <c r="E319" s="22"/>
      <c r="F319" s="22"/>
      <c r="G319" s="22"/>
      <c r="H319" s="22"/>
      <c r="I319" s="22"/>
      <c r="J319" s="22"/>
      <c r="K319" s="22"/>
      <c r="L319" s="22"/>
      <c r="M319" s="22"/>
      <c r="N319" s="22"/>
      <c r="O319" s="22"/>
      <c r="P319" s="22"/>
      <c r="Q319" s="22"/>
      <c r="R319" s="22"/>
      <c r="S319" s="22"/>
      <c r="T319" s="22"/>
      <c r="U319" s="22"/>
      <c r="V319" s="22"/>
      <c r="W319" s="22"/>
      <c r="X319" s="22"/>
      <c r="Y319" s="22"/>
      <c r="Z319" s="22"/>
      <c r="AA319" s="22"/>
      <c r="AB319" s="22"/>
      <c r="AC319" s="22"/>
      <c r="AD319" s="22"/>
      <c r="AE319" s="22"/>
      <c r="AF319" s="22"/>
      <c r="AG319" s="22"/>
      <c r="AH319" s="22"/>
      <c r="AI319" s="22"/>
      <c r="AJ319" s="22"/>
      <c r="AK319" s="22"/>
      <c r="AL319" s="22"/>
      <c r="AM319" s="22"/>
      <c r="AN319" s="22"/>
    </row>
    <row r="320" spans="1:40" x14ac:dyDescent="0.25">
      <c r="A320" s="22"/>
      <c r="B320" s="22"/>
      <c r="C320" s="22"/>
      <c r="D320" s="22"/>
      <c r="E320" s="22"/>
      <c r="F320" s="22"/>
      <c r="G320" s="22"/>
      <c r="H320" s="22"/>
      <c r="I320" s="22"/>
      <c r="J320" s="22"/>
      <c r="K320" s="22"/>
      <c r="L320" s="22"/>
      <c r="M320" s="22"/>
      <c r="N320" s="22"/>
      <c r="O320" s="22"/>
      <c r="P320" s="22"/>
      <c r="Q320" s="22"/>
      <c r="R320" s="22"/>
      <c r="S320" s="22"/>
      <c r="T320" s="22"/>
      <c r="U320" s="22"/>
      <c r="V320" s="22"/>
      <c r="W320" s="22"/>
      <c r="X320" s="22"/>
      <c r="Y320" s="22"/>
      <c r="Z320" s="22"/>
      <c r="AA320" s="22"/>
      <c r="AB320" s="22"/>
      <c r="AC320" s="22"/>
      <c r="AD320" s="22"/>
      <c r="AE320" s="22"/>
      <c r="AF320" s="22"/>
      <c r="AG320" s="22"/>
      <c r="AH320" s="22"/>
      <c r="AI320" s="22"/>
      <c r="AJ320" s="22"/>
      <c r="AK320" s="22"/>
      <c r="AL320" s="22"/>
      <c r="AM320" s="22"/>
      <c r="AN320" s="22"/>
    </row>
    <row r="321" spans="1:40" x14ac:dyDescent="0.25">
      <c r="A321" s="22"/>
      <c r="B321" s="22"/>
      <c r="C321" s="22"/>
      <c r="D321" s="22"/>
      <c r="E321" s="22"/>
      <c r="F321" s="22"/>
      <c r="G321" s="22"/>
      <c r="H321" s="22"/>
      <c r="I321" s="22"/>
      <c r="J321" s="22"/>
      <c r="K321" s="22"/>
      <c r="L321" s="22"/>
      <c r="M321" s="22"/>
      <c r="N321" s="22"/>
      <c r="O321" s="22"/>
      <c r="P321" s="22"/>
      <c r="Q321" s="22"/>
      <c r="R321" s="22"/>
      <c r="S321" s="22"/>
      <c r="T321" s="22"/>
      <c r="U321" s="22"/>
      <c r="V321" s="22"/>
      <c r="W321" s="22"/>
      <c r="X321" s="22"/>
      <c r="Y321" s="22"/>
      <c r="Z321" s="22"/>
      <c r="AA321" s="22"/>
      <c r="AB321" s="22"/>
      <c r="AC321" s="22"/>
      <c r="AD321" s="22"/>
      <c r="AE321" s="22"/>
      <c r="AF321" s="22"/>
      <c r="AG321" s="22"/>
      <c r="AH321" s="22"/>
      <c r="AI321" s="22"/>
      <c r="AJ321" s="22"/>
      <c r="AK321" s="22"/>
      <c r="AL321" s="22"/>
      <c r="AM321" s="22"/>
      <c r="AN321" s="22"/>
    </row>
    <row r="322" spans="1:40" x14ac:dyDescent="0.25">
      <c r="A322" s="22"/>
      <c r="B322" s="22"/>
      <c r="C322" s="22"/>
      <c r="D322" s="22"/>
      <c r="E322" s="22"/>
      <c r="F322" s="22"/>
      <c r="G322" s="22"/>
      <c r="H322" s="22"/>
      <c r="I322" s="22"/>
      <c r="J322" s="22"/>
      <c r="K322" s="22"/>
      <c r="L322" s="22"/>
      <c r="M322" s="22"/>
      <c r="N322" s="22"/>
      <c r="O322" s="22"/>
      <c r="P322" s="22"/>
      <c r="Q322" s="22"/>
      <c r="R322" s="22"/>
      <c r="S322" s="22"/>
      <c r="T322" s="22"/>
      <c r="U322" s="22"/>
      <c r="V322" s="22"/>
      <c r="W322" s="22"/>
      <c r="X322" s="22"/>
      <c r="Y322" s="22"/>
      <c r="Z322" s="22"/>
      <c r="AA322" s="22"/>
      <c r="AB322" s="22"/>
      <c r="AC322" s="22"/>
      <c r="AD322" s="22"/>
      <c r="AE322" s="22"/>
      <c r="AF322" s="22"/>
      <c r="AG322" s="22"/>
      <c r="AH322" s="22"/>
      <c r="AI322" s="22"/>
      <c r="AJ322" s="22"/>
      <c r="AK322" s="22"/>
      <c r="AL322" s="22"/>
      <c r="AM322" s="22"/>
      <c r="AN322" s="22"/>
    </row>
    <row r="323" spans="1:40" x14ac:dyDescent="0.25">
      <c r="A323" s="22"/>
      <c r="B323" s="22"/>
      <c r="C323" s="22"/>
      <c r="D323" s="22"/>
      <c r="E323" s="22"/>
      <c r="F323" s="22"/>
      <c r="G323" s="22"/>
      <c r="H323" s="22"/>
      <c r="I323" s="22"/>
      <c r="J323" s="22"/>
      <c r="K323" s="22"/>
      <c r="L323" s="22"/>
      <c r="M323" s="22"/>
      <c r="N323" s="22"/>
      <c r="O323" s="22"/>
      <c r="P323" s="22"/>
      <c r="Q323" s="22"/>
      <c r="R323" s="22"/>
      <c r="S323" s="22"/>
      <c r="T323" s="22"/>
      <c r="U323" s="22"/>
      <c r="V323" s="22"/>
      <c r="W323" s="22"/>
      <c r="X323" s="22"/>
      <c r="Y323" s="22"/>
      <c r="Z323" s="22"/>
      <c r="AA323" s="22"/>
      <c r="AB323" s="22"/>
      <c r="AC323" s="22"/>
      <c r="AD323" s="22"/>
      <c r="AE323" s="22"/>
      <c r="AF323" s="22"/>
      <c r="AG323" s="22"/>
      <c r="AH323" s="22"/>
      <c r="AI323" s="22"/>
      <c r="AJ323" s="22"/>
      <c r="AK323" s="22"/>
      <c r="AL323" s="22"/>
      <c r="AM323" s="22"/>
      <c r="AN323" s="22"/>
    </row>
    <row r="324" spans="1:40" x14ac:dyDescent="0.25">
      <c r="A324" s="22"/>
      <c r="B324" s="22"/>
      <c r="C324" s="22"/>
      <c r="D324" s="22"/>
      <c r="E324" s="22"/>
      <c r="F324" s="22"/>
      <c r="G324" s="22"/>
      <c r="H324" s="22"/>
      <c r="I324" s="22"/>
      <c r="J324" s="22"/>
      <c r="K324" s="22"/>
      <c r="L324" s="22"/>
      <c r="M324" s="22"/>
      <c r="N324" s="22"/>
      <c r="O324" s="22"/>
      <c r="P324" s="22"/>
      <c r="Q324" s="22"/>
      <c r="R324" s="22"/>
      <c r="S324" s="22"/>
      <c r="T324" s="22"/>
      <c r="U324" s="22"/>
      <c r="V324" s="22"/>
      <c r="W324" s="22"/>
      <c r="X324" s="22"/>
      <c r="Y324" s="22"/>
      <c r="Z324" s="22"/>
      <c r="AA324" s="22"/>
      <c r="AB324" s="22"/>
      <c r="AC324" s="22"/>
      <c r="AD324" s="22"/>
      <c r="AE324" s="22"/>
      <c r="AF324" s="22"/>
      <c r="AG324" s="22"/>
      <c r="AH324" s="22"/>
      <c r="AI324" s="22"/>
      <c r="AJ324" s="22"/>
      <c r="AK324" s="22"/>
      <c r="AL324" s="22"/>
      <c r="AM324" s="22"/>
      <c r="AN324" s="22"/>
    </row>
    <row r="325" spans="1:40" x14ac:dyDescent="0.25">
      <c r="A325" s="22"/>
      <c r="B325" s="22"/>
      <c r="C325" s="22"/>
      <c r="D325" s="22"/>
      <c r="E325" s="22"/>
      <c r="F325" s="22"/>
      <c r="G325" s="22"/>
      <c r="H325" s="22"/>
      <c r="I325" s="22"/>
      <c r="J325" s="22"/>
      <c r="K325" s="22"/>
      <c r="L325" s="22"/>
      <c r="M325" s="22"/>
      <c r="N325" s="22"/>
      <c r="O325" s="22"/>
      <c r="P325" s="22"/>
      <c r="Q325" s="22"/>
      <c r="R325" s="22"/>
      <c r="S325" s="22"/>
      <c r="T325" s="22"/>
      <c r="U325" s="22"/>
      <c r="V325" s="22"/>
      <c r="W325" s="22"/>
      <c r="X325" s="22"/>
      <c r="Y325" s="22"/>
      <c r="Z325" s="22"/>
      <c r="AA325" s="22"/>
      <c r="AB325" s="22"/>
      <c r="AC325" s="22"/>
      <c r="AD325" s="22"/>
      <c r="AE325" s="22"/>
      <c r="AF325" s="22"/>
      <c r="AG325" s="22"/>
      <c r="AH325" s="22"/>
      <c r="AI325" s="22"/>
      <c r="AJ325" s="22"/>
      <c r="AK325" s="22"/>
      <c r="AL325" s="22"/>
      <c r="AM325" s="22"/>
      <c r="AN325" s="22"/>
    </row>
    <row r="326" spans="1:40" x14ac:dyDescent="0.25">
      <c r="A326" s="22"/>
      <c r="B326" s="22"/>
      <c r="C326" s="22"/>
      <c r="D326" s="22"/>
      <c r="E326" s="22"/>
      <c r="F326" s="22"/>
      <c r="G326" s="22"/>
      <c r="H326" s="22"/>
      <c r="I326" s="22"/>
      <c r="J326" s="22"/>
      <c r="K326" s="22"/>
      <c r="L326" s="22"/>
      <c r="M326" s="22"/>
      <c r="N326" s="22"/>
      <c r="O326" s="22"/>
      <c r="P326" s="22"/>
      <c r="Q326" s="22"/>
      <c r="R326" s="22"/>
      <c r="S326" s="22"/>
      <c r="T326" s="22"/>
      <c r="U326" s="22"/>
      <c r="V326" s="22"/>
      <c r="W326" s="22"/>
      <c r="X326" s="22"/>
      <c r="Y326" s="22"/>
      <c r="Z326" s="22"/>
      <c r="AA326" s="22"/>
      <c r="AB326" s="22"/>
      <c r="AC326" s="22"/>
      <c r="AD326" s="22"/>
      <c r="AE326" s="22"/>
      <c r="AF326" s="22"/>
      <c r="AG326" s="22"/>
      <c r="AH326" s="22"/>
      <c r="AI326" s="22"/>
      <c r="AJ326" s="22"/>
      <c r="AK326" s="22"/>
      <c r="AL326" s="22"/>
      <c r="AM326" s="22"/>
      <c r="AN326" s="22"/>
    </row>
    <row r="327" spans="1:40" x14ac:dyDescent="0.25">
      <c r="A327" s="22"/>
      <c r="B327" s="22"/>
      <c r="C327" s="22"/>
      <c r="D327" s="22"/>
      <c r="E327" s="22"/>
      <c r="F327" s="22"/>
      <c r="G327" s="22"/>
      <c r="H327" s="22"/>
      <c r="I327" s="22"/>
      <c r="J327" s="22"/>
      <c r="K327" s="22"/>
      <c r="L327" s="22"/>
      <c r="M327" s="22"/>
      <c r="N327" s="22"/>
      <c r="O327" s="22"/>
      <c r="P327" s="22"/>
      <c r="Q327" s="22"/>
      <c r="R327" s="22"/>
      <c r="S327" s="22"/>
      <c r="T327" s="22"/>
      <c r="U327" s="22"/>
      <c r="V327" s="22"/>
      <c r="W327" s="22"/>
      <c r="X327" s="22"/>
      <c r="Y327" s="22"/>
      <c r="Z327" s="22"/>
      <c r="AA327" s="22"/>
      <c r="AB327" s="22"/>
      <c r="AC327" s="22"/>
      <c r="AD327" s="22"/>
      <c r="AE327" s="22"/>
      <c r="AF327" s="22"/>
      <c r="AG327" s="22"/>
      <c r="AH327" s="22"/>
      <c r="AI327" s="22"/>
      <c r="AJ327" s="22"/>
      <c r="AK327" s="22"/>
      <c r="AL327" s="22"/>
      <c r="AM327" s="22"/>
      <c r="AN327" s="22"/>
    </row>
    <row r="328" spans="1:40" x14ac:dyDescent="0.25">
      <c r="A328" s="22"/>
      <c r="B328" s="22"/>
      <c r="C328" s="22"/>
      <c r="D328" s="22"/>
      <c r="E328" s="22"/>
      <c r="F328" s="22"/>
      <c r="G328" s="22"/>
      <c r="H328" s="22"/>
      <c r="I328" s="22"/>
      <c r="J328" s="22"/>
      <c r="K328" s="22"/>
      <c r="L328" s="22"/>
      <c r="M328" s="22"/>
      <c r="N328" s="22"/>
      <c r="O328" s="22"/>
      <c r="P328" s="22"/>
      <c r="Q328" s="22"/>
      <c r="R328" s="22"/>
      <c r="S328" s="22"/>
      <c r="T328" s="22"/>
      <c r="U328" s="22"/>
      <c r="V328" s="22"/>
      <c r="W328" s="22"/>
      <c r="X328" s="22"/>
      <c r="Y328" s="22"/>
      <c r="Z328" s="22"/>
      <c r="AA328" s="22"/>
      <c r="AB328" s="22"/>
      <c r="AC328" s="22"/>
      <c r="AD328" s="22"/>
      <c r="AE328" s="22"/>
      <c r="AF328" s="22"/>
      <c r="AG328" s="22"/>
      <c r="AH328" s="22"/>
      <c r="AI328" s="22"/>
      <c r="AJ328" s="22"/>
      <c r="AK328" s="22"/>
      <c r="AL328" s="22"/>
      <c r="AM328" s="22"/>
      <c r="AN328" s="22"/>
    </row>
    <row r="329" spans="1:40" x14ac:dyDescent="0.25">
      <c r="A329" s="22"/>
      <c r="B329" s="22"/>
      <c r="C329" s="22"/>
      <c r="D329" s="22"/>
      <c r="E329" s="22"/>
      <c r="F329" s="22"/>
      <c r="G329" s="22"/>
      <c r="H329" s="22"/>
      <c r="I329" s="22"/>
      <c r="J329" s="22"/>
      <c r="K329" s="22"/>
      <c r="L329" s="22"/>
      <c r="M329" s="22"/>
      <c r="N329" s="22"/>
      <c r="O329" s="22"/>
      <c r="P329" s="22"/>
      <c r="Q329" s="22"/>
      <c r="R329" s="22"/>
      <c r="S329" s="22"/>
      <c r="T329" s="22"/>
      <c r="U329" s="22"/>
      <c r="V329" s="22"/>
      <c r="W329" s="22"/>
      <c r="X329" s="22"/>
      <c r="Y329" s="22"/>
      <c r="Z329" s="22"/>
      <c r="AA329" s="22"/>
      <c r="AB329" s="22"/>
      <c r="AC329" s="22"/>
      <c r="AD329" s="22"/>
      <c r="AE329" s="22"/>
      <c r="AF329" s="22"/>
      <c r="AG329" s="22"/>
      <c r="AH329" s="22"/>
      <c r="AI329" s="22"/>
      <c r="AJ329" s="22"/>
      <c r="AK329" s="22"/>
      <c r="AL329" s="22"/>
      <c r="AM329" s="22"/>
      <c r="AN329" s="22"/>
    </row>
    <row r="330" spans="1:40" x14ac:dyDescent="0.25">
      <c r="A330" s="22"/>
      <c r="B330" s="22"/>
      <c r="C330" s="22"/>
      <c r="D330" s="22"/>
      <c r="E330" s="22"/>
      <c r="F330" s="22"/>
      <c r="G330" s="22"/>
      <c r="H330" s="22"/>
      <c r="I330" s="22"/>
      <c r="J330" s="22"/>
      <c r="K330" s="22"/>
      <c r="L330" s="22"/>
      <c r="M330" s="22"/>
      <c r="N330" s="22"/>
      <c r="O330" s="22"/>
      <c r="P330" s="22"/>
      <c r="Q330" s="22"/>
      <c r="R330" s="22"/>
      <c r="S330" s="22"/>
      <c r="T330" s="22"/>
      <c r="U330" s="22"/>
      <c r="V330" s="22"/>
      <c r="W330" s="22"/>
      <c r="X330" s="22"/>
      <c r="Y330" s="22"/>
      <c r="Z330" s="22"/>
      <c r="AA330" s="22"/>
      <c r="AB330" s="22"/>
      <c r="AC330" s="22"/>
      <c r="AD330" s="22"/>
      <c r="AE330" s="22"/>
      <c r="AF330" s="22"/>
      <c r="AG330" s="22"/>
      <c r="AH330" s="22"/>
      <c r="AI330" s="22"/>
      <c r="AJ330" s="22"/>
      <c r="AK330" s="22"/>
      <c r="AL330" s="22"/>
      <c r="AM330" s="22"/>
      <c r="AN330" s="22"/>
    </row>
    <row r="331" spans="1:40" x14ac:dyDescent="0.25">
      <c r="A331" s="22"/>
      <c r="B331" s="22"/>
      <c r="C331" s="22"/>
      <c r="D331" s="22"/>
      <c r="E331" s="22"/>
      <c r="F331" s="22"/>
      <c r="G331" s="22"/>
      <c r="H331" s="22"/>
      <c r="I331" s="22"/>
      <c r="J331" s="22"/>
      <c r="K331" s="22"/>
      <c r="L331" s="22"/>
      <c r="M331" s="22"/>
      <c r="N331" s="22"/>
      <c r="O331" s="22"/>
      <c r="P331" s="22"/>
      <c r="Q331" s="22"/>
      <c r="R331" s="22"/>
      <c r="S331" s="22"/>
      <c r="T331" s="22"/>
      <c r="U331" s="22"/>
      <c r="V331" s="22"/>
      <c r="W331" s="22"/>
      <c r="X331" s="22"/>
      <c r="Y331" s="22"/>
      <c r="Z331" s="22"/>
      <c r="AA331" s="22"/>
      <c r="AB331" s="22"/>
      <c r="AC331" s="22"/>
      <c r="AD331" s="22"/>
      <c r="AE331" s="22"/>
      <c r="AF331" s="22"/>
      <c r="AG331" s="22"/>
      <c r="AH331" s="22"/>
      <c r="AI331" s="22"/>
      <c r="AJ331" s="22"/>
      <c r="AK331" s="22"/>
      <c r="AL331" s="22"/>
      <c r="AM331" s="22"/>
      <c r="AN331" s="22"/>
    </row>
    <row r="332" spans="1:40" x14ac:dyDescent="0.25">
      <c r="A332" s="22"/>
      <c r="B332" s="22"/>
      <c r="C332" s="22"/>
      <c r="D332" s="22"/>
      <c r="E332" s="22"/>
      <c r="F332" s="22"/>
      <c r="G332" s="22"/>
      <c r="H332" s="22"/>
      <c r="I332" s="22"/>
      <c r="J332" s="22"/>
      <c r="K332" s="22"/>
      <c r="L332" s="22"/>
      <c r="M332" s="22"/>
      <c r="N332" s="22"/>
      <c r="O332" s="22"/>
      <c r="P332" s="22"/>
      <c r="Q332" s="22"/>
      <c r="R332" s="22"/>
      <c r="S332" s="22"/>
      <c r="T332" s="22"/>
      <c r="U332" s="22"/>
      <c r="V332" s="22"/>
      <c r="W332" s="22"/>
      <c r="X332" s="22"/>
      <c r="Y332" s="22"/>
      <c r="Z332" s="22"/>
      <c r="AA332" s="22"/>
      <c r="AB332" s="22"/>
      <c r="AC332" s="22"/>
      <c r="AD332" s="22"/>
      <c r="AE332" s="22"/>
      <c r="AF332" s="22"/>
      <c r="AG332" s="22"/>
      <c r="AH332" s="22"/>
      <c r="AI332" s="22"/>
      <c r="AJ332" s="22"/>
      <c r="AK332" s="22"/>
      <c r="AL332" s="22"/>
      <c r="AM332" s="22"/>
      <c r="AN332" s="22"/>
    </row>
    <row r="333" spans="1:40" x14ac:dyDescent="0.25">
      <c r="A333" s="22"/>
      <c r="B333" s="22"/>
      <c r="C333" s="22"/>
      <c r="D333" s="22"/>
      <c r="E333" s="22"/>
      <c r="F333" s="22"/>
      <c r="G333" s="22"/>
      <c r="H333" s="22"/>
      <c r="I333" s="22"/>
      <c r="J333" s="22"/>
      <c r="K333" s="22"/>
      <c r="L333" s="22"/>
      <c r="M333" s="22"/>
      <c r="N333" s="22"/>
      <c r="O333" s="22"/>
      <c r="P333" s="22"/>
      <c r="Q333" s="22"/>
      <c r="R333" s="22"/>
      <c r="S333" s="22"/>
      <c r="T333" s="22"/>
      <c r="U333" s="22"/>
      <c r="V333" s="22"/>
      <c r="W333" s="22"/>
      <c r="X333" s="22"/>
      <c r="Y333" s="22"/>
      <c r="Z333" s="22"/>
      <c r="AA333" s="22"/>
      <c r="AB333" s="22"/>
      <c r="AC333" s="22"/>
      <c r="AD333" s="22"/>
      <c r="AE333" s="22"/>
      <c r="AF333" s="22"/>
      <c r="AG333" s="22"/>
      <c r="AH333" s="22"/>
      <c r="AI333" s="22"/>
      <c r="AJ333" s="22"/>
      <c r="AK333" s="22"/>
      <c r="AL333" s="22"/>
      <c r="AM333" s="22"/>
      <c r="AN333" s="22"/>
    </row>
    <row r="334" spans="1:40" x14ac:dyDescent="0.25">
      <c r="A334" s="22"/>
      <c r="B334" s="22"/>
      <c r="C334" s="22"/>
      <c r="D334" s="22"/>
      <c r="E334" s="22"/>
      <c r="F334" s="22"/>
      <c r="G334" s="22"/>
      <c r="H334" s="22"/>
      <c r="I334" s="22"/>
      <c r="J334" s="22"/>
      <c r="K334" s="22"/>
      <c r="L334" s="22"/>
      <c r="M334" s="22"/>
      <c r="N334" s="22"/>
      <c r="O334" s="22"/>
      <c r="P334" s="22"/>
      <c r="Q334" s="22"/>
      <c r="R334" s="22"/>
      <c r="S334" s="22"/>
      <c r="T334" s="22"/>
      <c r="U334" s="22"/>
      <c r="V334" s="22"/>
      <c r="W334" s="22"/>
      <c r="X334" s="22"/>
      <c r="Y334" s="22"/>
      <c r="Z334" s="22"/>
      <c r="AA334" s="22"/>
      <c r="AB334" s="22"/>
      <c r="AC334" s="22"/>
      <c r="AD334" s="22"/>
      <c r="AE334" s="22"/>
      <c r="AF334" s="22"/>
      <c r="AG334" s="22"/>
      <c r="AH334" s="22"/>
      <c r="AI334" s="22"/>
      <c r="AJ334" s="22"/>
      <c r="AK334" s="22"/>
      <c r="AL334" s="22"/>
      <c r="AM334" s="22"/>
      <c r="AN334" s="22"/>
    </row>
    <row r="335" spans="1:40" x14ac:dyDescent="0.25">
      <c r="A335" s="22"/>
      <c r="B335" s="22"/>
      <c r="C335" s="22"/>
      <c r="D335" s="22"/>
      <c r="E335" s="22"/>
      <c r="F335" s="22"/>
      <c r="G335" s="22"/>
      <c r="H335" s="22"/>
      <c r="I335" s="22"/>
      <c r="J335" s="22"/>
      <c r="K335" s="22"/>
      <c r="L335" s="22"/>
      <c r="M335" s="22"/>
      <c r="N335" s="22"/>
      <c r="O335" s="22"/>
      <c r="P335" s="22"/>
      <c r="Q335" s="22"/>
      <c r="R335" s="22"/>
      <c r="S335" s="22"/>
      <c r="T335" s="22"/>
      <c r="U335" s="22"/>
      <c r="V335" s="22"/>
      <c r="W335" s="22"/>
      <c r="X335" s="22"/>
      <c r="Y335" s="22"/>
      <c r="Z335" s="22"/>
      <c r="AA335" s="22"/>
      <c r="AB335" s="22"/>
      <c r="AC335" s="22"/>
      <c r="AD335" s="22"/>
      <c r="AE335" s="22"/>
      <c r="AF335" s="22"/>
      <c r="AG335" s="22"/>
      <c r="AH335" s="22"/>
      <c r="AI335" s="22"/>
      <c r="AJ335" s="22"/>
      <c r="AK335" s="22"/>
      <c r="AL335" s="22"/>
      <c r="AM335" s="22"/>
      <c r="AN335" s="22"/>
    </row>
    <row r="336" spans="1:40" x14ac:dyDescent="0.25">
      <c r="A336" s="22"/>
      <c r="B336" s="22"/>
      <c r="C336" s="22"/>
      <c r="D336" s="22"/>
      <c r="E336" s="22"/>
      <c r="F336" s="22"/>
      <c r="G336" s="22"/>
      <c r="H336" s="22"/>
      <c r="I336" s="22"/>
      <c r="J336" s="22"/>
      <c r="K336" s="22"/>
      <c r="L336" s="22"/>
      <c r="M336" s="22"/>
      <c r="N336" s="22"/>
      <c r="O336" s="22"/>
      <c r="P336" s="22"/>
      <c r="Q336" s="22"/>
      <c r="R336" s="22"/>
      <c r="S336" s="22"/>
      <c r="T336" s="22"/>
      <c r="U336" s="22"/>
      <c r="V336" s="22"/>
      <c r="W336" s="22"/>
      <c r="X336" s="22"/>
      <c r="Y336" s="22"/>
      <c r="Z336" s="22"/>
      <c r="AA336" s="22"/>
      <c r="AB336" s="22"/>
      <c r="AC336" s="22"/>
      <c r="AD336" s="22"/>
      <c r="AE336" s="22"/>
      <c r="AF336" s="22"/>
      <c r="AG336" s="22"/>
      <c r="AH336" s="22"/>
      <c r="AI336" s="22"/>
      <c r="AJ336" s="22"/>
      <c r="AK336" s="22"/>
      <c r="AL336" s="22"/>
      <c r="AM336" s="22"/>
      <c r="AN336" s="22"/>
    </row>
    <row r="337" spans="1:40" x14ac:dyDescent="0.25">
      <c r="A337" s="22"/>
      <c r="B337" s="22"/>
      <c r="C337" s="22"/>
      <c r="D337" s="22"/>
      <c r="E337" s="22"/>
      <c r="F337" s="22"/>
      <c r="G337" s="22"/>
      <c r="H337" s="22"/>
      <c r="I337" s="22"/>
      <c r="J337" s="22"/>
      <c r="K337" s="22"/>
      <c r="L337" s="22"/>
      <c r="M337" s="22"/>
      <c r="N337" s="22"/>
      <c r="O337" s="22"/>
      <c r="P337" s="22"/>
      <c r="Q337" s="22"/>
      <c r="R337" s="22"/>
      <c r="S337" s="22"/>
      <c r="T337" s="22"/>
      <c r="U337" s="22"/>
      <c r="V337" s="22"/>
      <c r="W337" s="22"/>
      <c r="X337" s="22"/>
      <c r="Y337" s="22"/>
      <c r="Z337" s="22"/>
      <c r="AA337" s="22"/>
      <c r="AB337" s="22"/>
      <c r="AC337" s="22"/>
      <c r="AD337" s="22"/>
      <c r="AE337" s="22"/>
      <c r="AF337" s="22"/>
      <c r="AG337" s="22"/>
      <c r="AH337" s="22"/>
      <c r="AI337" s="22"/>
      <c r="AJ337" s="22"/>
      <c r="AK337" s="22"/>
      <c r="AL337" s="22"/>
      <c r="AM337" s="22"/>
      <c r="AN337" s="22"/>
    </row>
    <row r="338" spans="1:40" x14ac:dyDescent="0.25">
      <c r="A338" s="22"/>
      <c r="B338" s="22"/>
      <c r="C338" s="22"/>
      <c r="D338" s="22"/>
      <c r="E338" s="22"/>
      <c r="F338" s="22"/>
      <c r="G338" s="22"/>
      <c r="H338" s="22"/>
      <c r="I338" s="22"/>
      <c r="J338" s="22"/>
      <c r="K338" s="22"/>
      <c r="L338" s="22"/>
      <c r="M338" s="22"/>
      <c r="N338" s="22"/>
      <c r="O338" s="22"/>
      <c r="P338" s="22"/>
      <c r="Q338" s="22"/>
      <c r="R338" s="22"/>
      <c r="S338" s="22"/>
      <c r="T338" s="22"/>
      <c r="U338" s="22"/>
      <c r="V338" s="22"/>
      <c r="W338" s="22"/>
      <c r="X338" s="22"/>
      <c r="Y338" s="22"/>
      <c r="Z338" s="22"/>
      <c r="AA338" s="22"/>
      <c r="AB338" s="22"/>
      <c r="AC338" s="22"/>
      <c r="AD338" s="22"/>
      <c r="AE338" s="22"/>
      <c r="AF338" s="22"/>
      <c r="AG338" s="22"/>
      <c r="AH338" s="22"/>
      <c r="AI338" s="22"/>
      <c r="AJ338" s="22"/>
      <c r="AK338" s="22"/>
      <c r="AL338" s="22"/>
      <c r="AM338" s="22"/>
      <c r="AN338" s="22"/>
    </row>
    <row r="339" spans="1:40" x14ac:dyDescent="0.25">
      <c r="A339" s="22"/>
      <c r="B339" s="22"/>
      <c r="C339" s="22"/>
      <c r="D339" s="22"/>
      <c r="E339" s="22"/>
      <c r="F339" s="22"/>
      <c r="G339" s="22"/>
      <c r="H339" s="22"/>
      <c r="I339" s="22"/>
      <c r="J339" s="22"/>
      <c r="K339" s="22"/>
      <c r="L339" s="22"/>
      <c r="M339" s="22"/>
      <c r="N339" s="22"/>
      <c r="O339" s="22"/>
      <c r="P339" s="22"/>
      <c r="Q339" s="22"/>
      <c r="R339" s="22"/>
      <c r="S339" s="22"/>
      <c r="T339" s="22"/>
      <c r="U339" s="22"/>
      <c r="V339" s="22"/>
      <c r="W339" s="22"/>
      <c r="X339" s="22"/>
      <c r="Y339" s="22"/>
      <c r="Z339" s="22"/>
      <c r="AA339" s="22"/>
      <c r="AB339" s="22"/>
      <c r="AC339" s="22"/>
      <c r="AD339" s="22"/>
      <c r="AE339" s="22"/>
      <c r="AF339" s="22"/>
      <c r="AG339" s="22"/>
      <c r="AH339" s="22"/>
      <c r="AI339" s="22"/>
      <c r="AJ339" s="22"/>
      <c r="AK339" s="22"/>
      <c r="AL339" s="22"/>
      <c r="AM339" s="22"/>
      <c r="AN339" s="22"/>
    </row>
    <row r="340" spans="1:40" x14ac:dyDescent="0.25">
      <c r="A340" s="22"/>
      <c r="B340" s="22"/>
      <c r="C340" s="22"/>
      <c r="D340" s="22"/>
      <c r="E340" s="22"/>
      <c r="F340" s="22"/>
      <c r="G340" s="22"/>
      <c r="H340" s="22"/>
      <c r="I340" s="22"/>
      <c r="J340" s="22"/>
      <c r="K340" s="22"/>
      <c r="L340" s="22"/>
      <c r="M340" s="22"/>
      <c r="N340" s="22"/>
      <c r="O340" s="22"/>
      <c r="P340" s="22"/>
      <c r="Q340" s="22"/>
      <c r="R340" s="22"/>
      <c r="S340" s="22"/>
      <c r="T340" s="22"/>
      <c r="U340" s="22"/>
      <c r="V340" s="22"/>
      <c r="W340" s="22"/>
      <c r="X340" s="22"/>
      <c r="Y340" s="22"/>
      <c r="Z340" s="22"/>
      <c r="AA340" s="22"/>
      <c r="AB340" s="22"/>
      <c r="AC340" s="22"/>
      <c r="AD340" s="22"/>
      <c r="AE340" s="22"/>
      <c r="AF340" s="22"/>
      <c r="AG340" s="22"/>
      <c r="AH340" s="22"/>
      <c r="AI340" s="22"/>
      <c r="AJ340" s="22"/>
      <c r="AK340" s="22"/>
      <c r="AL340" s="22"/>
      <c r="AM340" s="22"/>
      <c r="AN340" s="22"/>
    </row>
    <row r="341" spans="1:40" x14ac:dyDescent="0.25">
      <c r="A341" s="22"/>
      <c r="B341" s="22"/>
      <c r="C341" s="22"/>
      <c r="D341" s="22"/>
      <c r="E341" s="22"/>
      <c r="F341" s="22"/>
      <c r="G341" s="22"/>
      <c r="H341" s="22"/>
      <c r="I341" s="22"/>
      <c r="J341" s="22"/>
      <c r="K341" s="22"/>
      <c r="L341" s="22"/>
      <c r="M341" s="22"/>
      <c r="N341" s="22"/>
      <c r="O341" s="22"/>
      <c r="P341" s="22"/>
      <c r="Q341" s="22"/>
      <c r="R341" s="22"/>
      <c r="S341" s="22"/>
      <c r="T341" s="22"/>
      <c r="U341" s="22"/>
      <c r="V341" s="22"/>
      <c r="W341" s="22"/>
      <c r="X341" s="22"/>
      <c r="Y341" s="22"/>
      <c r="Z341" s="22"/>
      <c r="AA341" s="22"/>
      <c r="AB341" s="22"/>
      <c r="AC341" s="22"/>
      <c r="AD341" s="22"/>
      <c r="AE341" s="22"/>
      <c r="AF341" s="22"/>
      <c r="AG341" s="22"/>
      <c r="AH341" s="22"/>
      <c r="AI341" s="22"/>
      <c r="AJ341" s="22"/>
      <c r="AK341" s="22"/>
      <c r="AL341" s="22"/>
      <c r="AM341" s="22"/>
      <c r="AN341" s="22"/>
    </row>
    <row r="342" spans="1:40" x14ac:dyDescent="0.25">
      <c r="A342" s="22"/>
      <c r="B342" s="22"/>
      <c r="C342" s="22"/>
      <c r="D342" s="22"/>
      <c r="E342" s="22"/>
      <c r="F342" s="22"/>
      <c r="G342" s="22"/>
      <c r="H342" s="22"/>
      <c r="I342" s="22"/>
      <c r="J342" s="22"/>
      <c r="K342" s="22"/>
      <c r="L342" s="22"/>
      <c r="M342" s="22"/>
      <c r="N342" s="22"/>
      <c r="O342" s="22"/>
      <c r="P342" s="22"/>
      <c r="Q342" s="22"/>
      <c r="R342" s="22"/>
      <c r="S342" s="22"/>
      <c r="T342" s="22"/>
      <c r="U342" s="22"/>
      <c r="V342" s="22"/>
      <c r="W342" s="22"/>
      <c r="X342" s="22"/>
      <c r="Y342" s="22"/>
      <c r="Z342" s="22"/>
      <c r="AA342" s="22"/>
      <c r="AB342" s="22"/>
      <c r="AC342" s="22"/>
      <c r="AD342" s="22"/>
      <c r="AE342" s="22"/>
      <c r="AF342" s="22"/>
      <c r="AG342" s="22"/>
      <c r="AH342" s="22"/>
      <c r="AI342" s="22"/>
      <c r="AJ342" s="22"/>
      <c r="AK342" s="22"/>
      <c r="AL342" s="22"/>
      <c r="AM342" s="22"/>
      <c r="AN342" s="22"/>
    </row>
    <row r="343" spans="1:40" x14ac:dyDescent="0.25">
      <c r="A343" s="22"/>
      <c r="B343" s="22"/>
      <c r="C343" s="22"/>
      <c r="D343" s="22"/>
      <c r="E343" s="22"/>
      <c r="F343" s="22"/>
      <c r="G343" s="22"/>
      <c r="H343" s="22"/>
      <c r="I343" s="22"/>
      <c r="J343" s="22"/>
      <c r="K343" s="22"/>
      <c r="L343" s="22"/>
      <c r="M343" s="22"/>
      <c r="N343" s="22"/>
      <c r="O343" s="22"/>
      <c r="P343" s="22"/>
      <c r="Q343" s="22"/>
      <c r="R343" s="22"/>
      <c r="S343" s="22"/>
      <c r="T343" s="22"/>
      <c r="U343" s="22"/>
      <c r="V343" s="22"/>
      <c r="W343" s="22"/>
      <c r="X343" s="22"/>
      <c r="Y343" s="22"/>
      <c r="Z343" s="22"/>
      <c r="AA343" s="22"/>
      <c r="AB343" s="22"/>
      <c r="AC343" s="22"/>
      <c r="AD343" s="22"/>
      <c r="AE343" s="22"/>
      <c r="AF343" s="22"/>
      <c r="AG343" s="22"/>
      <c r="AH343" s="22"/>
      <c r="AI343" s="22"/>
      <c r="AJ343" s="22"/>
      <c r="AK343" s="22"/>
      <c r="AL343" s="22"/>
      <c r="AM343" s="22"/>
      <c r="AN343" s="22"/>
    </row>
    <row r="344" spans="1:40" x14ac:dyDescent="0.25">
      <c r="A344" s="22"/>
      <c r="B344" s="22"/>
      <c r="C344" s="22"/>
      <c r="D344" s="22"/>
      <c r="E344" s="22"/>
      <c r="F344" s="22"/>
      <c r="G344" s="22"/>
      <c r="H344" s="22"/>
      <c r="I344" s="22"/>
      <c r="J344" s="22"/>
      <c r="K344" s="22"/>
      <c r="L344" s="22"/>
      <c r="M344" s="22"/>
      <c r="N344" s="22"/>
      <c r="O344" s="22"/>
      <c r="P344" s="22"/>
      <c r="Q344" s="22"/>
      <c r="R344" s="22"/>
      <c r="S344" s="22"/>
      <c r="T344" s="22"/>
      <c r="U344" s="22"/>
      <c r="V344" s="22"/>
      <c r="W344" s="22"/>
      <c r="X344" s="22"/>
      <c r="Y344" s="22"/>
      <c r="Z344" s="22"/>
      <c r="AA344" s="22"/>
      <c r="AB344" s="22"/>
      <c r="AC344" s="22"/>
      <c r="AD344" s="22"/>
      <c r="AE344" s="22"/>
      <c r="AF344" s="22"/>
      <c r="AG344" s="22"/>
      <c r="AH344" s="22"/>
      <c r="AI344" s="22"/>
      <c r="AJ344" s="22"/>
      <c r="AK344" s="22"/>
      <c r="AL344" s="22"/>
      <c r="AM344" s="22"/>
      <c r="AN344" s="22"/>
    </row>
    <row r="345" spans="1:40" x14ac:dyDescent="0.25">
      <c r="A345" s="22"/>
      <c r="B345" s="22"/>
      <c r="C345" s="22"/>
      <c r="D345" s="22"/>
      <c r="E345" s="22"/>
      <c r="F345" s="22"/>
      <c r="G345" s="22"/>
      <c r="H345" s="22"/>
      <c r="I345" s="22"/>
      <c r="J345" s="22"/>
      <c r="K345" s="22"/>
      <c r="L345" s="22"/>
      <c r="M345" s="22"/>
      <c r="N345" s="22"/>
      <c r="O345" s="22"/>
      <c r="P345" s="22"/>
      <c r="Q345" s="22"/>
      <c r="R345" s="22"/>
      <c r="S345" s="22"/>
      <c r="T345" s="22"/>
      <c r="U345" s="22"/>
      <c r="V345" s="22"/>
      <c r="W345" s="22"/>
      <c r="X345" s="22"/>
      <c r="Y345" s="22"/>
      <c r="Z345" s="22"/>
      <c r="AA345" s="22"/>
      <c r="AB345" s="22"/>
      <c r="AC345" s="22"/>
      <c r="AD345" s="22"/>
      <c r="AE345" s="22"/>
      <c r="AF345" s="22"/>
      <c r="AG345" s="22"/>
      <c r="AH345" s="22"/>
      <c r="AI345" s="22"/>
      <c r="AJ345" s="22"/>
      <c r="AK345" s="22"/>
      <c r="AL345" s="22"/>
      <c r="AM345" s="22"/>
      <c r="AN345" s="22"/>
    </row>
    <row r="346" spans="1:40" x14ac:dyDescent="0.25">
      <c r="A346" s="22"/>
      <c r="B346" s="22"/>
      <c r="C346" s="22"/>
      <c r="D346" s="22"/>
      <c r="E346" s="22"/>
      <c r="F346" s="22"/>
      <c r="G346" s="22"/>
      <c r="H346" s="22"/>
      <c r="I346" s="22"/>
      <c r="J346" s="22"/>
      <c r="K346" s="22"/>
      <c r="L346" s="22"/>
      <c r="M346" s="22"/>
      <c r="N346" s="22"/>
      <c r="O346" s="22"/>
      <c r="P346" s="22"/>
      <c r="Q346" s="22"/>
      <c r="R346" s="22"/>
      <c r="S346" s="22"/>
      <c r="T346" s="22"/>
      <c r="U346" s="22"/>
      <c r="V346" s="22"/>
      <c r="W346" s="22"/>
      <c r="X346" s="22"/>
      <c r="Y346" s="22"/>
      <c r="Z346" s="22"/>
      <c r="AA346" s="22"/>
      <c r="AB346" s="22"/>
      <c r="AC346" s="22"/>
      <c r="AD346" s="22"/>
      <c r="AE346" s="22"/>
      <c r="AF346" s="22"/>
      <c r="AG346" s="22"/>
      <c r="AH346" s="22"/>
      <c r="AI346" s="22"/>
      <c r="AJ346" s="22"/>
      <c r="AK346" s="22"/>
      <c r="AL346" s="22"/>
      <c r="AM346" s="22"/>
      <c r="AN346" s="22"/>
    </row>
    <row r="347" spans="1:40" x14ac:dyDescent="0.25">
      <c r="A347" s="22"/>
      <c r="B347" s="22"/>
      <c r="C347" s="22"/>
      <c r="D347" s="22"/>
      <c r="E347" s="22"/>
      <c r="F347" s="22"/>
      <c r="G347" s="22"/>
      <c r="H347" s="22"/>
      <c r="I347" s="22"/>
      <c r="J347" s="22"/>
      <c r="K347" s="22"/>
      <c r="L347" s="22"/>
      <c r="M347" s="22"/>
      <c r="N347" s="22"/>
      <c r="O347" s="22"/>
      <c r="P347" s="22"/>
      <c r="Q347" s="22"/>
      <c r="R347" s="22"/>
      <c r="S347" s="22"/>
      <c r="T347" s="22"/>
      <c r="U347" s="22"/>
      <c r="V347" s="22"/>
      <c r="W347" s="22"/>
      <c r="X347" s="22"/>
      <c r="Y347" s="22"/>
      <c r="Z347" s="22"/>
      <c r="AA347" s="22"/>
      <c r="AB347" s="22"/>
      <c r="AC347" s="22"/>
      <c r="AD347" s="22"/>
      <c r="AE347" s="22"/>
      <c r="AF347" s="22"/>
      <c r="AG347" s="22"/>
      <c r="AH347" s="22"/>
      <c r="AI347" s="22"/>
      <c r="AJ347" s="22"/>
      <c r="AK347" s="22"/>
      <c r="AL347" s="22"/>
      <c r="AM347" s="22"/>
      <c r="AN347" s="22"/>
    </row>
    <row r="348" spans="1:40" x14ac:dyDescent="0.25">
      <c r="A348" s="22"/>
      <c r="B348" s="22"/>
      <c r="C348" s="22"/>
      <c r="D348" s="22"/>
      <c r="E348" s="22"/>
      <c r="F348" s="22"/>
      <c r="G348" s="22"/>
      <c r="H348" s="22"/>
      <c r="I348" s="22"/>
      <c r="J348" s="22"/>
      <c r="K348" s="22"/>
      <c r="L348" s="22"/>
      <c r="M348" s="22"/>
      <c r="N348" s="22"/>
      <c r="O348" s="22"/>
      <c r="P348" s="22"/>
      <c r="Q348" s="22"/>
      <c r="R348" s="22"/>
      <c r="S348" s="22"/>
      <c r="T348" s="22"/>
      <c r="U348" s="22"/>
      <c r="V348" s="22"/>
      <c r="W348" s="22"/>
      <c r="X348" s="22"/>
      <c r="Y348" s="22"/>
      <c r="Z348" s="22"/>
      <c r="AA348" s="22"/>
      <c r="AB348" s="22"/>
      <c r="AC348" s="22"/>
      <c r="AD348" s="22"/>
      <c r="AE348" s="22"/>
      <c r="AF348" s="22"/>
      <c r="AG348" s="22"/>
      <c r="AH348" s="22"/>
      <c r="AI348" s="22"/>
      <c r="AJ348" s="22"/>
      <c r="AK348" s="22"/>
      <c r="AL348" s="22"/>
      <c r="AM348" s="22"/>
      <c r="AN348" s="22"/>
    </row>
    <row r="349" spans="1:40" x14ac:dyDescent="0.25">
      <c r="A349" s="22"/>
      <c r="B349" s="22"/>
      <c r="C349" s="22"/>
      <c r="D349" s="22"/>
      <c r="E349" s="22"/>
      <c r="F349" s="22"/>
      <c r="G349" s="22"/>
      <c r="H349" s="22"/>
      <c r="I349" s="22"/>
      <c r="J349" s="22"/>
      <c r="K349" s="22"/>
      <c r="L349" s="22"/>
      <c r="M349" s="22"/>
      <c r="N349" s="22"/>
      <c r="O349" s="22"/>
      <c r="P349" s="22"/>
      <c r="Q349" s="22"/>
      <c r="R349" s="22"/>
      <c r="S349" s="22"/>
      <c r="T349" s="22"/>
      <c r="U349" s="22"/>
      <c r="V349" s="22"/>
      <c r="W349" s="22"/>
      <c r="X349" s="22"/>
      <c r="Y349" s="22"/>
      <c r="Z349" s="22"/>
      <c r="AA349" s="22"/>
      <c r="AB349" s="22"/>
      <c r="AC349" s="22"/>
      <c r="AD349" s="22"/>
      <c r="AE349" s="22"/>
      <c r="AF349" s="22"/>
      <c r="AG349" s="22"/>
      <c r="AH349" s="22"/>
      <c r="AI349" s="22"/>
      <c r="AJ349" s="22"/>
      <c r="AK349" s="22"/>
      <c r="AL349" s="22"/>
      <c r="AM349" s="22"/>
      <c r="AN349" s="22"/>
    </row>
    <row r="350" spans="1:40" x14ac:dyDescent="0.25">
      <c r="A350" s="22"/>
      <c r="B350" s="22"/>
      <c r="C350" s="22"/>
      <c r="D350" s="22"/>
      <c r="E350" s="22"/>
      <c r="F350" s="22"/>
      <c r="G350" s="22"/>
      <c r="H350" s="22"/>
      <c r="I350" s="22"/>
      <c r="J350" s="22"/>
      <c r="K350" s="22"/>
      <c r="L350" s="22"/>
      <c r="M350" s="22"/>
      <c r="N350" s="22"/>
      <c r="O350" s="22"/>
      <c r="P350" s="22"/>
      <c r="Q350" s="22"/>
      <c r="R350" s="22"/>
      <c r="S350" s="22"/>
      <c r="T350" s="22"/>
      <c r="U350" s="22"/>
      <c r="V350" s="22"/>
      <c r="W350" s="22"/>
      <c r="X350" s="22"/>
      <c r="Y350" s="22"/>
      <c r="Z350" s="22"/>
      <c r="AA350" s="22"/>
      <c r="AB350" s="22"/>
      <c r="AC350" s="22"/>
      <c r="AD350" s="22"/>
      <c r="AE350" s="22"/>
      <c r="AF350" s="22"/>
      <c r="AG350" s="22"/>
      <c r="AH350" s="22"/>
      <c r="AI350" s="22"/>
      <c r="AJ350" s="22"/>
      <c r="AK350" s="22"/>
      <c r="AL350" s="22"/>
      <c r="AM350" s="22"/>
      <c r="AN350" s="22"/>
    </row>
    <row r="351" spans="1:40" x14ac:dyDescent="0.25">
      <c r="A351" s="22"/>
      <c r="B351" s="22"/>
      <c r="C351" s="22"/>
      <c r="D351" s="22"/>
      <c r="E351" s="22"/>
      <c r="F351" s="22"/>
      <c r="G351" s="22"/>
      <c r="H351" s="22"/>
      <c r="I351" s="22"/>
      <c r="J351" s="22"/>
      <c r="K351" s="22"/>
      <c r="L351" s="22"/>
      <c r="M351" s="22"/>
      <c r="N351" s="22"/>
      <c r="O351" s="22"/>
      <c r="P351" s="22"/>
      <c r="Q351" s="22"/>
      <c r="R351" s="22"/>
      <c r="S351" s="22"/>
      <c r="T351" s="22"/>
      <c r="U351" s="22"/>
      <c r="V351" s="22"/>
      <c r="W351" s="22"/>
      <c r="X351" s="22"/>
      <c r="Y351" s="22"/>
      <c r="Z351" s="22"/>
      <c r="AA351" s="22"/>
      <c r="AB351" s="22"/>
      <c r="AC351" s="22"/>
      <c r="AD351" s="22"/>
      <c r="AE351" s="22"/>
      <c r="AF351" s="22"/>
      <c r="AG351" s="22"/>
      <c r="AH351" s="22"/>
      <c r="AI351" s="22"/>
      <c r="AJ351" s="22"/>
      <c r="AK351" s="22"/>
      <c r="AL351" s="22"/>
      <c r="AM351" s="22"/>
      <c r="AN351" s="22"/>
    </row>
    <row r="352" spans="1:40" x14ac:dyDescent="0.25">
      <c r="A352" s="22"/>
      <c r="B352" s="22"/>
      <c r="C352" s="22"/>
      <c r="D352" s="22"/>
      <c r="E352" s="22"/>
      <c r="F352" s="22"/>
      <c r="G352" s="22"/>
      <c r="H352" s="22"/>
      <c r="I352" s="22"/>
      <c r="J352" s="22"/>
      <c r="K352" s="22"/>
      <c r="L352" s="22"/>
      <c r="M352" s="22"/>
      <c r="N352" s="22"/>
      <c r="O352" s="22"/>
      <c r="P352" s="22"/>
      <c r="Q352" s="22"/>
      <c r="R352" s="22"/>
      <c r="S352" s="22"/>
      <c r="T352" s="22"/>
      <c r="U352" s="22"/>
      <c r="V352" s="22"/>
      <c r="W352" s="22"/>
      <c r="X352" s="22"/>
      <c r="Y352" s="22"/>
      <c r="Z352" s="22"/>
      <c r="AA352" s="22"/>
      <c r="AB352" s="22"/>
      <c r="AC352" s="22"/>
      <c r="AD352" s="22"/>
      <c r="AE352" s="22"/>
      <c r="AF352" s="22"/>
      <c r="AG352" s="22"/>
      <c r="AH352" s="22"/>
      <c r="AI352" s="22"/>
      <c r="AJ352" s="22"/>
      <c r="AK352" s="22"/>
      <c r="AL352" s="22"/>
      <c r="AM352" s="22"/>
      <c r="AN352" s="22"/>
    </row>
    <row r="353" spans="1:40" x14ac:dyDescent="0.25">
      <c r="A353" s="22"/>
      <c r="B353" s="22"/>
      <c r="C353" s="22"/>
      <c r="D353" s="22"/>
      <c r="E353" s="22"/>
      <c r="F353" s="22"/>
      <c r="G353" s="22"/>
      <c r="H353" s="22"/>
      <c r="I353" s="22"/>
      <c r="J353" s="22"/>
      <c r="K353" s="22"/>
      <c r="L353" s="22"/>
      <c r="M353" s="22"/>
      <c r="N353" s="22"/>
      <c r="O353" s="22"/>
      <c r="P353" s="22"/>
      <c r="Q353" s="22"/>
      <c r="R353" s="22"/>
      <c r="S353" s="22"/>
      <c r="T353" s="22"/>
      <c r="U353" s="22"/>
      <c r="V353" s="22"/>
      <c r="W353" s="22"/>
      <c r="X353" s="22"/>
      <c r="Y353" s="22"/>
      <c r="Z353" s="22"/>
      <c r="AA353" s="22"/>
      <c r="AB353" s="22"/>
      <c r="AC353" s="22"/>
      <c r="AD353" s="22"/>
      <c r="AE353" s="22"/>
      <c r="AF353" s="22"/>
      <c r="AG353" s="22"/>
      <c r="AH353" s="22"/>
      <c r="AI353" s="22"/>
      <c r="AJ353" s="22"/>
      <c r="AK353" s="22"/>
      <c r="AL353" s="22"/>
      <c r="AM353" s="22"/>
      <c r="AN353" s="22"/>
    </row>
    <row r="354" spans="1:40" x14ac:dyDescent="0.25">
      <c r="A354" s="22"/>
      <c r="B354" s="22"/>
      <c r="C354" s="22"/>
      <c r="D354" s="22"/>
      <c r="E354" s="22"/>
      <c r="F354" s="22"/>
      <c r="G354" s="22"/>
      <c r="H354" s="22"/>
      <c r="I354" s="22"/>
      <c r="J354" s="22"/>
      <c r="K354" s="22"/>
      <c r="L354" s="22"/>
      <c r="M354" s="22"/>
      <c r="N354" s="22"/>
      <c r="O354" s="22"/>
      <c r="P354" s="22"/>
      <c r="Q354" s="22"/>
      <c r="R354" s="22"/>
      <c r="S354" s="22"/>
      <c r="T354" s="22"/>
      <c r="U354" s="22"/>
      <c r="V354" s="22"/>
      <c r="W354" s="22"/>
      <c r="X354" s="22"/>
      <c r="Y354" s="22"/>
      <c r="Z354" s="22"/>
      <c r="AA354" s="22"/>
      <c r="AB354" s="22"/>
      <c r="AC354" s="22"/>
      <c r="AD354" s="22"/>
      <c r="AE354" s="22"/>
      <c r="AF354" s="22"/>
      <c r="AG354" s="22"/>
      <c r="AH354" s="22"/>
      <c r="AI354" s="22"/>
      <c r="AJ354" s="22"/>
      <c r="AK354" s="22"/>
      <c r="AL354" s="22"/>
      <c r="AM354" s="22"/>
      <c r="AN354" s="22"/>
    </row>
    <row r="355" spans="1:40" x14ac:dyDescent="0.25">
      <c r="A355" s="22"/>
      <c r="B355" s="22"/>
      <c r="C355" s="22"/>
      <c r="D355" s="22"/>
      <c r="E355" s="22"/>
      <c r="F355" s="22"/>
      <c r="G355" s="22"/>
      <c r="H355" s="22"/>
      <c r="I355" s="22"/>
      <c r="J355" s="22"/>
      <c r="K355" s="22"/>
      <c r="L355" s="22"/>
      <c r="M355" s="22"/>
      <c r="N355" s="22"/>
      <c r="O355" s="22"/>
      <c r="P355" s="22"/>
      <c r="Q355" s="22"/>
      <c r="R355" s="22"/>
      <c r="S355" s="22"/>
      <c r="T355" s="22"/>
      <c r="U355" s="22"/>
      <c r="V355" s="22"/>
      <c r="W355" s="22"/>
      <c r="X355" s="22"/>
      <c r="Y355" s="22"/>
      <c r="Z355" s="22"/>
      <c r="AA355" s="22"/>
      <c r="AB355" s="22"/>
      <c r="AC355" s="22"/>
      <c r="AD355" s="22"/>
      <c r="AE355" s="22"/>
      <c r="AF355" s="22"/>
      <c r="AG355" s="22"/>
      <c r="AH355" s="22"/>
      <c r="AI355" s="22"/>
      <c r="AJ355" s="22"/>
      <c r="AK355" s="22"/>
      <c r="AL355" s="22"/>
      <c r="AM355" s="22"/>
      <c r="AN355" s="22"/>
    </row>
    <row r="356" spans="1:40" x14ac:dyDescent="0.25">
      <c r="A356" s="22"/>
      <c r="B356" s="22"/>
      <c r="C356" s="22"/>
      <c r="D356" s="22"/>
      <c r="E356" s="22"/>
      <c r="F356" s="22"/>
      <c r="G356" s="22"/>
      <c r="H356" s="22"/>
      <c r="I356" s="22"/>
      <c r="J356" s="22"/>
      <c r="K356" s="22"/>
      <c r="L356" s="22"/>
      <c r="M356" s="22"/>
      <c r="N356" s="22"/>
      <c r="O356" s="22"/>
      <c r="P356" s="22"/>
      <c r="Q356" s="22"/>
      <c r="R356" s="22"/>
      <c r="S356" s="22"/>
      <c r="T356" s="22"/>
      <c r="U356" s="22"/>
      <c r="V356" s="22"/>
      <c r="W356" s="22"/>
      <c r="X356" s="22"/>
      <c r="Y356" s="22"/>
      <c r="Z356" s="22"/>
      <c r="AA356" s="22"/>
      <c r="AB356" s="22"/>
      <c r="AC356" s="22"/>
      <c r="AD356" s="22"/>
      <c r="AE356" s="22"/>
      <c r="AF356" s="22"/>
      <c r="AG356" s="22"/>
      <c r="AH356" s="22"/>
      <c r="AI356" s="22"/>
      <c r="AJ356" s="22"/>
      <c r="AK356" s="22"/>
      <c r="AL356" s="22"/>
      <c r="AM356" s="22"/>
      <c r="AN356" s="22"/>
    </row>
    <row r="357" spans="1:40" x14ac:dyDescent="0.25">
      <c r="A357" s="22"/>
      <c r="B357" s="22"/>
      <c r="C357" s="22"/>
      <c r="D357" s="22"/>
      <c r="E357" s="22"/>
      <c r="F357" s="22"/>
      <c r="G357" s="22"/>
      <c r="H357" s="22"/>
      <c r="I357" s="22"/>
      <c r="J357" s="22"/>
      <c r="K357" s="22"/>
      <c r="L357" s="22"/>
      <c r="M357" s="22"/>
      <c r="N357" s="22"/>
      <c r="O357" s="22"/>
      <c r="P357" s="22"/>
      <c r="Q357" s="22"/>
      <c r="R357" s="22"/>
      <c r="S357" s="22"/>
      <c r="T357" s="22"/>
      <c r="U357" s="22"/>
      <c r="V357" s="22"/>
      <c r="W357" s="22"/>
      <c r="X357" s="22"/>
      <c r="Y357" s="22"/>
      <c r="Z357" s="22"/>
      <c r="AA357" s="22"/>
      <c r="AB357" s="22"/>
      <c r="AC357" s="22"/>
      <c r="AD357" s="22"/>
      <c r="AE357" s="22"/>
      <c r="AF357" s="22"/>
      <c r="AG357" s="22"/>
      <c r="AH357" s="22"/>
      <c r="AI357" s="22"/>
      <c r="AJ357" s="22"/>
      <c r="AK357" s="22"/>
      <c r="AL357" s="22"/>
      <c r="AM357" s="22"/>
      <c r="AN357" s="22"/>
    </row>
    <row r="358" spans="1:40" x14ac:dyDescent="0.25">
      <c r="A358" s="22"/>
      <c r="B358" s="22"/>
      <c r="C358" s="22"/>
      <c r="D358" s="22"/>
      <c r="E358" s="22"/>
      <c r="F358" s="22"/>
      <c r="G358" s="22"/>
      <c r="H358" s="22"/>
      <c r="I358" s="22"/>
      <c r="J358" s="22"/>
      <c r="K358" s="22"/>
      <c r="L358" s="22"/>
      <c r="M358" s="22"/>
      <c r="N358" s="22"/>
      <c r="O358" s="22"/>
      <c r="P358" s="22"/>
      <c r="Q358" s="22"/>
      <c r="R358" s="22"/>
      <c r="S358" s="22"/>
      <c r="T358" s="22"/>
      <c r="U358" s="22"/>
      <c r="V358" s="22"/>
      <c r="W358" s="22"/>
      <c r="X358" s="22"/>
      <c r="Y358" s="22"/>
      <c r="Z358" s="22"/>
      <c r="AA358" s="22"/>
      <c r="AB358" s="22"/>
      <c r="AC358" s="22"/>
      <c r="AD358" s="22"/>
      <c r="AE358" s="22"/>
      <c r="AF358" s="22"/>
      <c r="AG358" s="22"/>
      <c r="AH358" s="22"/>
      <c r="AI358" s="22"/>
      <c r="AJ358" s="22"/>
      <c r="AK358" s="22"/>
      <c r="AL358" s="22"/>
      <c r="AM358" s="22"/>
      <c r="AN358" s="22"/>
    </row>
    <row r="359" spans="1:40" x14ac:dyDescent="0.25">
      <c r="A359" s="22"/>
      <c r="B359" s="22"/>
      <c r="C359" s="22"/>
      <c r="D359" s="22"/>
      <c r="E359" s="22"/>
      <c r="F359" s="22"/>
      <c r="G359" s="22"/>
      <c r="H359" s="22"/>
      <c r="I359" s="22"/>
      <c r="J359" s="22"/>
      <c r="K359" s="22"/>
      <c r="L359" s="22"/>
      <c r="M359" s="22"/>
      <c r="N359" s="22"/>
      <c r="O359" s="22"/>
      <c r="P359" s="22"/>
      <c r="Q359" s="22"/>
      <c r="R359" s="22"/>
      <c r="S359" s="22"/>
      <c r="T359" s="22"/>
      <c r="U359" s="22"/>
      <c r="V359" s="22"/>
      <c r="W359" s="22"/>
      <c r="X359" s="22"/>
      <c r="Y359" s="22"/>
      <c r="Z359" s="22"/>
      <c r="AA359" s="22"/>
      <c r="AB359" s="22"/>
      <c r="AC359" s="22"/>
      <c r="AD359" s="22"/>
      <c r="AE359" s="22"/>
      <c r="AF359" s="22"/>
      <c r="AG359" s="22"/>
      <c r="AH359" s="22"/>
      <c r="AI359" s="22"/>
      <c r="AJ359" s="22"/>
      <c r="AK359" s="22"/>
      <c r="AL359" s="22"/>
      <c r="AM359" s="22"/>
      <c r="AN359" s="22"/>
    </row>
    <row r="360" spans="1:40" x14ac:dyDescent="0.25">
      <c r="A360" s="22"/>
      <c r="B360" s="22"/>
      <c r="C360" s="22"/>
      <c r="D360" s="22"/>
      <c r="E360" s="22"/>
      <c r="F360" s="22"/>
      <c r="G360" s="22"/>
      <c r="H360" s="22"/>
      <c r="I360" s="22"/>
      <c r="J360" s="22"/>
      <c r="K360" s="22"/>
      <c r="L360" s="22"/>
      <c r="M360" s="22"/>
      <c r="N360" s="22"/>
      <c r="O360" s="22"/>
      <c r="P360" s="22"/>
      <c r="Q360" s="22"/>
      <c r="R360" s="22"/>
      <c r="S360" s="22"/>
      <c r="T360" s="22"/>
      <c r="U360" s="22"/>
      <c r="V360" s="22"/>
      <c r="W360" s="22"/>
      <c r="X360" s="22"/>
      <c r="Y360" s="22"/>
      <c r="Z360" s="22"/>
      <c r="AA360" s="22"/>
      <c r="AB360" s="22"/>
      <c r="AC360" s="22"/>
      <c r="AD360" s="22"/>
      <c r="AE360" s="22"/>
      <c r="AF360" s="22"/>
      <c r="AG360" s="22"/>
      <c r="AH360" s="22"/>
      <c r="AI360" s="22"/>
      <c r="AJ360" s="22"/>
      <c r="AK360" s="22"/>
      <c r="AL360" s="22"/>
      <c r="AM360" s="22"/>
      <c r="AN360" s="22"/>
    </row>
    <row r="361" spans="1:40" x14ac:dyDescent="0.25">
      <c r="A361" s="22"/>
      <c r="B361" s="22"/>
      <c r="C361" s="22"/>
      <c r="D361" s="22"/>
      <c r="E361" s="22"/>
      <c r="F361" s="22"/>
      <c r="G361" s="22"/>
      <c r="H361" s="22"/>
      <c r="I361" s="22"/>
      <c r="J361" s="22"/>
      <c r="K361" s="22"/>
      <c r="L361" s="22"/>
      <c r="M361" s="22"/>
      <c r="N361" s="22"/>
      <c r="O361" s="22"/>
      <c r="P361" s="22"/>
      <c r="Q361" s="22"/>
      <c r="R361" s="22"/>
      <c r="S361" s="22"/>
      <c r="T361" s="22"/>
      <c r="U361" s="22"/>
      <c r="V361" s="22"/>
      <c r="W361" s="22"/>
      <c r="X361" s="22"/>
      <c r="Y361" s="22"/>
      <c r="Z361" s="22"/>
      <c r="AA361" s="22"/>
      <c r="AB361" s="22"/>
      <c r="AC361" s="22"/>
      <c r="AD361" s="22"/>
      <c r="AE361" s="22"/>
      <c r="AF361" s="22"/>
      <c r="AG361" s="22"/>
      <c r="AH361" s="22"/>
      <c r="AI361" s="22"/>
      <c r="AJ361" s="22"/>
      <c r="AK361" s="22"/>
      <c r="AL361" s="22"/>
      <c r="AM361" s="22"/>
      <c r="AN361" s="22"/>
    </row>
    <row r="362" spans="1:40" x14ac:dyDescent="0.25">
      <c r="A362" s="22"/>
      <c r="B362" s="22"/>
      <c r="C362" s="22"/>
      <c r="D362" s="22"/>
      <c r="E362" s="22"/>
      <c r="F362" s="22"/>
      <c r="G362" s="22"/>
      <c r="H362" s="22"/>
      <c r="I362" s="22"/>
      <c r="J362" s="22"/>
      <c r="K362" s="22"/>
      <c r="L362" s="22"/>
      <c r="M362" s="22"/>
      <c r="N362" s="22"/>
      <c r="O362" s="22"/>
      <c r="P362" s="22"/>
      <c r="Q362" s="22"/>
      <c r="R362" s="22"/>
      <c r="S362" s="22"/>
      <c r="T362" s="22"/>
      <c r="U362" s="22"/>
      <c r="V362" s="22"/>
      <c r="W362" s="22"/>
      <c r="X362" s="22"/>
      <c r="Y362" s="22"/>
      <c r="Z362" s="22"/>
      <c r="AA362" s="22"/>
      <c r="AB362" s="22"/>
      <c r="AC362" s="22"/>
      <c r="AD362" s="22"/>
      <c r="AE362" s="22"/>
      <c r="AF362" s="22"/>
      <c r="AG362" s="22"/>
      <c r="AH362" s="22"/>
      <c r="AI362" s="22"/>
      <c r="AJ362" s="22"/>
      <c r="AK362" s="22"/>
      <c r="AL362" s="22"/>
      <c r="AM362" s="22"/>
      <c r="AN362" s="22"/>
    </row>
    <row r="363" spans="1:40" x14ac:dyDescent="0.25">
      <c r="A363" s="22"/>
      <c r="B363" s="22"/>
      <c r="C363" s="22"/>
      <c r="D363" s="22"/>
      <c r="E363" s="22"/>
      <c r="F363" s="22"/>
      <c r="G363" s="22"/>
      <c r="H363" s="22"/>
      <c r="I363" s="22"/>
      <c r="J363" s="22"/>
      <c r="K363" s="22"/>
      <c r="L363" s="22"/>
      <c r="M363" s="22"/>
      <c r="N363" s="22"/>
      <c r="O363" s="22"/>
      <c r="P363" s="22"/>
      <c r="Q363" s="22"/>
      <c r="R363" s="22"/>
      <c r="S363" s="22"/>
      <c r="T363" s="22"/>
      <c r="U363" s="22"/>
      <c r="V363" s="22"/>
      <c r="W363" s="22"/>
      <c r="X363" s="22"/>
      <c r="Y363" s="22"/>
      <c r="Z363" s="22"/>
      <c r="AA363" s="22"/>
      <c r="AB363" s="22"/>
      <c r="AC363" s="22"/>
      <c r="AD363" s="22"/>
      <c r="AE363" s="22"/>
      <c r="AF363" s="22"/>
      <c r="AG363" s="22"/>
      <c r="AH363" s="22"/>
      <c r="AI363" s="22"/>
      <c r="AJ363" s="22"/>
      <c r="AK363" s="22"/>
      <c r="AL363" s="22"/>
      <c r="AM363" s="22"/>
      <c r="AN363" s="22"/>
    </row>
    <row r="364" spans="1:40" x14ac:dyDescent="0.25">
      <c r="A364" s="22"/>
      <c r="B364" s="22"/>
      <c r="C364" s="22"/>
      <c r="D364" s="22"/>
      <c r="E364" s="22"/>
      <c r="F364" s="22"/>
      <c r="G364" s="22"/>
      <c r="H364" s="22"/>
      <c r="I364" s="22"/>
      <c r="J364" s="22"/>
      <c r="K364" s="22"/>
      <c r="L364" s="22"/>
      <c r="M364" s="22"/>
      <c r="N364" s="22"/>
      <c r="O364" s="22"/>
      <c r="P364" s="22"/>
      <c r="Q364" s="22"/>
      <c r="R364" s="22"/>
      <c r="S364" s="22"/>
      <c r="T364" s="22"/>
      <c r="U364" s="22"/>
      <c r="V364" s="22"/>
      <c r="W364" s="22"/>
      <c r="X364" s="22"/>
      <c r="Y364" s="22"/>
      <c r="Z364" s="22"/>
      <c r="AA364" s="22"/>
      <c r="AB364" s="22"/>
      <c r="AC364" s="22"/>
      <c r="AD364" s="22"/>
      <c r="AE364" s="22"/>
      <c r="AF364" s="22"/>
      <c r="AG364" s="22"/>
      <c r="AH364" s="22"/>
      <c r="AI364" s="22"/>
      <c r="AJ364" s="22"/>
      <c r="AK364" s="22"/>
      <c r="AL364" s="22"/>
      <c r="AM364" s="22"/>
      <c r="AN364" s="22"/>
    </row>
    <row r="365" spans="1:40" x14ac:dyDescent="0.25">
      <c r="A365" s="22"/>
      <c r="B365" s="22"/>
      <c r="C365" s="22"/>
      <c r="D365" s="22"/>
      <c r="E365" s="22"/>
      <c r="F365" s="22"/>
      <c r="G365" s="22"/>
      <c r="H365" s="22"/>
      <c r="I365" s="22"/>
      <c r="J365" s="22"/>
      <c r="K365" s="22"/>
      <c r="L365" s="22"/>
      <c r="M365" s="22"/>
      <c r="N365" s="22"/>
      <c r="O365" s="22"/>
      <c r="P365" s="22"/>
      <c r="Q365" s="22"/>
      <c r="R365" s="22"/>
      <c r="S365" s="22"/>
      <c r="T365" s="22"/>
      <c r="U365" s="22"/>
      <c r="V365" s="22"/>
      <c r="W365" s="22"/>
      <c r="X365" s="22"/>
      <c r="Y365" s="22"/>
      <c r="Z365" s="22"/>
      <c r="AA365" s="22"/>
      <c r="AB365" s="22"/>
      <c r="AC365" s="22"/>
      <c r="AD365" s="22"/>
      <c r="AE365" s="22"/>
      <c r="AF365" s="22"/>
      <c r="AG365" s="22"/>
      <c r="AH365" s="22"/>
      <c r="AI365" s="22"/>
      <c r="AJ365" s="22"/>
      <c r="AK365" s="22"/>
      <c r="AL365" s="22"/>
      <c r="AM365" s="22"/>
      <c r="AN365" s="22"/>
    </row>
    <row r="366" spans="1:40" x14ac:dyDescent="0.25">
      <c r="A366" s="22"/>
      <c r="B366" s="22"/>
      <c r="C366" s="22"/>
      <c r="D366" s="22"/>
      <c r="E366" s="22"/>
      <c r="F366" s="22"/>
      <c r="G366" s="22"/>
      <c r="H366" s="22"/>
      <c r="I366" s="22"/>
      <c r="J366" s="22"/>
      <c r="K366" s="22"/>
      <c r="L366" s="22"/>
      <c r="M366" s="22"/>
      <c r="N366" s="22"/>
      <c r="O366" s="22"/>
      <c r="P366" s="22"/>
      <c r="Q366" s="22"/>
      <c r="R366" s="22"/>
      <c r="S366" s="22"/>
      <c r="T366" s="22"/>
      <c r="U366" s="22"/>
      <c r="V366" s="22"/>
      <c r="W366" s="22"/>
      <c r="X366" s="22"/>
      <c r="Y366" s="22"/>
      <c r="Z366" s="22"/>
      <c r="AA366" s="22"/>
      <c r="AB366" s="22"/>
      <c r="AC366" s="22"/>
      <c r="AD366" s="22"/>
      <c r="AE366" s="22"/>
      <c r="AF366" s="22"/>
      <c r="AG366" s="22"/>
      <c r="AH366" s="22"/>
      <c r="AI366" s="22"/>
      <c r="AJ366" s="22"/>
      <c r="AK366" s="22"/>
      <c r="AL366" s="22"/>
      <c r="AM366" s="22"/>
      <c r="AN366" s="22"/>
    </row>
    <row r="367" spans="1:40" x14ac:dyDescent="0.25">
      <c r="A367" s="22"/>
      <c r="B367" s="22"/>
      <c r="C367" s="22"/>
      <c r="D367" s="22"/>
      <c r="E367" s="22"/>
      <c r="F367" s="22"/>
      <c r="G367" s="22"/>
      <c r="H367" s="22"/>
      <c r="I367" s="22"/>
      <c r="J367" s="22"/>
      <c r="K367" s="22"/>
      <c r="L367" s="22"/>
      <c r="M367" s="22"/>
      <c r="N367" s="22"/>
      <c r="O367" s="22"/>
      <c r="P367" s="22"/>
      <c r="Q367" s="22"/>
      <c r="R367" s="22"/>
      <c r="S367" s="22"/>
      <c r="T367" s="22"/>
      <c r="U367" s="22"/>
      <c r="V367" s="22"/>
      <c r="W367" s="22"/>
      <c r="X367" s="22"/>
      <c r="Y367" s="22"/>
      <c r="Z367" s="22"/>
      <c r="AA367" s="22"/>
      <c r="AB367" s="22"/>
      <c r="AC367" s="22"/>
      <c r="AD367" s="22"/>
      <c r="AE367" s="22"/>
      <c r="AF367" s="22"/>
      <c r="AG367" s="22"/>
      <c r="AH367" s="22"/>
      <c r="AI367" s="22"/>
      <c r="AJ367" s="22"/>
      <c r="AK367" s="22"/>
      <c r="AL367" s="22"/>
      <c r="AM367" s="22"/>
      <c r="AN367" s="22"/>
    </row>
    <row r="368" spans="1:40" x14ac:dyDescent="0.25">
      <c r="A368" s="22"/>
      <c r="B368" s="22"/>
      <c r="C368" s="22"/>
      <c r="D368" s="22"/>
      <c r="E368" s="22"/>
      <c r="F368" s="22"/>
      <c r="G368" s="22"/>
      <c r="H368" s="22"/>
      <c r="I368" s="22"/>
      <c r="J368" s="22"/>
      <c r="K368" s="22"/>
      <c r="L368" s="22"/>
      <c r="M368" s="22"/>
      <c r="N368" s="22"/>
      <c r="O368" s="22"/>
      <c r="P368" s="22"/>
      <c r="Q368" s="22"/>
      <c r="R368" s="22"/>
      <c r="S368" s="22"/>
      <c r="T368" s="22"/>
      <c r="U368" s="22"/>
      <c r="V368" s="22"/>
      <c r="W368" s="22"/>
      <c r="X368" s="22"/>
      <c r="Y368" s="22"/>
      <c r="Z368" s="22"/>
      <c r="AA368" s="22"/>
      <c r="AB368" s="22"/>
      <c r="AC368" s="22"/>
      <c r="AD368" s="22"/>
      <c r="AE368" s="22"/>
      <c r="AF368" s="22"/>
      <c r="AG368" s="22"/>
      <c r="AH368" s="22"/>
      <c r="AI368" s="22"/>
      <c r="AJ368" s="22"/>
      <c r="AK368" s="22"/>
      <c r="AL368" s="22"/>
      <c r="AM368" s="22"/>
      <c r="AN368" s="22"/>
    </row>
    <row r="369" spans="1:40" x14ac:dyDescent="0.25">
      <c r="A369" s="22"/>
      <c r="B369" s="22"/>
      <c r="C369" s="22"/>
      <c r="D369" s="22"/>
      <c r="E369" s="22"/>
      <c r="F369" s="22"/>
      <c r="G369" s="22"/>
      <c r="H369" s="22"/>
      <c r="I369" s="22"/>
      <c r="J369" s="22"/>
      <c r="K369" s="22"/>
      <c r="L369" s="22"/>
      <c r="M369" s="22"/>
      <c r="N369" s="22"/>
      <c r="O369" s="22"/>
      <c r="P369" s="22"/>
      <c r="Q369" s="22"/>
      <c r="R369" s="22"/>
      <c r="S369" s="22"/>
      <c r="T369" s="22"/>
      <c r="U369" s="22"/>
      <c r="V369" s="22"/>
      <c r="W369" s="22"/>
      <c r="X369" s="22"/>
      <c r="Y369" s="22"/>
      <c r="Z369" s="22"/>
      <c r="AA369" s="22"/>
      <c r="AB369" s="22"/>
      <c r="AC369" s="22"/>
      <c r="AD369" s="22"/>
      <c r="AE369" s="22"/>
      <c r="AF369" s="22"/>
      <c r="AG369" s="22"/>
      <c r="AH369" s="22"/>
      <c r="AI369" s="22"/>
      <c r="AJ369" s="22"/>
      <c r="AK369" s="22"/>
      <c r="AL369" s="22"/>
      <c r="AM369" s="22"/>
      <c r="AN369" s="22"/>
    </row>
  </sheetData>
  <dataValidations count="1">
    <dataValidation type="list" allowBlank="1" showInputMessage="1" showErrorMessage="1" sqref="B2">
      <formula1>INDIRECT("Месяцы[Месяцы]")</formula1>
    </dataValidation>
  </dataValidations>
  <pageMargins left="0.7" right="0.7" top="0.75" bottom="0.75" header="0.3" footer="0.3"/>
  <pageSetup paperSize="9" orientation="portrait" horizontalDpi="300" verticalDpi="300" r:id="rId2"/>
  <drawing r:id="rId3"/>
  <tableParts count="3">
    <tablePart r:id="rId4"/>
    <tablePart r:id="rId5"/>
    <tablePart r:id="rId6"/>
  </tableParts>
  <extLst>
    <ext xmlns:x14="http://schemas.microsoft.com/office/spreadsheetml/2009/9/main" uri="{A8765BA9-456A-4dab-B4F3-ACF838C121DE}">
      <x14:slicerList>
        <x14:slicer r:id="rId7"/>
      </x14:slicerList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/>
  <dimension ref="A1:BB371"/>
  <sheetViews>
    <sheetView zoomScale="70" zoomScaleNormal="70" workbookViewId="0">
      <pane ySplit="8" topLeftCell="A9" activePane="bottomLeft" state="frozen"/>
      <selection pane="bottomLeft" activeCell="D2" sqref="D2"/>
    </sheetView>
  </sheetViews>
  <sheetFormatPr defaultColWidth="9.140625" defaultRowHeight="15.75" x14ac:dyDescent="0.25"/>
  <cols>
    <col min="1" max="1" width="23.5703125" style="18" bestFit="1" customWidth="1"/>
    <col min="2" max="2" width="28.140625" style="18" bestFit="1" customWidth="1"/>
    <col min="3" max="3" width="12.140625" style="18" bestFit="1" customWidth="1"/>
    <col min="4" max="4" width="7.85546875" style="18" bestFit="1" customWidth="1"/>
    <col min="5" max="5" width="7.28515625" style="18" bestFit="1" customWidth="1"/>
    <col min="6" max="7" width="9.28515625" style="18" bestFit="1" customWidth="1"/>
    <col min="8" max="8" width="8.85546875" style="18" bestFit="1" customWidth="1"/>
    <col min="9" max="9" width="7.28515625" style="18" bestFit="1" customWidth="1"/>
    <col min="10" max="10" width="4.5703125" style="18" bestFit="1" customWidth="1"/>
    <col min="11" max="11" width="4.28515625" style="18" bestFit="1" customWidth="1"/>
    <col min="12" max="12" width="7.28515625" style="18" bestFit="1" customWidth="1"/>
    <col min="13" max="14" width="4.28515625" style="18" bestFit="1" customWidth="1"/>
    <col min="15" max="15" width="7.28515625" style="18" bestFit="1" customWidth="1"/>
    <col min="16" max="16" width="10.28515625" style="18" bestFit="1" customWidth="1"/>
    <col min="17" max="17" width="13.42578125" style="18" bestFit="1" customWidth="1"/>
    <col min="18" max="18" width="4.28515625" style="18" bestFit="1" customWidth="1"/>
    <col min="19" max="19" width="7.28515625" style="18" bestFit="1" customWidth="1"/>
    <col min="20" max="21" width="4.28515625" style="18" bestFit="1" customWidth="1"/>
    <col min="22" max="23" width="7.28515625" style="18" bestFit="1" customWidth="1"/>
    <col min="24" max="25" width="4.28515625" style="18" bestFit="1" customWidth="1"/>
    <col min="26" max="27" width="7.28515625" style="18" bestFit="1" customWidth="1"/>
    <col min="28" max="30" width="4.28515625" style="18" bestFit="1" customWidth="1"/>
    <col min="31" max="31" width="7.28515625" style="18" bestFit="1" customWidth="1"/>
    <col min="32" max="32" width="4.28515625" style="18" bestFit="1" customWidth="1"/>
    <col min="33" max="33" width="7.28515625" style="18" bestFit="1" customWidth="1"/>
    <col min="34" max="34" width="4.28515625" style="18" bestFit="1" customWidth="1"/>
    <col min="35" max="35" width="7.28515625" style="18" bestFit="1" customWidth="1"/>
    <col min="36" max="36" width="10.28515625" style="18" bestFit="1" customWidth="1"/>
    <col min="37" max="37" width="7.28515625" style="18" bestFit="1" customWidth="1"/>
    <col min="38" max="38" width="10.28515625" style="18" bestFit="1" customWidth="1"/>
    <col min="39" max="39" width="13.42578125" style="18" bestFit="1" customWidth="1"/>
    <col min="40" max="40" width="10.28515625" style="18" bestFit="1" customWidth="1"/>
    <col min="41" max="41" width="4.28515625" style="18" bestFit="1" customWidth="1"/>
    <col min="42" max="42" width="7.28515625" style="18" bestFit="1" customWidth="1"/>
    <col min="43" max="44" width="4.28515625" style="18" bestFit="1" customWidth="1"/>
    <col min="45" max="45" width="7.28515625" style="18" bestFit="1" customWidth="1"/>
    <col min="46" max="46" width="10.28515625" style="18" bestFit="1" customWidth="1"/>
    <col min="47" max="48" width="7.28515625" style="18" bestFit="1" customWidth="1"/>
    <col min="49" max="50" width="10.28515625" style="18" bestFit="1" customWidth="1"/>
    <col min="51" max="51" width="7.28515625" style="18" bestFit="1" customWidth="1"/>
    <col min="52" max="52" width="10.28515625" style="18" bestFit="1" customWidth="1"/>
    <col min="53" max="53" width="13.42578125" style="18" bestFit="1" customWidth="1"/>
    <col min="54" max="54" width="10.28515625" style="18" bestFit="1" customWidth="1"/>
    <col min="55" max="16384" width="9.140625" style="18"/>
  </cols>
  <sheetData>
    <row r="1" spans="1:54" ht="22.5" x14ac:dyDescent="0.3">
      <c r="A1" s="16" t="s">
        <v>2</v>
      </c>
      <c r="B1" s="34" t="s">
        <v>38</v>
      </c>
      <c r="C1" s="34" t="s">
        <v>39</v>
      </c>
    </row>
    <row r="2" spans="1:54" ht="22.5" x14ac:dyDescent="0.3">
      <c r="A2" s="16" t="s">
        <v>3</v>
      </c>
      <c r="B2" s="37" t="s">
        <v>4</v>
      </c>
      <c r="C2" s="37" t="s">
        <v>4</v>
      </c>
    </row>
    <row r="4" spans="1:54" x14ac:dyDescent="0.25">
      <c r="A4" s="20" t="s">
        <v>2</v>
      </c>
      <c r="B4" s="20" t="s">
        <v>24</v>
      </c>
      <c r="C4" s="20" t="s">
        <v>25</v>
      </c>
      <c r="D4" s="21" t="s">
        <v>26</v>
      </c>
      <c r="F4" s="39" t="s">
        <v>43</v>
      </c>
      <c r="G4" s="18" t="s">
        <v>42</v>
      </c>
      <c r="H4" s="18" t="s">
        <v>40</v>
      </c>
      <c r="I4" s="18" t="s">
        <v>25</v>
      </c>
      <c r="J4" s="18" t="s">
        <v>26</v>
      </c>
    </row>
    <row r="5" spans="1:54" x14ac:dyDescent="0.25">
      <c r="A5" s="20" t="s">
        <v>27</v>
      </c>
      <c r="B5" s="20">
        <v>0</v>
      </c>
      <c r="C5" s="20">
        <v>0</v>
      </c>
      <c r="D5" s="21">
        <v>0</v>
      </c>
      <c r="F5" s="39">
        <f>SUM(ПериодИтоги[Всего])</f>
        <v>0</v>
      </c>
      <c r="G5" s="18">
        <f>GETPIVOTDATA("Значения услуг",$A$7,"Услуги","Итого")</f>
        <v>0</v>
      </c>
      <c r="H5" s="18">
        <f>ПериодВсего[б/пл.]+ПериодВсего[пл.]</f>
        <v>0</v>
      </c>
      <c r="I5" s="18">
        <f>SUM(ПериодИтоги[б/пл.])</f>
        <v>0</v>
      </c>
      <c r="J5" s="18">
        <f>SUM(ПериодИтоги[пл.])</f>
        <v>0</v>
      </c>
    </row>
    <row r="7" spans="1:54" s="35" customFormat="1" x14ac:dyDescent="0.25">
      <c r="A7" s="38" t="s">
        <v>35</v>
      </c>
      <c r="B7" s="38"/>
      <c r="C7" s="39" t="s">
        <v>2</v>
      </c>
      <c r="D7" s="39"/>
      <c r="E7" s="39"/>
      <c r="F7" s="39"/>
      <c r="G7" s="39"/>
      <c r="H7" s="39"/>
      <c r="I7" s="39"/>
      <c r="J7" s="39"/>
      <c r="K7" s="39"/>
      <c r="L7" s="39"/>
      <c r="M7" s="39"/>
      <c r="N7" s="39"/>
      <c r="O7" s="39"/>
      <c r="P7" s="39"/>
      <c r="Q7" s="39"/>
      <c r="R7" s="39"/>
      <c r="S7" s="39"/>
      <c r="T7" s="39"/>
      <c r="U7" s="39"/>
      <c r="V7" s="39"/>
      <c r="W7" s="39"/>
      <c r="X7" s="39"/>
      <c r="Y7" s="39"/>
      <c r="Z7" s="39"/>
      <c r="AA7" s="39"/>
      <c r="AB7" s="39"/>
      <c r="AC7" s="39"/>
      <c r="AD7" s="39"/>
      <c r="AE7" s="39"/>
      <c r="AF7" s="39"/>
      <c r="AG7" s="39"/>
      <c r="AH7" s="39"/>
      <c r="AI7" s="39"/>
      <c r="AJ7" s="39"/>
      <c r="AK7" s="39"/>
      <c r="AL7" s="39"/>
      <c r="AM7" s="39"/>
      <c r="AN7" s="39"/>
      <c r="AO7" s="39"/>
      <c r="AP7" s="39"/>
      <c r="AQ7" s="39"/>
      <c r="AR7" s="39"/>
      <c r="AS7" s="39"/>
      <c r="AT7" s="39"/>
      <c r="AU7" s="39"/>
      <c r="AV7" s="39"/>
      <c r="AW7" s="39"/>
      <c r="AX7" s="39"/>
      <c r="AY7" s="39"/>
      <c r="AZ7" s="39"/>
      <c r="BA7" s="39"/>
      <c r="BB7" s="39"/>
    </row>
    <row r="8" spans="1:54" s="36" customFormat="1" ht="182.45" customHeight="1" x14ac:dyDescent="0.25">
      <c r="A8" s="26" t="s">
        <v>29</v>
      </c>
      <c r="B8" s="40" t="s">
        <v>31</v>
      </c>
      <c r="C8" s="41" t="s">
        <v>33</v>
      </c>
      <c r="D8" s="42" t="s">
        <v>32</v>
      </c>
      <c r="E8" s="41" t="s">
        <v>34</v>
      </c>
      <c r="F8" s="28" t="s">
        <v>49</v>
      </c>
      <c r="G8" s="28" t="s">
        <v>50</v>
      </c>
      <c r="H8" s="28" t="s">
        <v>51</v>
      </c>
      <c r="I8" s="28" t="s">
        <v>52</v>
      </c>
      <c r="J8" s="28" t="s">
        <v>53</v>
      </c>
      <c r="K8" s="28" t="s">
        <v>54</v>
      </c>
      <c r="L8" s="28" t="s">
        <v>93</v>
      </c>
      <c r="M8" s="28" t="s">
        <v>55</v>
      </c>
      <c r="N8" s="28" t="s">
        <v>94</v>
      </c>
      <c r="O8" s="28" t="s">
        <v>56</v>
      </c>
      <c r="P8" s="28" t="s">
        <v>57</v>
      </c>
      <c r="Q8" s="28" t="s">
        <v>58</v>
      </c>
      <c r="R8" s="28" t="s">
        <v>59</v>
      </c>
      <c r="S8" s="28" t="s">
        <v>95</v>
      </c>
      <c r="T8" s="28" t="s">
        <v>60</v>
      </c>
      <c r="U8" s="28" t="s">
        <v>61</v>
      </c>
      <c r="V8" s="28" t="s">
        <v>62</v>
      </c>
      <c r="W8" s="28" t="s">
        <v>63</v>
      </c>
      <c r="X8" s="28" t="s">
        <v>64</v>
      </c>
      <c r="Y8" s="28" t="s">
        <v>65</v>
      </c>
      <c r="Z8" s="28" t="s">
        <v>66</v>
      </c>
      <c r="AA8" s="28" t="s">
        <v>67</v>
      </c>
      <c r="AB8" s="28" t="s">
        <v>68</v>
      </c>
      <c r="AC8" s="28" t="s">
        <v>69</v>
      </c>
      <c r="AD8" s="28" t="s">
        <v>70</v>
      </c>
      <c r="AE8" s="28" t="s">
        <v>71</v>
      </c>
      <c r="AF8" s="28" t="s">
        <v>48</v>
      </c>
      <c r="AG8" s="28" t="s">
        <v>72</v>
      </c>
      <c r="AH8" s="28" t="s">
        <v>47</v>
      </c>
      <c r="AI8" s="28" t="s">
        <v>73</v>
      </c>
      <c r="AJ8" s="28" t="s">
        <v>74</v>
      </c>
      <c r="AK8" s="28" t="s">
        <v>75</v>
      </c>
      <c r="AL8" s="28" t="s">
        <v>76</v>
      </c>
      <c r="AM8" s="28" t="s">
        <v>77</v>
      </c>
      <c r="AN8" s="28" t="s">
        <v>78</v>
      </c>
      <c r="AO8" s="28" t="s">
        <v>79</v>
      </c>
      <c r="AP8" s="28" t="s">
        <v>80</v>
      </c>
      <c r="AQ8" s="28" t="s">
        <v>81</v>
      </c>
      <c r="AR8" s="28" t="s">
        <v>82</v>
      </c>
      <c r="AS8" s="28" t="s">
        <v>83</v>
      </c>
      <c r="AT8" s="28" t="s">
        <v>84</v>
      </c>
      <c r="AU8" s="28" t="s">
        <v>85</v>
      </c>
      <c r="AV8" s="28" t="s">
        <v>86</v>
      </c>
      <c r="AW8" s="28" t="s">
        <v>87</v>
      </c>
      <c r="AX8" s="28" t="s">
        <v>88</v>
      </c>
      <c r="AY8" s="28" t="s">
        <v>89</v>
      </c>
      <c r="AZ8" s="28" t="s">
        <v>90</v>
      </c>
      <c r="BA8" s="28" t="s">
        <v>91</v>
      </c>
      <c r="BB8" s="28" t="s">
        <v>92</v>
      </c>
    </row>
    <row r="9" spans="1:54" x14ac:dyDescent="0.25">
      <c r="A9" s="39" t="s">
        <v>44</v>
      </c>
      <c r="B9" s="39"/>
      <c r="C9" s="43">
        <v>1</v>
      </c>
      <c r="D9" s="43">
        <v>0</v>
      </c>
      <c r="E9" s="43">
        <v>0</v>
      </c>
      <c r="F9" s="43">
        <v>0</v>
      </c>
      <c r="G9" s="43">
        <v>0</v>
      </c>
      <c r="H9" s="43">
        <v>0</v>
      </c>
      <c r="I9" s="43">
        <v>0</v>
      </c>
      <c r="J9" s="43">
        <v>0</v>
      </c>
      <c r="K9" s="43">
        <v>0</v>
      </c>
      <c r="L9" s="43">
        <v>0</v>
      </c>
      <c r="M9" s="43">
        <v>0</v>
      </c>
      <c r="N9" s="43">
        <v>0</v>
      </c>
      <c r="O9" s="43">
        <v>0</v>
      </c>
      <c r="P9" s="43">
        <v>0</v>
      </c>
      <c r="Q9" s="43">
        <v>0</v>
      </c>
      <c r="R9" s="43">
        <v>0</v>
      </c>
      <c r="S9" s="43">
        <v>0</v>
      </c>
      <c r="T9" s="43">
        <v>0</v>
      </c>
      <c r="U9" s="43">
        <v>0</v>
      </c>
      <c r="V9" s="43">
        <v>0</v>
      </c>
      <c r="W9" s="43">
        <v>0</v>
      </c>
      <c r="X9" s="43">
        <v>0</v>
      </c>
      <c r="Y9" s="43">
        <v>0</v>
      </c>
      <c r="Z9" s="43">
        <v>0</v>
      </c>
      <c r="AA9" s="43">
        <v>0</v>
      </c>
      <c r="AB9" s="43">
        <v>0</v>
      </c>
      <c r="AC9" s="43">
        <v>0</v>
      </c>
      <c r="AD9" s="43">
        <v>0</v>
      </c>
      <c r="AE9" s="43">
        <v>0</v>
      </c>
      <c r="AF9" s="43">
        <v>0</v>
      </c>
      <c r="AG9" s="43">
        <v>0</v>
      </c>
      <c r="AH9" s="43">
        <v>0</v>
      </c>
      <c r="AI9" s="43">
        <v>0</v>
      </c>
      <c r="AJ9" s="43">
        <v>0</v>
      </c>
      <c r="AK9" s="43">
        <v>0</v>
      </c>
      <c r="AL9" s="43">
        <v>0</v>
      </c>
      <c r="AM9" s="43">
        <v>0</v>
      </c>
      <c r="AN9" s="43">
        <v>0</v>
      </c>
      <c r="AO9" s="43">
        <v>0</v>
      </c>
      <c r="AP9" s="43">
        <v>0</v>
      </c>
      <c r="AQ9" s="43">
        <v>0</v>
      </c>
      <c r="AR9" s="43">
        <v>0</v>
      </c>
      <c r="AS9" s="43">
        <v>0</v>
      </c>
      <c r="AT9" s="43">
        <v>0</v>
      </c>
      <c r="AU9" s="43">
        <v>0</v>
      </c>
      <c r="AV9" s="43">
        <v>0</v>
      </c>
      <c r="AW9" s="43">
        <v>0</v>
      </c>
      <c r="AX9" s="43">
        <v>0</v>
      </c>
      <c r="AY9" s="43">
        <v>0</v>
      </c>
      <c r="AZ9" s="43">
        <v>0</v>
      </c>
      <c r="BA9" s="43">
        <v>0</v>
      </c>
      <c r="BB9" s="43">
        <v>0</v>
      </c>
    </row>
    <row r="10" spans="1:54" x14ac:dyDescent="0.25">
      <c r="A10" s="39" t="s">
        <v>30</v>
      </c>
      <c r="B10" s="39"/>
      <c r="C10" s="43">
        <v>1</v>
      </c>
      <c r="D10" s="43">
        <v>0</v>
      </c>
      <c r="E10" s="43">
        <v>0</v>
      </c>
      <c r="F10" s="43">
        <v>0</v>
      </c>
      <c r="G10" s="43">
        <v>0</v>
      </c>
      <c r="H10" s="43">
        <v>0</v>
      </c>
      <c r="I10" s="43">
        <v>0</v>
      </c>
      <c r="J10" s="43">
        <v>0</v>
      </c>
      <c r="K10" s="43">
        <v>0</v>
      </c>
      <c r="L10" s="43">
        <v>0</v>
      </c>
      <c r="M10" s="43">
        <v>0</v>
      </c>
      <c r="N10" s="43">
        <v>0</v>
      </c>
      <c r="O10" s="43">
        <v>0</v>
      </c>
      <c r="P10" s="43">
        <v>0</v>
      </c>
      <c r="Q10" s="43">
        <v>0</v>
      </c>
      <c r="R10" s="43">
        <v>0</v>
      </c>
      <c r="S10" s="43">
        <v>0</v>
      </c>
      <c r="T10" s="43">
        <v>0</v>
      </c>
      <c r="U10" s="43">
        <v>0</v>
      </c>
      <c r="V10" s="43">
        <v>0</v>
      </c>
      <c r="W10" s="43">
        <v>0</v>
      </c>
      <c r="X10" s="43">
        <v>0</v>
      </c>
      <c r="Y10" s="43">
        <v>0</v>
      </c>
      <c r="Z10" s="43">
        <v>0</v>
      </c>
      <c r="AA10" s="43">
        <v>0</v>
      </c>
      <c r="AB10" s="43">
        <v>0</v>
      </c>
      <c r="AC10" s="43">
        <v>0</v>
      </c>
      <c r="AD10" s="43">
        <v>0</v>
      </c>
      <c r="AE10" s="43">
        <v>0</v>
      </c>
      <c r="AF10" s="43">
        <v>0</v>
      </c>
      <c r="AG10" s="43">
        <v>0</v>
      </c>
      <c r="AH10" s="43">
        <v>0</v>
      </c>
      <c r="AI10" s="43">
        <v>0</v>
      </c>
      <c r="AJ10" s="43">
        <v>0</v>
      </c>
      <c r="AK10" s="43">
        <v>0</v>
      </c>
      <c r="AL10" s="43">
        <v>0</v>
      </c>
      <c r="AM10" s="43">
        <v>0</v>
      </c>
      <c r="AN10" s="43">
        <v>0</v>
      </c>
      <c r="AO10" s="43">
        <v>0</v>
      </c>
      <c r="AP10" s="43">
        <v>0</v>
      </c>
      <c r="AQ10" s="43">
        <v>0</v>
      </c>
      <c r="AR10" s="43">
        <v>0</v>
      </c>
      <c r="AS10" s="43">
        <v>0</v>
      </c>
      <c r="AT10" s="43">
        <v>0</v>
      </c>
      <c r="AU10" s="43">
        <v>0</v>
      </c>
      <c r="AV10" s="43">
        <v>0</v>
      </c>
      <c r="AW10" s="43">
        <v>0</v>
      </c>
      <c r="AX10" s="43">
        <v>0</v>
      </c>
      <c r="AY10" s="43">
        <v>0</v>
      </c>
      <c r="AZ10" s="43">
        <v>0</v>
      </c>
      <c r="BA10" s="43">
        <v>0</v>
      </c>
      <c r="BB10" s="43">
        <v>0</v>
      </c>
    </row>
    <row r="11" spans="1:54" x14ac:dyDescent="0.25">
      <c r="A11" s="22"/>
      <c r="B11" s="22"/>
      <c r="C11" s="22"/>
      <c r="D11" s="22"/>
      <c r="E11" s="22"/>
      <c r="F11" s="22"/>
      <c r="G11" s="22"/>
      <c r="H11" s="22"/>
      <c r="I11" s="22"/>
      <c r="J11" s="22"/>
      <c r="K11" s="22"/>
      <c r="L11" s="22"/>
      <c r="M11" s="22"/>
      <c r="N11" s="22"/>
      <c r="O11" s="22"/>
      <c r="P11" s="22"/>
      <c r="Q11" s="22"/>
      <c r="R11" s="22"/>
      <c r="S11" s="22"/>
      <c r="T11" s="22"/>
      <c r="U11" s="22"/>
      <c r="V11" s="22"/>
      <c r="W11" s="22"/>
      <c r="X11" s="22"/>
      <c r="Y11" s="22"/>
      <c r="Z11" s="22"/>
      <c r="AA11" s="22"/>
      <c r="AB11" s="22"/>
      <c r="AC11" s="22"/>
      <c r="AD11" s="22"/>
      <c r="AE11" s="22"/>
      <c r="AF11" s="22"/>
      <c r="AG11" s="22"/>
      <c r="AH11" s="22"/>
      <c r="AI11" s="22"/>
      <c r="AJ11" s="22"/>
      <c r="AK11" s="22"/>
      <c r="AL11" s="22"/>
      <c r="AM11" s="22"/>
      <c r="AN11" s="22"/>
    </row>
    <row r="12" spans="1:54" x14ac:dyDescent="0.25">
      <c r="A12" s="22"/>
      <c r="B12" s="22"/>
      <c r="C12" s="22"/>
      <c r="D12" s="22"/>
      <c r="E12" s="22"/>
      <c r="F12" s="22"/>
      <c r="G12" s="22"/>
      <c r="H12" s="22"/>
      <c r="I12" s="22"/>
      <c r="J12" s="22"/>
      <c r="K12" s="22"/>
      <c r="L12" s="22"/>
      <c r="M12" s="22"/>
      <c r="N12" s="22"/>
      <c r="O12" s="22"/>
      <c r="P12" s="22"/>
      <c r="Q12" s="22"/>
      <c r="R12" s="22"/>
      <c r="S12" s="22"/>
      <c r="T12" s="22"/>
      <c r="U12" s="22"/>
      <c r="V12" s="22"/>
      <c r="W12" s="22"/>
      <c r="X12" s="22"/>
      <c r="Y12" s="22"/>
      <c r="Z12" s="22"/>
      <c r="AA12" s="22"/>
      <c r="AB12" s="22"/>
      <c r="AC12" s="22"/>
      <c r="AD12" s="22"/>
      <c r="AE12" s="22"/>
      <c r="AF12" s="22"/>
      <c r="AG12" s="22"/>
      <c r="AH12" s="22"/>
      <c r="AI12" s="22"/>
      <c r="AJ12" s="22"/>
      <c r="AK12" s="22"/>
      <c r="AL12" s="22"/>
      <c r="AM12" s="22"/>
      <c r="AN12" s="22"/>
    </row>
    <row r="13" spans="1:54" x14ac:dyDescent="0.25">
      <c r="A13" s="22"/>
      <c r="B13" s="22"/>
      <c r="C13" s="22"/>
      <c r="D13" s="22"/>
      <c r="E13" s="22"/>
      <c r="F13" s="22"/>
      <c r="G13" s="22"/>
      <c r="H13" s="22"/>
      <c r="I13" s="22"/>
      <c r="J13" s="22"/>
      <c r="K13" s="22"/>
      <c r="L13" s="22"/>
      <c r="M13" s="22"/>
      <c r="N13" s="22"/>
      <c r="O13" s="22"/>
      <c r="P13" s="22"/>
      <c r="Q13" s="22"/>
      <c r="R13" s="22"/>
      <c r="S13" s="22"/>
      <c r="T13" s="22"/>
      <c r="U13" s="22"/>
      <c r="V13" s="22"/>
      <c r="W13" s="22"/>
      <c r="X13" s="22"/>
      <c r="Y13" s="22"/>
      <c r="Z13" s="22"/>
      <c r="AA13" s="22"/>
      <c r="AB13" s="22"/>
      <c r="AC13" s="22"/>
      <c r="AD13" s="22"/>
      <c r="AE13" s="22"/>
      <c r="AF13" s="22"/>
      <c r="AG13" s="22"/>
      <c r="AH13" s="22"/>
      <c r="AI13" s="22"/>
      <c r="AJ13" s="22"/>
      <c r="AK13" s="22"/>
      <c r="AL13" s="22"/>
      <c r="AM13" s="22"/>
      <c r="AN13" s="22"/>
    </row>
    <row r="14" spans="1:54" x14ac:dyDescent="0.25">
      <c r="A14" s="22"/>
      <c r="B14" s="22"/>
      <c r="C14" s="22"/>
      <c r="D14" s="22"/>
      <c r="E14" s="22"/>
      <c r="F14" s="22"/>
      <c r="G14" s="22"/>
      <c r="H14" s="22"/>
      <c r="I14" s="22"/>
      <c r="J14" s="22"/>
      <c r="K14" s="22"/>
      <c r="L14" s="22"/>
      <c r="M14" s="22"/>
      <c r="N14" s="22"/>
      <c r="O14" s="22"/>
      <c r="P14" s="22"/>
      <c r="Q14" s="22"/>
      <c r="R14" s="22"/>
      <c r="S14" s="22"/>
      <c r="T14" s="22"/>
      <c r="U14" s="22"/>
      <c r="V14" s="22"/>
      <c r="W14" s="22"/>
      <c r="X14" s="22"/>
      <c r="Y14" s="22"/>
      <c r="Z14" s="22"/>
      <c r="AA14" s="22"/>
      <c r="AB14" s="22"/>
      <c r="AC14" s="22"/>
      <c r="AD14" s="22"/>
      <c r="AE14" s="22"/>
      <c r="AF14" s="22"/>
      <c r="AG14" s="22"/>
      <c r="AH14" s="22"/>
      <c r="AI14" s="22"/>
      <c r="AJ14" s="22"/>
      <c r="AK14" s="22"/>
      <c r="AL14" s="22"/>
      <c r="AM14" s="22"/>
      <c r="AN14" s="22"/>
    </row>
    <row r="15" spans="1:54" x14ac:dyDescent="0.25">
      <c r="A15" s="22"/>
      <c r="B15" s="22"/>
      <c r="C15" s="22"/>
      <c r="D15" s="22"/>
      <c r="E15" s="22"/>
      <c r="F15" s="22"/>
      <c r="G15" s="22"/>
      <c r="H15" s="22"/>
      <c r="I15" s="22"/>
      <c r="J15" s="22"/>
      <c r="K15" s="22"/>
      <c r="L15" s="22"/>
      <c r="M15" s="22"/>
      <c r="N15" s="22"/>
      <c r="O15" s="22"/>
      <c r="P15" s="22"/>
      <c r="Q15" s="22"/>
      <c r="R15" s="22"/>
      <c r="S15" s="22"/>
      <c r="T15" s="22"/>
      <c r="U15" s="22"/>
      <c r="V15" s="22"/>
      <c r="W15" s="22"/>
      <c r="X15" s="22"/>
      <c r="Y15" s="22"/>
      <c r="Z15" s="22"/>
      <c r="AA15" s="22"/>
      <c r="AB15" s="22"/>
      <c r="AC15" s="22"/>
      <c r="AD15" s="22"/>
      <c r="AE15" s="22"/>
      <c r="AF15" s="22"/>
      <c r="AG15" s="22"/>
      <c r="AH15" s="22"/>
      <c r="AI15" s="22"/>
      <c r="AJ15" s="22"/>
      <c r="AK15" s="22"/>
      <c r="AL15" s="22"/>
      <c r="AM15" s="22"/>
      <c r="AN15" s="22"/>
    </row>
    <row r="16" spans="1:54" x14ac:dyDescent="0.25">
      <c r="A16" s="22"/>
      <c r="B16" s="22"/>
      <c r="C16" s="22"/>
      <c r="D16" s="22"/>
      <c r="E16" s="22"/>
      <c r="F16" s="22"/>
      <c r="G16" s="22"/>
      <c r="H16" s="22"/>
      <c r="I16" s="22"/>
      <c r="J16" s="22"/>
      <c r="K16" s="22"/>
      <c r="L16" s="22"/>
      <c r="M16" s="22"/>
      <c r="N16" s="22"/>
      <c r="O16" s="22"/>
      <c r="P16" s="22"/>
      <c r="Q16" s="22"/>
      <c r="R16" s="22"/>
      <c r="S16" s="22"/>
      <c r="T16" s="22"/>
      <c r="U16" s="22"/>
      <c r="V16" s="22"/>
      <c r="W16" s="22"/>
      <c r="X16" s="22"/>
      <c r="Y16" s="22"/>
      <c r="Z16" s="22"/>
      <c r="AA16" s="22"/>
      <c r="AB16" s="22"/>
      <c r="AC16" s="22"/>
      <c r="AD16" s="22"/>
      <c r="AE16" s="22"/>
      <c r="AF16" s="22"/>
      <c r="AG16" s="22"/>
      <c r="AH16" s="22"/>
      <c r="AI16" s="22"/>
      <c r="AJ16" s="22"/>
      <c r="AK16" s="22"/>
      <c r="AL16" s="22"/>
      <c r="AM16" s="22"/>
      <c r="AN16" s="22"/>
    </row>
    <row r="17" spans="1:40" x14ac:dyDescent="0.25">
      <c r="A17" s="22"/>
      <c r="B17" s="22"/>
      <c r="C17" s="22"/>
      <c r="D17" s="22"/>
      <c r="E17" s="22"/>
      <c r="F17" s="22"/>
      <c r="G17" s="22"/>
      <c r="H17" s="22"/>
      <c r="I17" s="22"/>
      <c r="J17" s="22"/>
      <c r="K17" s="22"/>
      <c r="L17" s="22"/>
      <c r="M17" s="22"/>
      <c r="N17" s="22"/>
      <c r="O17" s="22"/>
      <c r="P17" s="22"/>
      <c r="Q17" s="22"/>
      <c r="R17" s="22"/>
      <c r="S17" s="22"/>
      <c r="T17" s="22"/>
      <c r="U17" s="22"/>
      <c r="V17" s="22"/>
      <c r="W17" s="22"/>
      <c r="X17" s="22"/>
      <c r="Y17" s="22"/>
      <c r="Z17" s="22"/>
      <c r="AA17" s="22"/>
      <c r="AB17" s="22"/>
      <c r="AC17" s="22"/>
      <c r="AD17" s="22"/>
      <c r="AE17" s="22"/>
      <c r="AF17" s="22"/>
      <c r="AG17" s="22"/>
      <c r="AH17" s="22"/>
      <c r="AI17" s="22"/>
      <c r="AJ17" s="22"/>
      <c r="AK17" s="22"/>
      <c r="AL17" s="22"/>
      <c r="AM17" s="22"/>
      <c r="AN17" s="22"/>
    </row>
    <row r="18" spans="1:40" x14ac:dyDescent="0.25">
      <c r="A18" s="22"/>
      <c r="B18" s="22"/>
      <c r="C18" s="22"/>
      <c r="D18" s="22"/>
      <c r="E18" s="22"/>
      <c r="F18" s="22"/>
      <c r="G18" s="22"/>
      <c r="H18" s="22"/>
      <c r="I18" s="22"/>
      <c r="J18" s="22"/>
      <c r="K18" s="22"/>
      <c r="L18" s="22"/>
      <c r="M18" s="22"/>
      <c r="N18" s="22"/>
      <c r="O18" s="22"/>
      <c r="P18" s="22"/>
      <c r="Q18" s="22"/>
      <c r="R18" s="22"/>
      <c r="S18" s="22"/>
      <c r="T18" s="22"/>
      <c r="U18" s="22"/>
      <c r="V18" s="22"/>
      <c r="W18" s="22"/>
      <c r="X18" s="22"/>
      <c r="Y18" s="22"/>
      <c r="Z18" s="22"/>
      <c r="AA18" s="22"/>
      <c r="AB18" s="22"/>
      <c r="AC18" s="22"/>
      <c r="AD18" s="22"/>
      <c r="AE18" s="22"/>
      <c r="AF18" s="22"/>
      <c r="AG18" s="22"/>
      <c r="AH18" s="22"/>
      <c r="AI18" s="22"/>
      <c r="AJ18" s="22"/>
      <c r="AK18" s="22"/>
      <c r="AL18" s="22"/>
      <c r="AM18" s="22"/>
      <c r="AN18" s="22"/>
    </row>
    <row r="19" spans="1:40" x14ac:dyDescent="0.25">
      <c r="A19" s="22"/>
      <c r="B19" s="22"/>
      <c r="C19" s="22"/>
      <c r="D19" s="22"/>
      <c r="E19" s="22"/>
      <c r="F19" s="22"/>
      <c r="G19" s="22"/>
      <c r="H19" s="22"/>
      <c r="I19" s="22"/>
      <c r="J19" s="22"/>
      <c r="K19" s="22"/>
      <c r="L19" s="22"/>
      <c r="M19" s="22"/>
      <c r="N19" s="22"/>
      <c r="O19" s="22"/>
      <c r="P19" s="22"/>
      <c r="Q19" s="22"/>
      <c r="R19" s="22"/>
      <c r="S19" s="22"/>
      <c r="T19" s="22"/>
      <c r="U19" s="22"/>
      <c r="V19" s="22"/>
      <c r="W19" s="22"/>
      <c r="X19" s="22"/>
      <c r="Y19" s="22"/>
      <c r="Z19" s="22"/>
      <c r="AA19" s="22"/>
      <c r="AB19" s="22"/>
      <c r="AC19" s="22"/>
      <c r="AD19" s="22"/>
      <c r="AE19" s="22"/>
      <c r="AF19" s="22"/>
      <c r="AG19" s="22"/>
      <c r="AH19" s="22"/>
      <c r="AI19" s="22"/>
      <c r="AJ19" s="22"/>
      <c r="AK19" s="22"/>
      <c r="AL19" s="22"/>
      <c r="AM19" s="22"/>
      <c r="AN19" s="22"/>
    </row>
    <row r="20" spans="1:40" x14ac:dyDescent="0.25">
      <c r="A20" s="22"/>
      <c r="B20" s="22"/>
      <c r="C20" s="22"/>
      <c r="D20" s="22"/>
      <c r="E20" s="22"/>
      <c r="F20" s="22"/>
      <c r="G20" s="22"/>
      <c r="H20" s="22"/>
      <c r="I20" s="22"/>
      <c r="J20" s="22"/>
      <c r="K20" s="22"/>
      <c r="L20" s="22"/>
      <c r="M20" s="22"/>
      <c r="N20" s="22"/>
      <c r="O20" s="22"/>
      <c r="P20" s="22"/>
      <c r="Q20" s="22"/>
      <c r="R20" s="22"/>
      <c r="S20" s="22"/>
      <c r="T20" s="22"/>
      <c r="U20" s="22"/>
      <c r="V20" s="22"/>
      <c r="W20" s="22"/>
      <c r="X20" s="22"/>
      <c r="Y20" s="22"/>
      <c r="Z20" s="22"/>
      <c r="AA20" s="22"/>
      <c r="AB20" s="22"/>
      <c r="AC20" s="22"/>
      <c r="AD20" s="22"/>
      <c r="AE20" s="22"/>
      <c r="AF20" s="22"/>
      <c r="AG20" s="22"/>
      <c r="AH20" s="22"/>
      <c r="AI20" s="22"/>
      <c r="AJ20" s="22"/>
      <c r="AK20" s="22"/>
      <c r="AL20" s="22"/>
      <c r="AM20" s="22"/>
      <c r="AN20" s="22"/>
    </row>
    <row r="21" spans="1:40" x14ac:dyDescent="0.25">
      <c r="A21" s="22"/>
      <c r="B21" s="22"/>
      <c r="C21" s="22"/>
      <c r="D21" s="22"/>
      <c r="E21" s="22"/>
      <c r="F21" s="22"/>
      <c r="G21" s="22"/>
      <c r="H21" s="22"/>
      <c r="I21" s="22"/>
      <c r="J21" s="22"/>
      <c r="K21" s="22"/>
      <c r="L21" s="22"/>
      <c r="M21" s="22"/>
      <c r="N21" s="22"/>
      <c r="O21" s="22"/>
      <c r="P21" s="22"/>
      <c r="Q21" s="22"/>
      <c r="R21" s="22"/>
      <c r="S21" s="22"/>
      <c r="T21" s="22"/>
      <c r="U21" s="22"/>
      <c r="V21" s="22"/>
      <c r="W21" s="22"/>
      <c r="X21" s="22"/>
      <c r="Y21" s="22"/>
      <c r="Z21" s="22"/>
      <c r="AA21" s="22"/>
      <c r="AB21" s="22"/>
      <c r="AC21" s="22"/>
      <c r="AD21" s="22"/>
      <c r="AE21" s="22"/>
      <c r="AF21" s="22"/>
      <c r="AG21" s="22"/>
      <c r="AH21" s="22"/>
      <c r="AI21" s="22"/>
      <c r="AJ21" s="22"/>
      <c r="AK21" s="22"/>
      <c r="AL21" s="22"/>
      <c r="AM21" s="22"/>
      <c r="AN21" s="22"/>
    </row>
    <row r="22" spans="1:40" x14ac:dyDescent="0.25">
      <c r="A22" s="22"/>
      <c r="B22" s="22"/>
      <c r="C22" s="22"/>
      <c r="D22" s="22"/>
      <c r="E22" s="22"/>
      <c r="F22" s="22"/>
      <c r="G22" s="22"/>
      <c r="H22" s="22"/>
      <c r="I22" s="22"/>
      <c r="J22" s="22"/>
      <c r="K22" s="22"/>
      <c r="L22" s="22"/>
      <c r="M22" s="22"/>
      <c r="N22" s="22"/>
      <c r="O22" s="22"/>
      <c r="P22" s="22"/>
      <c r="Q22" s="22"/>
      <c r="R22" s="22"/>
      <c r="S22" s="22"/>
      <c r="T22" s="22"/>
      <c r="U22" s="22"/>
      <c r="V22" s="22"/>
      <c r="W22" s="22"/>
      <c r="X22" s="22"/>
      <c r="Y22" s="22"/>
      <c r="Z22" s="22"/>
      <c r="AA22" s="22"/>
      <c r="AB22" s="22"/>
      <c r="AC22" s="22"/>
      <c r="AD22" s="22"/>
      <c r="AE22" s="22"/>
      <c r="AF22" s="22"/>
      <c r="AG22" s="22"/>
      <c r="AH22" s="22"/>
      <c r="AI22" s="22"/>
      <c r="AJ22" s="22"/>
      <c r="AK22" s="22"/>
      <c r="AL22" s="22"/>
      <c r="AM22" s="22"/>
      <c r="AN22" s="22"/>
    </row>
    <row r="23" spans="1:40" x14ac:dyDescent="0.25">
      <c r="A23" s="22"/>
      <c r="B23" s="22"/>
      <c r="C23" s="22"/>
      <c r="D23" s="22"/>
      <c r="E23" s="22"/>
      <c r="F23" s="22"/>
      <c r="G23" s="22"/>
      <c r="H23" s="22"/>
      <c r="I23" s="22"/>
      <c r="J23" s="22"/>
      <c r="K23" s="22"/>
      <c r="L23" s="22"/>
      <c r="M23" s="22"/>
      <c r="N23" s="22"/>
      <c r="O23" s="22"/>
      <c r="P23" s="22"/>
      <c r="Q23" s="22"/>
      <c r="R23" s="22"/>
      <c r="S23" s="22"/>
      <c r="T23" s="22"/>
      <c r="U23" s="22"/>
      <c r="V23" s="22"/>
      <c r="W23" s="22"/>
      <c r="X23" s="22"/>
      <c r="Y23" s="22"/>
      <c r="Z23" s="22"/>
      <c r="AA23" s="22"/>
      <c r="AB23" s="22"/>
      <c r="AC23" s="22"/>
      <c r="AD23" s="22"/>
      <c r="AE23" s="22"/>
      <c r="AF23" s="22"/>
      <c r="AG23" s="22"/>
      <c r="AH23" s="22"/>
      <c r="AI23" s="22"/>
      <c r="AJ23" s="22"/>
      <c r="AK23" s="22"/>
      <c r="AL23" s="22"/>
      <c r="AM23" s="22"/>
      <c r="AN23" s="22"/>
    </row>
    <row r="24" spans="1:40" x14ac:dyDescent="0.25">
      <c r="A24" s="22"/>
      <c r="B24" s="22"/>
      <c r="C24" s="22"/>
      <c r="D24" s="22"/>
      <c r="E24" s="22"/>
      <c r="F24" s="22"/>
      <c r="G24" s="22"/>
      <c r="H24" s="22"/>
      <c r="I24" s="22"/>
      <c r="J24" s="22"/>
      <c r="K24" s="22"/>
      <c r="L24" s="22"/>
      <c r="M24" s="22"/>
      <c r="N24" s="22"/>
      <c r="O24" s="22"/>
      <c r="P24" s="22"/>
      <c r="Q24" s="22"/>
      <c r="R24" s="22"/>
      <c r="S24" s="22"/>
      <c r="T24" s="22"/>
      <c r="U24" s="22"/>
      <c r="V24" s="22"/>
      <c r="W24" s="22"/>
      <c r="X24" s="22"/>
      <c r="Y24" s="22"/>
      <c r="Z24" s="22"/>
      <c r="AA24" s="22"/>
      <c r="AB24" s="22"/>
      <c r="AC24" s="22"/>
      <c r="AD24" s="22"/>
      <c r="AE24" s="22"/>
      <c r="AF24" s="22"/>
      <c r="AG24" s="22"/>
      <c r="AH24" s="22"/>
      <c r="AI24" s="22"/>
      <c r="AJ24" s="22"/>
      <c r="AK24" s="22"/>
      <c r="AL24" s="22"/>
      <c r="AM24" s="22"/>
      <c r="AN24" s="22"/>
    </row>
    <row r="25" spans="1:40" x14ac:dyDescent="0.25">
      <c r="A25" s="22"/>
      <c r="B25" s="22"/>
      <c r="C25" s="22"/>
      <c r="D25" s="22"/>
      <c r="E25" s="22"/>
      <c r="F25" s="22"/>
      <c r="G25" s="22"/>
      <c r="H25" s="22"/>
      <c r="I25" s="22"/>
      <c r="J25" s="22"/>
      <c r="K25" s="22"/>
      <c r="L25" s="22"/>
      <c r="M25" s="22"/>
      <c r="N25" s="22"/>
      <c r="O25" s="22"/>
      <c r="P25" s="22"/>
      <c r="Q25" s="22"/>
      <c r="R25" s="22"/>
      <c r="S25" s="22"/>
      <c r="T25" s="22"/>
      <c r="U25" s="22"/>
      <c r="V25" s="22"/>
      <c r="W25" s="22"/>
      <c r="X25" s="22"/>
      <c r="Y25" s="22"/>
      <c r="Z25" s="22"/>
      <c r="AA25" s="22"/>
      <c r="AB25" s="22"/>
      <c r="AC25" s="22"/>
      <c r="AD25" s="22"/>
      <c r="AE25" s="22"/>
      <c r="AF25" s="22"/>
      <c r="AG25" s="22"/>
      <c r="AH25" s="22"/>
      <c r="AI25" s="22"/>
      <c r="AJ25" s="22"/>
      <c r="AK25" s="22"/>
      <c r="AL25" s="22"/>
      <c r="AM25" s="22"/>
      <c r="AN25" s="22"/>
    </row>
    <row r="26" spans="1:40" x14ac:dyDescent="0.25">
      <c r="A26" s="22"/>
      <c r="B26" s="22"/>
      <c r="C26" s="22"/>
      <c r="D26" s="22"/>
      <c r="E26" s="22"/>
      <c r="F26" s="22"/>
      <c r="G26" s="22"/>
      <c r="H26" s="22"/>
      <c r="I26" s="22"/>
      <c r="J26" s="22"/>
      <c r="K26" s="22"/>
      <c r="L26" s="22"/>
      <c r="M26" s="22"/>
      <c r="N26" s="22"/>
      <c r="O26" s="22"/>
      <c r="P26" s="22"/>
      <c r="Q26" s="22"/>
      <c r="R26" s="22"/>
      <c r="S26" s="22"/>
      <c r="T26" s="22"/>
      <c r="U26" s="22"/>
      <c r="V26" s="22"/>
      <c r="W26" s="22"/>
      <c r="X26" s="22"/>
      <c r="Y26" s="22"/>
      <c r="Z26" s="22"/>
      <c r="AA26" s="22"/>
      <c r="AB26" s="22"/>
      <c r="AC26" s="22"/>
      <c r="AD26" s="22"/>
      <c r="AE26" s="22"/>
      <c r="AF26" s="22"/>
      <c r="AG26" s="22"/>
      <c r="AH26" s="22"/>
      <c r="AI26" s="22"/>
      <c r="AJ26" s="22"/>
      <c r="AK26" s="22"/>
      <c r="AL26" s="22"/>
      <c r="AM26" s="22"/>
      <c r="AN26" s="22"/>
    </row>
    <row r="27" spans="1:40" x14ac:dyDescent="0.25">
      <c r="A27" s="22"/>
      <c r="B27" s="22"/>
      <c r="C27" s="22"/>
      <c r="D27" s="22"/>
      <c r="E27" s="22"/>
      <c r="F27" s="22"/>
      <c r="G27" s="22"/>
      <c r="H27" s="22"/>
      <c r="I27" s="22"/>
      <c r="J27" s="22"/>
      <c r="K27" s="22"/>
      <c r="L27" s="22"/>
      <c r="M27" s="22"/>
      <c r="N27" s="22"/>
      <c r="O27" s="22"/>
      <c r="P27" s="22"/>
      <c r="Q27" s="22"/>
      <c r="R27" s="22"/>
      <c r="S27" s="22"/>
      <c r="T27" s="22"/>
      <c r="U27" s="22"/>
      <c r="V27" s="22"/>
      <c r="W27" s="22"/>
      <c r="X27" s="22"/>
      <c r="Y27" s="22"/>
      <c r="Z27" s="22"/>
      <c r="AA27" s="22"/>
      <c r="AB27" s="22"/>
      <c r="AC27" s="22"/>
      <c r="AD27" s="22"/>
      <c r="AE27" s="22"/>
      <c r="AF27" s="22"/>
      <c r="AG27" s="22"/>
      <c r="AH27" s="22"/>
      <c r="AI27" s="22"/>
      <c r="AJ27" s="22"/>
      <c r="AK27" s="22"/>
      <c r="AL27" s="22"/>
      <c r="AM27" s="22"/>
      <c r="AN27" s="22"/>
    </row>
    <row r="28" spans="1:40" x14ac:dyDescent="0.25">
      <c r="A28" s="22"/>
      <c r="B28" s="22"/>
      <c r="C28" s="22"/>
      <c r="D28" s="22"/>
      <c r="E28" s="22"/>
      <c r="F28" s="22"/>
      <c r="G28" s="22"/>
      <c r="H28" s="22"/>
      <c r="I28" s="22"/>
      <c r="J28" s="22"/>
      <c r="K28" s="22"/>
      <c r="L28" s="22"/>
      <c r="M28" s="22"/>
      <c r="N28" s="22"/>
      <c r="O28" s="22"/>
      <c r="P28" s="22"/>
      <c r="Q28" s="22"/>
      <c r="R28" s="22"/>
      <c r="S28" s="22"/>
      <c r="T28" s="22"/>
      <c r="U28" s="22"/>
      <c r="V28" s="22"/>
      <c r="W28" s="22"/>
      <c r="X28" s="22"/>
      <c r="Y28" s="22"/>
      <c r="Z28" s="22"/>
      <c r="AA28" s="22"/>
      <c r="AB28" s="22"/>
      <c r="AC28" s="22"/>
      <c r="AD28" s="22"/>
      <c r="AE28" s="22"/>
      <c r="AF28" s="22"/>
      <c r="AG28" s="22"/>
      <c r="AH28" s="22"/>
      <c r="AI28" s="22"/>
      <c r="AJ28" s="22"/>
      <c r="AK28" s="22"/>
      <c r="AL28" s="22"/>
      <c r="AM28" s="22"/>
      <c r="AN28" s="22"/>
    </row>
    <row r="29" spans="1:40" x14ac:dyDescent="0.25">
      <c r="A29" s="22"/>
      <c r="B29" s="22"/>
      <c r="C29" s="22"/>
      <c r="D29" s="22"/>
      <c r="E29" s="22"/>
      <c r="F29" s="22"/>
      <c r="G29" s="22"/>
      <c r="H29" s="22"/>
      <c r="I29" s="22"/>
      <c r="J29" s="22"/>
      <c r="K29" s="22"/>
      <c r="L29" s="22"/>
      <c r="M29" s="22"/>
      <c r="N29" s="22"/>
      <c r="O29" s="22"/>
      <c r="P29" s="22"/>
      <c r="Q29" s="22"/>
      <c r="R29" s="22"/>
      <c r="S29" s="22"/>
      <c r="T29" s="22"/>
      <c r="U29" s="22"/>
      <c r="V29" s="22"/>
      <c r="W29" s="22"/>
      <c r="X29" s="22"/>
      <c r="Y29" s="22"/>
      <c r="Z29" s="22"/>
      <c r="AA29" s="22"/>
      <c r="AB29" s="22"/>
      <c r="AC29" s="22"/>
      <c r="AD29" s="22"/>
      <c r="AE29" s="22"/>
      <c r="AF29" s="22"/>
      <c r="AG29" s="22"/>
      <c r="AH29" s="22"/>
      <c r="AI29" s="22"/>
      <c r="AJ29" s="22"/>
      <c r="AK29" s="22"/>
      <c r="AL29" s="22"/>
      <c r="AM29" s="22"/>
      <c r="AN29" s="22"/>
    </row>
    <row r="30" spans="1:40" x14ac:dyDescent="0.25">
      <c r="A30" s="22"/>
      <c r="B30" s="22"/>
      <c r="C30" s="22"/>
      <c r="D30" s="22"/>
      <c r="E30" s="22"/>
      <c r="F30" s="22"/>
      <c r="G30" s="22"/>
      <c r="H30" s="22"/>
      <c r="I30" s="22"/>
      <c r="J30" s="22"/>
      <c r="K30" s="22"/>
      <c r="L30" s="22"/>
      <c r="M30" s="22"/>
      <c r="N30" s="22"/>
      <c r="O30" s="22"/>
      <c r="P30" s="22"/>
      <c r="Q30" s="22"/>
      <c r="R30" s="22"/>
      <c r="S30" s="22"/>
      <c r="T30" s="22"/>
      <c r="U30" s="22"/>
      <c r="V30" s="22"/>
      <c r="W30" s="22"/>
      <c r="X30" s="22"/>
      <c r="Y30" s="22"/>
      <c r="Z30" s="22"/>
      <c r="AA30" s="22"/>
      <c r="AB30" s="22"/>
      <c r="AC30" s="22"/>
      <c r="AD30" s="22"/>
      <c r="AE30" s="22"/>
      <c r="AF30" s="22"/>
      <c r="AG30" s="22"/>
      <c r="AH30" s="22"/>
      <c r="AI30" s="22"/>
      <c r="AJ30" s="22"/>
      <c r="AK30" s="22"/>
      <c r="AL30" s="22"/>
      <c r="AM30" s="22"/>
      <c r="AN30" s="22"/>
    </row>
    <row r="31" spans="1:40" x14ac:dyDescent="0.25">
      <c r="A31" s="22"/>
      <c r="B31" s="22"/>
      <c r="C31" s="22"/>
      <c r="D31" s="22"/>
      <c r="E31" s="22"/>
      <c r="F31" s="22"/>
      <c r="G31" s="22"/>
      <c r="H31" s="22"/>
      <c r="I31" s="22"/>
      <c r="J31" s="22"/>
      <c r="K31" s="22"/>
      <c r="L31" s="22"/>
      <c r="M31" s="22"/>
      <c r="N31" s="22"/>
      <c r="O31" s="22"/>
      <c r="P31" s="22"/>
      <c r="Q31" s="22"/>
      <c r="R31" s="22"/>
      <c r="S31" s="22"/>
      <c r="T31" s="22"/>
      <c r="U31" s="22"/>
      <c r="V31" s="22"/>
      <c r="W31" s="22"/>
      <c r="X31" s="22"/>
      <c r="Y31" s="22"/>
      <c r="Z31" s="22"/>
      <c r="AA31" s="22"/>
      <c r="AB31" s="22"/>
      <c r="AC31" s="22"/>
      <c r="AD31" s="22"/>
      <c r="AE31" s="22"/>
      <c r="AF31" s="22"/>
      <c r="AG31" s="22"/>
      <c r="AH31" s="22"/>
      <c r="AI31" s="22"/>
      <c r="AJ31" s="22"/>
      <c r="AK31" s="22"/>
      <c r="AL31" s="22"/>
      <c r="AM31" s="22"/>
      <c r="AN31" s="22"/>
    </row>
    <row r="32" spans="1:40" x14ac:dyDescent="0.25">
      <c r="A32" s="22"/>
      <c r="B32" s="22"/>
      <c r="C32" s="22"/>
      <c r="D32" s="22"/>
      <c r="E32" s="22"/>
      <c r="F32" s="22"/>
      <c r="G32" s="22"/>
      <c r="H32" s="22"/>
      <c r="I32" s="22"/>
      <c r="J32" s="22"/>
      <c r="K32" s="22"/>
      <c r="L32" s="22"/>
      <c r="M32" s="22"/>
      <c r="N32" s="22"/>
      <c r="O32" s="22"/>
      <c r="P32" s="22"/>
      <c r="Q32" s="22"/>
      <c r="R32" s="22"/>
      <c r="S32" s="22"/>
      <c r="T32" s="22"/>
      <c r="U32" s="22"/>
      <c r="V32" s="22"/>
      <c r="W32" s="22"/>
      <c r="X32" s="22"/>
      <c r="Y32" s="22"/>
      <c r="Z32" s="22"/>
      <c r="AA32" s="22"/>
      <c r="AB32" s="22"/>
      <c r="AC32" s="22"/>
      <c r="AD32" s="22"/>
      <c r="AE32" s="22"/>
      <c r="AF32" s="22"/>
      <c r="AG32" s="22"/>
      <c r="AH32" s="22"/>
      <c r="AI32" s="22"/>
      <c r="AJ32" s="22"/>
      <c r="AK32" s="22"/>
      <c r="AL32" s="22"/>
      <c r="AM32" s="22"/>
      <c r="AN32" s="22"/>
    </row>
    <row r="33" spans="1:40" x14ac:dyDescent="0.25">
      <c r="A33" s="22"/>
      <c r="B33" s="22"/>
      <c r="C33" s="22"/>
      <c r="D33" s="22"/>
      <c r="E33" s="22"/>
      <c r="F33" s="22"/>
      <c r="G33" s="22"/>
      <c r="H33" s="22"/>
      <c r="I33" s="22"/>
      <c r="J33" s="22"/>
      <c r="K33" s="22"/>
      <c r="L33" s="22"/>
      <c r="M33" s="22"/>
      <c r="N33" s="22"/>
      <c r="O33" s="22"/>
      <c r="P33" s="22"/>
      <c r="Q33" s="22"/>
      <c r="R33" s="22"/>
      <c r="S33" s="22"/>
      <c r="T33" s="22"/>
      <c r="U33" s="22"/>
      <c r="V33" s="22"/>
      <c r="W33" s="22"/>
      <c r="X33" s="22"/>
      <c r="Y33" s="22"/>
      <c r="Z33" s="22"/>
      <c r="AA33" s="22"/>
      <c r="AB33" s="22"/>
      <c r="AC33" s="22"/>
      <c r="AD33" s="22"/>
      <c r="AE33" s="22"/>
      <c r="AF33" s="22"/>
      <c r="AG33" s="22"/>
      <c r="AH33" s="22"/>
      <c r="AI33" s="22"/>
      <c r="AJ33" s="22"/>
      <c r="AK33" s="22"/>
      <c r="AL33" s="22"/>
      <c r="AM33" s="22"/>
      <c r="AN33" s="22"/>
    </row>
    <row r="34" spans="1:40" x14ac:dyDescent="0.25">
      <c r="A34" s="22"/>
      <c r="B34" s="22"/>
      <c r="C34" s="22"/>
      <c r="D34" s="22"/>
      <c r="E34" s="22"/>
      <c r="F34" s="22"/>
      <c r="G34" s="22"/>
      <c r="H34" s="22"/>
      <c r="I34" s="22"/>
      <c r="J34" s="22"/>
      <c r="K34" s="22"/>
      <c r="L34" s="22"/>
      <c r="M34" s="22"/>
      <c r="N34" s="22"/>
      <c r="O34" s="22"/>
      <c r="P34" s="22"/>
      <c r="Q34" s="22"/>
      <c r="R34" s="22"/>
      <c r="S34" s="22"/>
      <c r="T34" s="22"/>
      <c r="U34" s="22"/>
      <c r="V34" s="22"/>
      <c r="W34" s="22"/>
      <c r="X34" s="22"/>
      <c r="Y34" s="22"/>
      <c r="Z34" s="22"/>
      <c r="AA34" s="22"/>
      <c r="AB34" s="22"/>
      <c r="AC34" s="22"/>
      <c r="AD34" s="22"/>
      <c r="AE34" s="22"/>
      <c r="AF34" s="22"/>
      <c r="AG34" s="22"/>
      <c r="AH34" s="22"/>
      <c r="AI34" s="22"/>
      <c r="AJ34" s="22"/>
      <c r="AK34" s="22"/>
      <c r="AL34" s="22"/>
      <c r="AM34" s="22"/>
      <c r="AN34" s="22"/>
    </row>
    <row r="35" spans="1:40" x14ac:dyDescent="0.25">
      <c r="A35" s="22"/>
      <c r="B35" s="22"/>
      <c r="C35" s="22"/>
      <c r="D35" s="22"/>
      <c r="E35" s="22"/>
      <c r="F35" s="22"/>
      <c r="G35" s="22"/>
      <c r="H35" s="22"/>
      <c r="I35" s="22"/>
      <c r="J35" s="22"/>
      <c r="K35" s="22"/>
      <c r="L35" s="22"/>
      <c r="M35" s="22"/>
      <c r="N35" s="22"/>
      <c r="O35" s="22"/>
      <c r="P35" s="22"/>
      <c r="Q35" s="22"/>
      <c r="R35" s="22"/>
      <c r="S35" s="22"/>
      <c r="T35" s="22"/>
      <c r="U35" s="22"/>
      <c r="V35" s="22"/>
      <c r="W35" s="22"/>
      <c r="X35" s="22"/>
      <c r="Y35" s="22"/>
      <c r="Z35" s="22"/>
      <c r="AA35" s="22"/>
      <c r="AB35" s="22"/>
      <c r="AC35" s="22"/>
      <c r="AD35" s="22"/>
      <c r="AE35" s="22"/>
      <c r="AF35" s="22"/>
      <c r="AG35" s="22"/>
      <c r="AH35" s="22"/>
      <c r="AI35" s="22"/>
      <c r="AJ35" s="22"/>
      <c r="AK35" s="22"/>
      <c r="AL35" s="22"/>
      <c r="AM35" s="22"/>
      <c r="AN35" s="22"/>
    </row>
    <row r="36" spans="1:40" x14ac:dyDescent="0.25">
      <c r="A36" s="22"/>
      <c r="B36" s="22"/>
      <c r="C36" s="22"/>
      <c r="D36" s="22"/>
      <c r="E36" s="22"/>
      <c r="F36" s="22"/>
      <c r="G36" s="22"/>
      <c r="H36" s="22"/>
      <c r="I36" s="22"/>
      <c r="J36" s="22"/>
      <c r="K36" s="22"/>
      <c r="L36" s="22"/>
      <c r="M36" s="22"/>
      <c r="N36" s="22"/>
      <c r="O36" s="22"/>
      <c r="P36" s="22"/>
      <c r="Q36" s="22"/>
      <c r="R36" s="22"/>
      <c r="S36" s="22"/>
      <c r="T36" s="22"/>
      <c r="U36" s="22"/>
      <c r="V36" s="22"/>
      <c r="W36" s="22"/>
      <c r="X36" s="22"/>
      <c r="Y36" s="22"/>
      <c r="Z36" s="22"/>
      <c r="AA36" s="22"/>
      <c r="AB36" s="22"/>
      <c r="AC36" s="22"/>
      <c r="AD36" s="22"/>
      <c r="AE36" s="22"/>
      <c r="AF36" s="22"/>
      <c r="AG36" s="22"/>
      <c r="AH36" s="22"/>
      <c r="AI36" s="22"/>
      <c r="AJ36" s="22"/>
      <c r="AK36" s="22"/>
      <c r="AL36" s="22"/>
      <c r="AM36" s="22"/>
      <c r="AN36" s="22"/>
    </row>
    <row r="37" spans="1:40" x14ac:dyDescent="0.25">
      <c r="A37" s="22"/>
      <c r="B37" s="22"/>
      <c r="C37" s="22"/>
      <c r="D37" s="22"/>
      <c r="E37" s="22"/>
      <c r="F37" s="22"/>
      <c r="G37" s="22"/>
      <c r="H37" s="22"/>
      <c r="I37" s="22"/>
      <c r="J37" s="22"/>
      <c r="K37" s="22"/>
      <c r="L37" s="22"/>
      <c r="M37" s="22"/>
      <c r="N37" s="22"/>
      <c r="O37" s="22"/>
      <c r="P37" s="22"/>
      <c r="Q37" s="22"/>
      <c r="R37" s="22"/>
      <c r="S37" s="22"/>
      <c r="T37" s="22"/>
      <c r="U37" s="22"/>
      <c r="V37" s="22"/>
      <c r="W37" s="22"/>
      <c r="X37" s="22"/>
      <c r="Y37" s="22"/>
      <c r="Z37" s="22"/>
      <c r="AA37" s="22"/>
      <c r="AB37" s="22"/>
      <c r="AC37" s="22"/>
      <c r="AD37" s="22"/>
      <c r="AE37" s="22"/>
      <c r="AF37" s="22"/>
      <c r="AG37" s="22"/>
      <c r="AH37" s="22"/>
      <c r="AI37" s="22"/>
      <c r="AJ37" s="22"/>
      <c r="AK37" s="22"/>
      <c r="AL37" s="22"/>
      <c r="AM37" s="22"/>
      <c r="AN37" s="22"/>
    </row>
    <row r="38" spans="1:40" x14ac:dyDescent="0.25">
      <c r="A38" s="22"/>
      <c r="B38" s="22"/>
      <c r="C38" s="22"/>
      <c r="D38" s="22"/>
      <c r="E38" s="22"/>
      <c r="F38" s="22"/>
      <c r="G38" s="22"/>
      <c r="H38" s="22"/>
      <c r="I38" s="22"/>
      <c r="J38" s="22"/>
      <c r="K38" s="22"/>
      <c r="L38" s="22"/>
      <c r="M38" s="22"/>
      <c r="N38" s="22"/>
      <c r="O38" s="22"/>
      <c r="P38" s="22"/>
      <c r="Q38" s="22"/>
      <c r="R38" s="22"/>
      <c r="S38" s="22"/>
      <c r="T38" s="22"/>
      <c r="U38" s="22"/>
      <c r="V38" s="22"/>
      <c r="W38" s="22"/>
      <c r="X38" s="22"/>
      <c r="Y38" s="22"/>
      <c r="Z38" s="22"/>
      <c r="AA38" s="22"/>
      <c r="AB38" s="22"/>
      <c r="AC38" s="22"/>
      <c r="AD38" s="22"/>
      <c r="AE38" s="22"/>
      <c r="AF38" s="22"/>
      <c r="AG38" s="22"/>
      <c r="AH38" s="22"/>
      <c r="AI38" s="22"/>
      <c r="AJ38" s="22"/>
      <c r="AK38" s="22"/>
      <c r="AL38" s="22"/>
      <c r="AM38" s="22"/>
      <c r="AN38" s="22"/>
    </row>
    <row r="39" spans="1:40" x14ac:dyDescent="0.25">
      <c r="A39" s="22"/>
      <c r="B39" s="22"/>
      <c r="C39" s="22"/>
      <c r="D39" s="22"/>
      <c r="E39" s="22"/>
      <c r="F39" s="22"/>
      <c r="G39" s="22"/>
      <c r="H39" s="22"/>
      <c r="I39" s="22"/>
      <c r="J39" s="22"/>
      <c r="K39" s="22"/>
      <c r="L39" s="22"/>
      <c r="M39" s="22"/>
      <c r="N39" s="22"/>
      <c r="O39" s="22"/>
      <c r="P39" s="22"/>
      <c r="Q39" s="22"/>
      <c r="R39" s="22"/>
      <c r="S39" s="22"/>
      <c r="T39" s="22"/>
      <c r="U39" s="22"/>
      <c r="V39" s="22"/>
      <c r="W39" s="22"/>
      <c r="X39" s="22"/>
      <c r="Y39" s="22"/>
      <c r="Z39" s="22"/>
      <c r="AA39" s="22"/>
      <c r="AB39" s="22"/>
      <c r="AC39" s="22"/>
      <c r="AD39" s="22"/>
      <c r="AE39" s="22"/>
      <c r="AF39" s="22"/>
      <c r="AG39" s="22"/>
      <c r="AH39" s="22"/>
      <c r="AI39" s="22"/>
      <c r="AJ39" s="22"/>
      <c r="AK39" s="22"/>
      <c r="AL39" s="22"/>
      <c r="AM39" s="22"/>
      <c r="AN39" s="22"/>
    </row>
    <row r="40" spans="1:40" x14ac:dyDescent="0.25">
      <c r="A40" s="22"/>
      <c r="B40" s="22"/>
      <c r="C40" s="22"/>
      <c r="D40" s="22"/>
      <c r="E40" s="22"/>
      <c r="F40" s="22"/>
      <c r="G40" s="22"/>
      <c r="H40" s="22"/>
      <c r="I40" s="22"/>
      <c r="J40" s="22"/>
      <c r="K40" s="22"/>
      <c r="L40" s="22"/>
      <c r="M40" s="22"/>
      <c r="N40" s="22"/>
      <c r="O40" s="22"/>
      <c r="P40" s="22"/>
      <c r="Q40" s="22"/>
      <c r="R40" s="22"/>
      <c r="S40" s="22"/>
      <c r="T40" s="22"/>
      <c r="U40" s="22"/>
      <c r="V40" s="22"/>
      <c r="W40" s="22"/>
      <c r="X40" s="22"/>
      <c r="Y40" s="22"/>
      <c r="Z40" s="22"/>
      <c r="AA40" s="22"/>
      <c r="AB40" s="22"/>
      <c r="AC40" s="22"/>
      <c r="AD40" s="22"/>
      <c r="AE40" s="22"/>
      <c r="AF40" s="22"/>
      <c r="AG40" s="22"/>
      <c r="AH40" s="22"/>
      <c r="AI40" s="22"/>
      <c r="AJ40" s="22"/>
      <c r="AK40" s="22"/>
      <c r="AL40" s="22"/>
      <c r="AM40" s="22"/>
      <c r="AN40" s="22"/>
    </row>
    <row r="41" spans="1:40" x14ac:dyDescent="0.25">
      <c r="A41" s="22"/>
      <c r="B41" s="22"/>
      <c r="C41" s="22"/>
      <c r="D41" s="22"/>
      <c r="E41" s="22"/>
      <c r="F41" s="22"/>
      <c r="G41" s="22"/>
      <c r="H41" s="22"/>
      <c r="I41" s="22"/>
      <c r="J41" s="22"/>
      <c r="K41" s="22"/>
      <c r="L41" s="22"/>
      <c r="M41" s="22"/>
      <c r="N41" s="22"/>
      <c r="O41" s="22"/>
      <c r="P41" s="22"/>
      <c r="Q41" s="22"/>
      <c r="R41" s="22"/>
      <c r="S41" s="22"/>
      <c r="T41" s="22"/>
      <c r="U41" s="22"/>
      <c r="V41" s="22"/>
      <c r="W41" s="22"/>
      <c r="X41" s="22"/>
      <c r="Y41" s="22"/>
      <c r="Z41" s="22"/>
      <c r="AA41" s="22"/>
      <c r="AB41" s="22"/>
      <c r="AC41" s="22"/>
      <c r="AD41" s="22"/>
      <c r="AE41" s="22"/>
      <c r="AF41" s="22"/>
      <c r="AG41" s="22"/>
      <c r="AH41" s="22"/>
      <c r="AI41" s="22"/>
      <c r="AJ41" s="22"/>
      <c r="AK41" s="22"/>
      <c r="AL41" s="22"/>
      <c r="AM41" s="22"/>
      <c r="AN41" s="22"/>
    </row>
    <row r="42" spans="1:40" x14ac:dyDescent="0.25">
      <c r="A42" s="22"/>
      <c r="B42" s="22"/>
      <c r="C42" s="22"/>
      <c r="D42" s="22"/>
      <c r="E42" s="22"/>
      <c r="F42" s="22"/>
      <c r="G42" s="22"/>
      <c r="H42" s="22"/>
      <c r="I42" s="22"/>
      <c r="J42" s="22"/>
      <c r="K42" s="22"/>
      <c r="L42" s="22"/>
      <c r="M42" s="22"/>
      <c r="N42" s="22"/>
      <c r="O42" s="22"/>
      <c r="P42" s="22"/>
      <c r="Q42" s="22"/>
      <c r="R42" s="22"/>
      <c r="S42" s="22"/>
      <c r="T42" s="22"/>
      <c r="U42" s="22"/>
      <c r="V42" s="22"/>
      <c r="W42" s="22"/>
      <c r="X42" s="22"/>
      <c r="Y42" s="22"/>
      <c r="Z42" s="22"/>
      <c r="AA42" s="22"/>
      <c r="AB42" s="22"/>
      <c r="AC42" s="22"/>
      <c r="AD42" s="22"/>
      <c r="AE42" s="22"/>
      <c r="AF42" s="22"/>
      <c r="AG42" s="22"/>
      <c r="AH42" s="22"/>
      <c r="AI42" s="22"/>
      <c r="AJ42" s="22"/>
      <c r="AK42" s="22"/>
      <c r="AL42" s="22"/>
      <c r="AM42" s="22"/>
      <c r="AN42" s="22"/>
    </row>
    <row r="43" spans="1:40" x14ac:dyDescent="0.25">
      <c r="A43" s="22"/>
      <c r="B43" s="22"/>
      <c r="C43" s="22"/>
      <c r="D43" s="22"/>
      <c r="E43" s="22"/>
      <c r="F43" s="22"/>
      <c r="G43" s="22"/>
      <c r="H43" s="22"/>
      <c r="I43" s="22"/>
      <c r="J43" s="22"/>
      <c r="K43" s="22"/>
      <c r="L43" s="22"/>
      <c r="M43" s="22"/>
      <c r="N43" s="22"/>
      <c r="O43" s="22"/>
      <c r="P43" s="22"/>
      <c r="Q43" s="22"/>
      <c r="R43" s="22"/>
      <c r="S43" s="22"/>
      <c r="T43" s="22"/>
      <c r="U43" s="22"/>
      <c r="V43" s="22"/>
      <c r="W43" s="22"/>
      <c r="X43" s="22"/>
      <c r="Y43" s="22"/>
      <c r="Z43" s="22"/>
      <c r="AA43" s="22"/>
      <c r="AB43" s="22"/>
      <c r="AC43" s="22"/>
      <c r="AD43" s="22"/>
      <c r="AE43" s="22"/>
      <c r="AF43" s="22"/>
      <c r="AG43" s="22"/>
      <c r="AH43" s="22"/>
      <c r="AI43" s="22"/>
      <c r="AJ43" s="22"/>
      <c r="AK43" s="22"/>
      <c r="AL43" s="22"/>
      <c r="AM43" s="22"/>
      <c r="AN43" s="22"/>
    </row>
    <row r="44" spans="1:40" x14ac:dyDescent="0.25">
      <c r="A44" s="22"/>
      <c r="B44" s="22"/>
      <c r="C44" s="22"/>
      <c r="D44" s="22"/>
      <c r="E44" s="22"/>
      <c r="F44" s="22"/>
      <c r="G44" s="22"/>
      <c r="H44" s="22"/>
      <c r="I44" s="22"/>
      <c r="J44" s="22"/>
      <c r="K44" s="22"/>
      <c r="L44" s="22"/>
      <c r="M44" s="22"/>
      <c r="N44" s="22"/>
      <c r="O44" s="22"/>
      <c r="P44" s="22"/>
      <c r="Q44" s="22"/>
      <c r="R44" s="22"/>
      <c r="S44" s="22"/>
      <c r="T44" s="22"/>
      <c r="U44" s="22"/>
      <c r="V44" s="22"/>
      <c r="W44" s="22"/>
      <c r="X44" s="22"/>
      <c r="Y44" s="22"/>
      <c r="Z44" s="22"/>
      <c r="AA44" s="22"/>
      <c r="AB44" s="22"/>
      <c r="AC44" s="22"/>
      <c r="AD44" s="22"/>
      <c r="AE44" s="22"/>
      <c r="AF44" s="22"/>
      <c r="AG44" s="22"/>
      <c r="AH44" s="22"/>
      <c r="AI44" s="22"/>
      <c r="AJ44" s="22"/>
      <c r="AK44" s="22"/>
      <c r="AL44" s="22"/>
      <c r="AM44" s="22"/>
      <c r="AN44" s="22"/>
    </row>
    <row r="45" spans="1:40" x14ac:dyDescent="0.25">
      <c r="A45" s="22"/>
      <c r="B45" s="22"/>
      <c r="C45" s="22"/>
      <c r="D45" s="22"/>
      <c r="E45" s="22"/>
      <c r="F45" s="22"/>
      <c r="G45" s="22"/>
      <c r="H45" s="22"/>
      <c r="I45" s="22"/>
      <c r="J45" s="22"/>
      <c r="K45" s="22"/>
      <c r="L45" s="22"/>
      <c r="M45" s="22"/>
      <c r="N45" s="22"/>
      <c r="O45" s="22"/>
      <c r="P45" s="22"/>
      <c r="Q45" s="22"/>
      <c r="R45" s="22"/>
      <c r="S45" s="22"/>
      <c r="T45" s="22"/>
      <c r="U45" s="22"/>
      <c r="V45" s="22"/>
      <c r="W45" s="22"/>
      <c r="X45" s="22"/>
      <c r="Y45" s="22"/>
      <c r="Z45" s="22"/>
      <c r="AA45" s="22"/>
      <c r="AB45" s="22"/>
      <c r="AC45" s="22"/>
      <c r="AD45" s="22"/>
      <c r="AE45" s="22"/>
      <c r="AF45" s="22"/>
      <c r="AG45" s="22"/>
      <c r="AH45" s="22"/>
      <c r="AI45" s="22"/>
      <c r="AJ45" s="22"/>
      <c r="AK45" s="22"/>
      <c r="AL45" s="22"/>
      <c r="AM45" s="22"/>
      <c r="AN45" s="22"/>
    </row>
    <row r="46" spans="1:40" x14ac:dyDescent="0.25">
      <c r="A46" s="22"/>
      <c r="B46" s="22"/>
      <c r="C46" s="22"/>
      <c r="D46" s="22"/>
      <c r="E46" s="22"/>
      <c r="F46" s="22"/>
      <c r="G46" s="22"/>
      <c r="H46" s="22"/>
      <c r="I46" s="22"/>
      <c r="J46" s="22"/>
      <c r="K46" s="22"/>
      <c r="L46" s="22"/>
      <c r="M46" s="22"/>
      <c r="N46" s="22"/>
      <c r="O46" s="22"/>
      <c r="P46" s="22"/>
      <c r="Q46" s="22"/>
      <c r="R46" s="22"/>
      <c r="S46" s="22"/>
      <c r="T46" s="22"/>
      <c r="U46" s="22"/>
      <c r="V46" s="22"/>
      <c r="W46" s="22"/>
      <c r="X46" s="22"/>
      <c r="Y46" s="22"/>
      <c r="Z46" s="22"/>
      <c r="AA46" s="22"/>
      <c r="AB46" s="22"/>
      <c r="AC46" s="22"/>
      <c r="AD46" s="22"/>
      <c r="AE46" s="22"/>
      <c r="AF46" s="22"/>
      <c r="AG46" s="22"/>
      <c r="AH46" s="22"/>
      <c r="AI46" s="22"/>
      <c r="AJ46" s="22"/>
      <c r="AK46" s="22"/>
      <c r="AL46" s="22"/>
      <c r="AM46" s="22"/>
      <c r="AN46" s="22"/>
    </row>
    <row r="47" spans="1:40" x14ac:dyDescent="0.25">
      <c r="A47" s="22"/>
      <c r="B47" s="22"/>
      <c r="C47" s="22"/>
      <c r="D47" s="22"/>
      <c r="E47" s="22"/>
      <c r="F47" s="22"/>
      <c r="G47" s="22"/>
      <c r="H47" s="22"/>
      <c r="I47" s="22"/>
      <c r="J47" s="22"/>
      <c r="K47" s="22"/>
      <c r="L47" s="22"/>
      <c r="M47" s="22"/>
      <c r="N47" s="22"/>
      <c r="O47" s="22"/>
      <c r="P47" s="22"/>
      <c r="Q47" s="22"/>
      <c r="R47" s="22"/>
      <c r="S47" s="22"/>
      <c r="T47" s="22"/>
      <c r="U47" s="22"/>
      <c r="V47" s="22"/>
      <c r="W47" s="22"/>
      <c r="X47" s="22"/>
      <c r="Y47" s="22"/>
      <c r="Z47" s="22"/>
      <c r="AA47" s="22"/>
      <c r="AB47" s="22"/>
      <c r="AC47" s="22"/>
      <c r="AD47" s="22"/>
      <c r="AE47" s="22"/>
      <c r="AF47" s="22"/>
      <c r="AG47" s="22"/>
      <c r="AH47" s="22"/>
      <c r="AI47" s="22"/>
      <c r="AJ47" s="22"/>
      <c r="AK47" s="22"/>
      <c r="AL47" s="22"/>
      <c r="AM47" s="22"/>
      <c r="AN47" s="22"/>
    </row>
    <row r="48" spans="1:40" x14ac:dyDescent="0.25">
      <c r="A48" s="22"/>
      <c r="B48" s="22"/>
      <c r="C48" s="22"/>
      <c r="D48" s="22"/>
      <c r="E48" s="22"/>
      <c r="F48" s="22"/>
      <c r="G48" s="22"/>
      <c r="H48" s="22"/>
      <c r="I48" s="22"/>
      <c r="J48" s="22"/>
      <c r="K48" s="22"/>
      <c r="L48" s="22"/>
      <c r="M48" s="22"/>
      <c r="N48" s="22"/>
      <c r="O48" s="22"/>
      <c r="P48" s="22"/>
      <c r="Q48" s="22"/>
      <c r="R48" s="22"/>
      <c r="S48" s="22"/>
      <c r="T48" s="22"/>
      <c r="U48" s="22"/>
      <c r="V48" s="22"/>
      <c r="W48" s="22"/>
      <c r="X48" s="22"/>
      <c r="Y48" s="22"/>
      <c r="Z48" s="22"/>
      <c r="AA48" s="22"/>
      <c r="AB48" s="22"/>
      <c r="AC48" s="22"/>
      <c r="AD48" s="22"/>
      <c r="AE48" s="22"/>
      <c r="AF48" s="22"/>
      <c r="AG48" s="22"/>
      <c r="AH48" s="22"/>
      <c r="AI48" s="22"/>
      <c r="AJ48" s="22"/>
      <c r="AK48" s="22"/>
      <c r="AL48" s="22"/>
      <c r="AM48" s="22"/>
      <c r="AN48" s="22"/>
    </row>
    <row r="49" spans="1:40" x14ac:dyDescent="0.25">
      <c r="A49" s="22"/>
      <c r="B49" s="22"/>
      <c r="C49" s="22"/>
      <c r="D49" s="22"/>
      <c r="E49" s="22"/>
      <c r="F49" s="22"/>
      <c r="G49" s="22"/>
      <c r="H49" s="22"/>
      <c r="I49" s="22"/>
      <c r="J49" s="22"/>
      <c r="K49" s="22"/>
      <c r="L49" s="22"/>
      <c r="M49" s="22"/>
      <c r="N49" s="22"/>
      <c r="O49" s="22"/>
      <c r="P49" s="22"/>
      <c r="Q49" s="22"/>
      <c r="R49" s="22"/>
      <c r="S49" s="22"/>
      <c r="T49" s="22"/>
      <c r="U49" s="22"/>
      <c r="V49" s="22"/>
      <c r="W49" s="22"/>
      <c r="X49" s="22"/>
      <c r="Y49" s="22"/>
      <c r="Z49" s="22"/>
      <c r="AA49" s="22"/>
      <c r="AB49" s="22"/>
      <c r="AC49" s="22"/>
      <c r="AD49" s="22"/>
      <c r="AE49" s="22"/>
      <c r="AF49" s="22"/>
      <c r="AG49" s="22"/>
      <c r="AH49" s="22"/>
      <c r="AI49" s="22"/>
      <c r="AJ49" s="22"/>
      <c r="AK49" s="22"/>
      <c r="AL49" s="22"/>
      <c r="AM49" s="22"/>
      <c r="AN49" s="22"/>
    </row>
    <row r="50" spans="1:40" x14ac:dyDescent="0.25">
      <c r="A50" s="22"/>
      <c r="B50" s="22"/>
      <c r="C50" s="22"/>
      <c r="D50" s="22"/>
      <c r="E50" s="22"/>
      <c r="F50" s="22"/>
      <c r="G50" s="22"/>
      <c r="H50" s="22"/>
      <c r="I50" s="22"/>
      <c r="J50" s="22"/>
      <c r="K50" s="22"/>
      <c r="L50" s="22"/>
      <c r="M50" s="22"/>
      <c r="N50" s="22"/>
      <c r="O50" s="22"/>
      <c r="P50" s="22"/>
      <c r="Q50" s="22"/>
      <c r="R50" s="22"/>
      <c r="S50" s="22"/>
      <c r="T50" s="22"/>
      <c r="U50" s="22"/>
      <c r="V50" s="22"/>
      <c r="W50" s="22"/>
      <c r="X50" s="22"/>
      <c r="Y50" s="22"/>
      <c r="Z50" s="22"/>
      <c r="AA50" s="22"/>
      <c r="AB50" s="22"/>
      <c r="AC50" s="22"/>
      <c r="AD50" s="22"/>
      <c r="AE50" s="22"/>
      <c r="AF50" s="22"/>
      <c r="AG50" s="22"/>
      <c r="AH50" s="22"/>
      <c r="AI50" s="22"/>
      <c r="AJ50" s="22"/>
      <c r="AK50" s="22"/>
      <c r="AL50" s="22"/>
      <c r="AM50" s="22"/>
      <c r="AN50" s="22"/>
    </row>
    <row r="51" spans="1:40" x14ac:dyDescent="0.25">
      <c r="A51" s="22"/>
      <c r="B51" s="22"/>
      <c r="C51" s="22"/>
      <c r="D51" s="22"/>
      <c r="E51" s="22"/>
      <c r="F51" s="22"/>
      <c r="G51" s="22"/>
      <c r="H51" s="22"/>
      <c r="I51" s="22"/>
      <c r="J51" s="22"/>
      <c r="K51" s="22"/>
      <c r="L51" s="22"/>
      <c r="M51" s="22"/>
      <c r="N51" s="22"/>
      <c r="O51" s="22"/>
      <c r="P51" s="22"/>
      <c r="Q51" s="22"/>
      <c r="R51" s="22"/>
      <c r="S51" s="22"/>
      <c r="T51" s="22"/>
      <c r="U51" s="22"/>
      <c r="V51" s="22"/>
      <c r="W51" s="22"/>
      <c r="X51" s="22"/>
      <c r="Y51" s="22"/>
      <c r="Z51" s="22"/>
      <c r="AA51" s="22"/>
      <c r="AB51" s="22"/>
      <c r="AC51" s="22"/>
      <c r="AD51" s="22"/>
      <c r="AE51" s="22"/>
      <c r="AF51" s="22"/>
      <c r="AG51" s="22"/>
      <c r="AH51" s="22"/>
      <c r="AI51" s="22"/>
      <c r="AJ51" s="22"/>
      <c r="AK51" s="22"/>
      <c r="AL51" s="22"/>
      <c r="AM51" s="22"/>
      <c r="AN51" s="22"/>
    </row>
    <row r="52" spans="1:40" x14ac:dyDescent="0.25">
      <c r="A52" s="22"/>
      <c r="B52" s="22"/>
      <c r="C52" s="22"/>
      <c r="D52" s="22"/>
      <c r="E52" s="22"/>
      <c r="F52" s="22"/>
      <c r="G52" s="22"/>
      <c r="H52" s="22"/>
      <c r="I52" s="22"/>
      <c r="J52" s="22"/>
      <c r="K52" s="22"/>
      <c r="L52" s="22"/>
      <c r="M52" s="22"/>
      <c r="N52" s="22"/>
      <c r="O52" s="22"/>
      <c r="P52" s="22"/>
      <c r="Q52" s="22"/>
      <c r="R52" s="22"/>
      <c r="S52" s="22"/>
      <c r="T52" s="22"/>
      <c r="U52" s="22"/>
      <c r="V52" s="22"/>
      <c r="W52" s="22"/>
      <c r="X52" s="22"/>
      <c r="Y52" s="22"/>
      <c r="Z52" s="22"/>
      <c r="AA52" s="22"/>
      <c r="AB52" s="22"/>
      <c r="AC52" s="22"/>
      <c r="AD52" s="22"/>
      <c r="AE52" s="22"/>
      <c r="AF52" s="22"/>
      <c r="AG52" s="22"/>
      <c r="AH52" s="22"/>
      <c r="AI52" s="22"/>
      <c r="AJ52" s="22"/>
      <c r="AK52" s="22"/>
      <c r="AL52" s="22"/>
      <c r="AM52" s="22"/>
      <c r="AN52" s="22"/>
    </row>
    <row r="53" spans="1:40" x14ac:dyDescent="0.25">
      <c r="A53" s="22"/>
      <c r="B53" s="22"/>
      <c r="C53" s="22"/>
      <c r="D53" s="22"/>
      <c r="E53" s="22"/>
      <c r="F53" s="22"/>
      <c r="G53" s="22"/>
      <c r="H53" s="22"/>
      <c r="I53" s="22"/>
      <c r="J53" s="22"/>
      <c r="K53" s="22"/>
      <c r="L53" s="22"/>
      <c r="M53" s="22"/>
      <c r="N53" s="22"/>
      <c r="O53" s="22"/>
      <c r="P53" s="22"/>
      <c r="Q53" s="22"/>
      <c r="R53" s="22"/>
      <c r="S53" s="22"/>
      <c r="T53" s="22"/>
      <c r="U53" s="22"/>
      <c r="V53" s="22"/>
      <c r="W53" s="22"/>
      <c r="X53" s="22"/>
      <c r="Y53" s="22"/>
      <c r="Z53" s="22"/>
      <c r="AA53" s="22"/>
      <c r="AB53" s="22"/>
      <c r="AC53" s="22"/>
      <c r="AD53" s="22"/>
      <c r="AE53" s="22"/>
      <c r="AF53" s="22"/>
      <c r="AG53" s="22"/>
      <c r="AH53" s="22"/>
      <c r="AI53" s="22"/>
      <c r="AJ53" s="22"/>
      <c r="AK53" s="22"/>
      <c r="AL53" s="22"/>
      <c r="AM53" s="22"/>
      <c r="AN53" s="22"/>
    </row>
    <row r="54" spans="1:40" x14ac:dyDescent="0.25">
      <c r="A54" s="22"/>
      <c r="B54" s="22"/>
      <c r="C54" s="22"/>
      <c r="D54" s="22"/>
      <c r="E54" s="22"/>
      <c r="F54" s="22"/>
      <c r="G54" s="22"/>
      <c r="H54" s="22"/>
      <c r="I54" s="22"/>
      <c r="J54" s="22"/>
      <c r="K54" s="22"/>
      <c r="L54" s="22"/>
      <c r="M54" s="22"/>
      <c r="N54" s="22"/>
      <c r="O54" s="22"/>
      <c r="P54" s="22"/>
      <c r="Q54" s="22"/>
      <c r="R54" s="22"/>
      <c r="S54" s="22"/>
      <c r="T54" s="22"/>
      <c r="U54" s="22"/>
      <c r="V54" s="22"/>
      <c r="W54" s="22"/>
      <c r="X54" s="22"/>
      <c r="Y54" s="22"/>
      <c r="Z54" s="22"/>
      <c r="AA54" s="22"/>
      <c r="AB54" s="22"/>
      <c r="AC54" s="22"/>
      <c r="AD54" s="22"/>
      <c r="AE54" s="22"/>
      <c r="AF54" s="22"/>
      <c r="AG54" s="22"/>
      <c r="AH54" s="22"/>
      <c r="AI54" s="22"/>
      <c r="AJ54" s="22"/>
      <c r="AK54" s="22"/>
      <c r="AL54" s="22"/>
      <c r="AM54" s="22"/>
      <c r="AN54" s="22"/>
    </row>
    <row r="55" spans="1:40" x14ac:dyDescent="0.25">
      <c r="A55" s="22"/>
      <c r="B55" s="22"/>
      <c r="C55" s="22"/>
      <c r="D55" s="22"/>
      <c r="E55" s="22"/>
      <c r="F55" s="22"/>
      <c r="G55" s="22"/>
      <c r="H55" s="22"/>
      <c r="I55" s="22"/>
      <c r="J55" s="22"/>
      <c r="K55" s="22"/>
      <c r="L55" s="22"/>
      <c r="M55" s="22"/>
      <c r="N55" s="22"/>
      <c r="O55" s="22"/>
      <c r="P55" s="22"/>
      <c r="Q55" s="22"/>
      <c r="R55" s="22"/>
      <c r="S55" s="22"/>
      <c r="T55" s="22"/>
      <c r="U55" s="22"/>
      <c r="V55" s="22"/>
      <c r="W55" s="22"/>
      <c r="X55" s="22"/>
      <c r="Y55" s="22"/>
      <c r="Z55" s="22"/>
      <c r="AA55" s="22"/>
      <c r="AB55" s="22"/>
      <c r="AC55" s="22"/>
      <c r="AD55" s="22"/>
      <c r="AE55" s="22"/>
      <c r="AF55" s="22"/>
      <c r="AG55" s="22"/>
      <c r="AH55" s="22"/>
      <c r="AI55" s="22"/>
      <c r="AJ55" s="22"/>
      <c r="AK55" s="22"/>
      <c r="AL55" s="22"/>
      <c r="AM55" s="22"/>
      <c r="AN55" s="22"/>
    </row>
    <row r="56" spans="1:40" x14ac:dyDescent="0.25">
      <c r="A56" s="22"/>
      <c r="B56" s="22"/>
      <c r="C56" s="22"/>
      <c r="D56" s="22"/>
      <c r="E56" s="22"/>
      <c r="F56" s="22"/>
      <c r="G56" s="22"/>
      <c r="H56" s="22"/>
      <c r="I56" s="22"/>
      <c r="J56" s="22"/>
      <c r="K56" s="22"/>
      <c r="L56" s="22"/>
      <c r="M56" s="22"/>
      <c r="N56" s="22"/>
      <c r="O56" s="22"/>
      <c r="P56" s="22"/>
      <c r="Q56" s="22"/>
      <c r="R56" s="22"/>
      <c r="S56" s="22"/>
      <c r="T56" s="22"/>
      <c r="U56" s="22"/>
      <c r="V56" s="22"/>
      <c r="W56" s="22"/>
      <c r="X56" s="22"/>
      <c r="Y56" s="22"/>
      <c r="Z56" s="22"/>
      <c r="AA56" s="22"/>
      <c r="AB56" s="22"/>
      <c r="AC56" s="22"/>
      <c r="AD56" s="22"/>
      <c r="AE56" s="22"/>
      <c r="AF56" s="22"/>
      <c r="AG56" s="22"/>
      <c r="AH56" s="22"/>
      <c r="AI56" s="22"/>
      <c r="AJ56" s="22"/>
      <c r="AK56" s="22"/>
      <c r="AL56" s="22"/>
      <c r="AM56" s="22"/>
      <c r="AN56" s="22"/>
    </row>
    <row r="57" spans="1:40" x14ac:dyDescent="0.25">
      <c r="A57" s="22"/>
      <c r="B57" s="22"/>
      <c r="C57" s="22"/>
      <c r="D57" s="22"/>
      <c r="E57" s="22"/>
      <c r="F57" s="22"/>
      <c r="G57" s="22"/>
      <c r="H57" s="22"/>
      <c r="I57" s="22"/>
      <c r="J57" s="22"/>
      <c r="K57" s="22"/>
      <c r="L57" s="22"/>
      <c r="M57" s="22"/>
      <c r="N57" s="22"/>
      <c r="O57" s="22"/>
      <c r="P57" s="22"/>
      <c r="Q57" s="22"/>
      <c r="R57" s="22"/>
      <c r="S57" s="22"/>
      <c r="T57" s="22"/>
      <c r="U57" s="22"/>
      <c r="V57" s="22"/>
      <c r="W57" s="22"/>
      <c r="X57" s="22"/>
      <c r="Y57" s="22"/>
      <c r="Z57" s="22"/>
      <c r="AA57" s="22"/>
      <c r="AB57" s="22"/>
      <c r="AC57" s="22"/>
      <c r="AD57" s="22"/>
      <c r="AE57" s="22"/>
      <c r="AF57" s="22"/>
      <c r="AG57" s="22"/>
      <c r="AH57" s="22"/>
      <c r="AI57" s="22"/>
      <c r="AJ57" s="22"/>
      <c r="AK57" s="22"/>
      <c r="AL57" s="22"/>
      <c r="AM57" s="22"/>
      <c r="AN57" s="22"/>
    </row>
    <row r="58" spans="1:40" x14ac:dyDescent="0.25">
      <c r="A58" s="22"/>
      <c r="B58" s="22"/>
      <c r="C58" s="22"/>
      <c r="D58" s="22"/>
      <c r="E58" s="22"/>
      <c r="F58" s="22"/>
      <c r="G58" s="22"/>
      <c r="H58" s="22"/>
      <c r="I58" s="22"/>
      <c r="J58" s="22"/>
      <c r="K58" s="22"/>
      <c r="L58" s="22"/>
      <c r="M58" s="22"/>
      <c r="N58" s="22"/>
      <c r="O58" s="22"/>
      <c r="P58" s="22"/>
      <c r="Q58" s="22"/>
      <c r="R58" s="22"/>
      <c r="S58" s="22"/>
      <c r="T58" s="22"/>
      <c r="U58" s="22"/>
      <c r="V58" s="22"/>
      <c r="W58" s="22"/>
      <c r="X58" s="22"/>
      <c r="Y58" s="22"/>
      <c r="Z58" s="22"/>
      <c r="AA58" s="22"/>
      <c r="AB58" s="22"/>
      <c r="AC58" s="22"/>
      <c r="AD58" s="22"/>
      <c r="AE58" s="22"/>
      <c r="AF58" s="22"/>
      <c r="AG58" s="22"/>
      <c r="AH58" s="22"/>
      <c r="AI58" s="22"/>
      <c r="AJ58" s="22"/>
      <c r="AK58" s="22"/>
      <c r="AL58" s="22"/>
      <c r="AM58" s="22"/>
      <c r="AN58" s="22"/>
    </row>
    <row r="59" spans="1:40" x14ac:dyDescent="0.25">
      <c r="A59" s="22"/>
      <c r="B59" s="22"/>
      <c r="C59" s="22"/>
      <c r="D59" s="22"/>
      <c r="E59" s="22"/>
      <c r="F59" s="22"/>
      <c r="G59" s="22"/>
      <c r="H59" s="22"/>
      <c r="I59" s="22"/>
      <c r="J59" s="22"/>
      <c r="K59" s="22"/>
      <c r="L59" s="22"/>
      <c r="M59" s="22"/>
      <c r="N59" s="22"/>
      <c r="O59" s="22"/>
      <c r="P59" s="22"/>
      <c r="Q59" s="22"/>
      <c r="R59" s="22"/>
      <c r="S59" s="22"/>
      <c r="T59" s="22"/>
      <c r="U59" s="22"/>
      <c r="V59" s="22"/>
      <c r="W59" s="22"/>
      <c r="X59" s="22"/>
      <c r="Y59" s="22"/>
      <c r="Z59" s="22"/>
      <c r="AA59" s="22"/>
      <c r="AB59" s="22"/>
      <c r="AC59" s="22"/>
      <c r="AD59" s="22"/>
      <c r="AE59" s="22"/>
      <c r="AF59" s="22"/>
      <c r="AG59" s="22"/>
      <c r="AH59" s="22"/>
      <c r="AI59" s="22"/>
      <c r="AJ59" s="22"/>
      <c r="AK59" s="22"/>
      <c r="AL59" s="22"/>
      <c r="AM59" s="22"/>
      <c r="AN59" s="22"/>
    </row>
    <row r="60" spans="1:40" x14ac:dyDescent="0.25">
      <c r="A60" s="22"/>
      <c r="B60" s="22"/>
      <c r="C60" s="22"/>
      <c r="D60" s="22"/>
      <c r="E60" s="22"/>
      <c r="F60" s="22"/>
      <c r="G60" s="22"/>
      <c r="H60" s="22"/>
      <c r="I60" s="22"/>
      <c r="J60" s="22"/>
      <c r="K60" s="22"/>
      <c r="L60" s="22"/>
      <c r="M60" s="22"/>
      <c r="N60" s="22"/>
      <c r="O60" s="22"/>
      <c r="P60" s="22"/>
      <c r="Q60" s="22"/>
      <c r="R60" s="22"/>
      <c r="S60" s="22"/>
      <c r="T60" s="22"/>
      <c r="U60" s="22"/>
      <c r="V60" s="22"/>
      <c r="W60" s="22"/>
      <c r="X60" s="22"/>
      <c r="Y60" s="22"/>
      <c r="Z60" s="22"/>
      <c r="AA60" s="22"/>
      <c r="AB60" s="22"/>
      <c r="AC60" s="22"/>
      <c r="AD60" s="22"/>
      <c r="AE60" s="22"/>
      <c r="AF60" s="22"/>
      <c r="AG60" s="22"/>
      <c r="AH60" s="22"/>
      <c r="AI60" s="22"/>
      <c r="AJ60" s="22"/>
      <c r="AK60" s="22"/>
      <c r="AL60" s="22"/>
      <c r="AM60" s="22"/>
      <c r="AN60" s="22"/>
    </row>
    <row r="61" spans="1:40" x14ac:dyDescent="0.25">
      <c r="A61" s="22"/>
      <c r="B61" s="22"/>
      <c r="C61" s="22"/>
      <c r="D61" s="22"/>
      <c r="E61" s="22"/>
      <c r="F61" s="22"/>
      <c r="G61" s="22"/>
      <c r="H61" s="22"/>
      <c r="I61" s="22"/>
      <c r="J61" s="22"/>
      <c r="K61" s="22"/>
      <c r="L61" s="22"/>
      <c r="M61" s="22"/>
      <c r="N61" s="22"/>
      <c r="O61" s="22"/>
      <c r="P61" s="22"/>
      <c r="Q61" s="22"/>
      <c r="R61" s="22"/>
      <c r="S61" s="22"/>
      <c r="T61" s="22"/>
      <c r="U61" s="22"/>
      <c r="V61" s="22"/>
      <c r="W61" s="22"/>
      <c r="X61" s="22"/>
      <c r="Y61" s="22"/>
      <c r="Z61" s="22"/>
      <c r="AA61" s="22"/>
      <c r="AB61" s="22"/>
      <c r="AC61" s="22"/>
      <c r="AD61" s="22"/>
      <c r="AE61" s="22"/>
      <c r="AF61" s="22"/>
      <c r="AG61" s="22"/>
      <c r="AH61" s="22"/>
      <c r="AI61" s="22"/>
      <c r="AJ61" s="22"/>
      <c r="AK61" s="22"/>
      <c r="AL61" s="22"/>
      <c r="AM61" s="22"/>
      <c r="AN61" s="22"/>
    </row>
    <row r="62" spans="1:40" x14ac:dyDescent="0.25">
      <c r="A62" s="22"/>
      <c r="B62" s="22"/>
      <c r="C62" s="22"/>
      <c r="D62" s="22"/>
      <c r="E62" s="22"/>
      <c r="F62" s="22"/>
      <c r="G62" s="22"/>
      <c r="H62" s="22"/>
      <c r="I62" s="22"/>
      <c r="J62" s="22"/>
      <c r="K62" s="22"/>
      <c r="L62" s="22"/>
      <c r="M62" s="22"/>
      <c r="N62" s="22"/>
      <c r="O62" s="22"/>
      <c r="P62" s="22"/>
      <c r="Q62" s="22"/>
      <c r="R62" s="22"/>
      <c r="S62" s="22"/>
      <c r="T62" s="22"/>
      <c r="U62" s="22"/>
      <c r="V62" s="22"/>
      <c r="W62" s="22"/>
      <c r="X62" s="22"/>
      <c r="Y62" s="22"/>
      <c r="Z62" s="22"/>
      <c r="AA62" s="22"/>
      <c r="AB62" s="22"/>
      <c r="AC62" s="22"/>
      <c r="AD62" s="22"/>
      <c r="AE62" s="22"/>
      <c r="AF62" s="22"/>
      <c r="AG62" s="22"/>
      <c r="AH62" s="22"/>
      <c r="AI62" s="22"/>
      <c r="AJ62" s="22"/>
      <c r="AK62" s="22"/>
      <c r="AL62" s="22"/>
      <c r="AM62" s="22"/>
      <c r="AN62" s="22"/>
    </row>
    <row r="63" spans="1:40" x14ac:dyDescent="0.25">
      <c r="A63" s="22"/>
      <c r="B63" s="22"/>
      <c r="C63" s="22"/>
      <c r="D63" s="22"/>
      <c r="E63" s="22"/>
      <c r="F63" s="22"/>
      <c r="G63" s="22"/>
      <c r="H63" s="22"/>
      <c r="I63" s="22"/>
      <c r="J63" s="22"/>
      <c r="K63" s="22"/>
      <c r="L63" s="22"/>
      <c r="M63" s="22"/>
      <c r="N63" s="22"/>
      <c r="O63" s="22"/>
      <c r="P63" s="22"/>
      <c r="Q63" s="22"/>
      <c r="R63" s="22"/>
      <c r="S63" s="22"/>
      <c r="T63" s="22"/>
      <c r="U63" s="22"/>
      <c r="V63" s="22"/>
      <c r="W63" s="22"/>
      <c r="X63" s="22"/>
      <c r="Y63" s="22"/>
      <c r="Z63" s="22"/>
      <c r="AA63" s="22"/>
      <c r="AB63" s="22"/>
      <c r="AC63" s="22"/>
      <c r="AD63" s="22"/>
      <c r="AE63" s="22"/>
      <c r="AF63" s="22"/>
      <c r="AG63" s="22"/>
      <c r="AH63" s="22"/>
      <c r="AI63" s="22"/>
      <c r="AJ63" s="22"/>
      <c r="AK63" s="22"/>
      <c r="AL63" s="22"/>
      <c r="AM63" s="22"/>
      <c r="AN63" s="22"/>
    </row>
    <row r="64" spans="1:40" x14ac:dyDescent="0.25">
      <c r="A64" s="22"/>
      <c r="B64" s="22"/>
      <c r="C64" s="22"/>
      <c r="D64" s="22"/>
      <c r="E64" s="22"/>
      <c r="F64" s="22"/>
      <c r="G64" s="22"/>
      <c r="H64" s="22"/>
      <c r="I64" s="22"/>
      <c r="J64" s="22"/>
      <c r="K64" s="22"/>
      <c r="L64" s="22"/>
      <c r="M64" s="22"/>
      <c r="N64" s="22"/>
      <c r="O64" s="22"/>
      <c r="P64" s="22"/>
      <c r="Q64" s="22"/>
      <c r="R64" s="22"/>
      <c r="S64" s="22"/>
      <c r="T64" s="22"/>
      <c r="U64" s="22"/>
      <c r="V64" s="22"/>
      <c r="W64" s="22"/>
      <c r="X64" s="22"/>
      <c r="Y64" s="22"/>
      <c r="Z64" s="22"/>
      <c r="AA64" s="22"/>
      <c r="AB64" s="22"/>
      <c r="AC64" s="22"/>
      <c r="AD64" s="22"/>
      <c r="AE64" s="22"/>
      <c r="AF64" s="22"/>
      <c r="AG64" s="22"/>
      <c r="AH64" s="22"/>
      <c r="AI64" s="22"/>
      <c r="AJ64" s="22"/>
      <c r="AK64" s="22"/>
      <c r="AL64" s="22"/>
      <c r="AM64" s="22"/>
      <c r="AN64" s="22"/>
    </row>
    <row r="65" spans="1:40" x14ac:dyDescent="0.25">
      <c r="A65" s="22"/>
      <c r="B65" s="22"/>
      <c r="C65" s="22"/>
      <c r="D65" s="22"/>
      <c r="E65" s="22"/>
      <c r="F65" s="22"/>
      <c r="G65" s="22"/>
      <c r="H65" s="22"/>
      <c r="I65" s="22"/>
      <c r="J65" s="22"/>
      <c r="K65" s="22"/>
      <c r="L65" s="22"/>
      <c r="M65" s="22"/>
      <c r="N65" s="22"/>
      <c r="O65" s="22"/>
      <c r="P65" s="22"/>
      <c r="Q65" s="22"/>
      <c r="R65" s="22"/>
      <c r="S65" s="22"/>
      <c r="T65" s="22"/>
      <c r="U65" s="22"/>
      <c r="V65" s="22"/>
      <c r="W65" s="22"/>
      <c r="X65" s="22"/>
      <c r="Y65" s="22"/>
      <c r="Z65" s="22"/>
      <c r="AA65" s="22"/>
      <c r="AB65" s="22"/>
      <c r="AC65" s="22"/>
      <c r="AD65" s="22"/>
      <c r="AE65" s="22"/>
      <c r="AF65" s="22"/>
      <c r="AG65" s="22"/>
      <c r="AH65" s="22"/>
      <c r="AI65" s="22"/>
      <c r="AJ65" s="22"/>
      <c r="AK65" s="22"/>
      <c r="AL65" s="22"/>
      <c r="AM65" s="22"/>
      <c r="AN65" s="22"/>
    </row>
    <row r="66" spans="1:40" x14ac:dyDescent="0.25">
      <c r="A66" s="22"/>
      <c r="B66" s="22"/>
      <c r="C66" s="22"/>
      <c r="D66" s="22"/>
      <c r="E66" s="22"/>
      <c r="F66" s="22"/>
      <c r="G66" s="22"/>
      <c r="H66" s="22"/>
      <c r="I66" s="22"/>
      <c r="J66" s="22"/>
      <c r="K66" s="22"/>
      <c r="L66" s="22"/>
      <c r="M66" s="22"/>
      <c r="N66" s="22"/>
      <c r="O66" s="22"/>
      <c r="P66" s="22"/>
      <c r="Q66" s="22"/>
      <c r="R66" s="22"/>
      <c r="S66" s="22"/>
      <c r="T66" s="22"/>
      <c r="U66" s="22"/>
      <c r="V66" s="22"/>
      <c r="W66" s="22"/>
      <c r="X66" s="22"/>
      <c r="Y66" s="22"/>
      <c r="Z66" s="22"/>
      <c r="AA66" s="22"/>
      <c r="AB66" s="22"/>
      <c r="AC66" s="22"/>
      <c r="AD66" s="22"/>
      <c r="AE66" s="22"/>
      <c r="AF66" s="22"/>
      <c r="AG66" s="22"/>
      <c r="AH66" s="22"/>
      <c r="AI66" s="22"/>
      <c r="AJ66" s="22"/>
      <c r="AK66" s="22"/>
      <c r="AL66" s="22"/>
      <c r="AM66" s="22"/>
      <c r="AN66" s="22"/>
    </row>
    <row r="67" spans="1:40" x14ac:dyDescent="0.25">
      <c r="A67" s="22"/>
      <c r="B67" s="22"/>
      <c r="C67" s="22"/>
      <c r="D67" s="22"/>
      <c r="E67" s="22"/>
      <c r="F67" s="22"/>
      <c r="G67" s="22"/>
      <c r="H67" s="22"/>
      <c r="I67" s="22"/>
      <c r="J67" s="22"/>
      <c r="K67" s="22"/>
      <c r="L67" s="22"/>
      <c r="M67" s="22"/>
      <c r="N67" s="22"/>
      <c r="O67" s="22"/>
      <c r="P67" s="22"/>
      <c r="Q67" s="22"/>
      <c r="R67" s="22"/>
      <c r="S67" s="22"/>
      <c r="T67" s="22"/>
      <c r="U67" s="22"/>
      <c r="V67" s="22"/>
      <c r="W67" s="22"/>
      <c r="X67" s="22"/>
      <c r="Y67" s="22"/>
      <c r="Z67" s="22"/>
      <c r="AA67" s="22"/>
      <c r="AB67" s="22"/>
      <c r="AC67" s="22"/>
      <c r="AD67" s="22"/>
      <c r="AE67" s="22"/>
      <c r="AF67" s="22"/>
      <c r="AG67" s="22"/>
      <c r="AH67" s="22"/>
      <c r="AI67" s="22"/>
      <c r="AJ67" s="22"/>
      <c r="AK67" s="22"/>
      <c r="AL67" s="22"/>
      <c r="AM67" s="22"/>
      <c r="AN67" s="22"/>
    </row>
    <row r="68" spans="1:40" x14ac:dyDescent="0.25">
      <c r="A68" s="22"/>
      <c r="B68" s="22"/>
      <c r="C68" s="22"/>
      <c r="D68" s="22"/>
      <c r="E68" s="22"/>
      <c r="F68" s="22"/>
      <c r="G68" s="22"/>
      <c r="H68" s="22"/>
      <c r="I68" s="22"/>
      <c r="J68" s="22"/>
      <c r="K68" s="22"/>
      <c r="L68" s="22"/>
      <c r="M68" s="22"/>
      <c r="N68" s="22"/>
      <c r="O68" s="22"/>
      <c r="P68" s="22"/>
      <c r="Q68" s="22"/>
      <c r="R68" s="22"/>
      <c r="S68" s="22"/>
      <c r="T68" s="22"/>
      <c r="U68" s="22"/>
      <c r="V68" s="22"/>
      <c r="W68" s="22"/>
      <c r="X68" s="22"/>
      <c r="Y68" s="22"/>
      <c r="Z68" s="22"/>
      <c r="AA68" s="22"/>
      <c r="AB68" s="22"/>
      <c r="AC68" s="22"/>
      <c r="AD68" s="22"/>
      <c r="AE68" s="22"/>
      <c r="AF68" s="22"/>
      <c r="AG68" s="22"/>
      <c r="AH68" s="22"/>
      <c r="AI68" s="22"/>
      <c r="AJ68" s="22"/>
      <c r="AK68" s="22"/>
      <c r="AL68" s="22"/>
      <c r="AM68" s="22"/>
      <c r="AN68" s="22"/>
    </row>
    <row r="69" spans="1:40" x14ac:dyDescent="0.25">
      <c r="A69" s="22"/>
      <c r="B69" s="22"/>
      <c r="C69" s="22"/>
      <c r="D69" s="22"/>
      <c r="E69" s="22"/>
      <c r="F69" s="22"/>
      <c r="G69" s="22"/>
      <c r="H69" s="22"/>
      <c r="I69" s="22"/>
      <c r="J69" s="22"/>
      <c r="K69" s="22"/>
      <c r="L69" s="22"/>
      <c r="M69" s="22"/>
      <c r="N69" s="22"/>
      <c r="O69" s="22"/>
      <c r="P69" s="22"/>
      <c r="Q69" s="22"/>
      <c r="R69" s="22"/>
      <c r="S69" s="22"/>
      <c r="T69" s="22"/>
      <c r="U69" s="22"/>
      <c r="V69" s="22"/>
      <c r="W69" s="22"/>
      <c r="X69" s="22"/>
      <c r="Y69" s="22"/>
      <c r="Z69" s="22"/>
      <c r="AA69" s="22"/>
      <c r="AB69" s="22"/>
      <c r="AC69" s="22"/>
      <c r="AD69" s="22"/>
      <c r="AE69" s="22"/>
      <c r="AF69" s="22"/>
      <c r="AG69" s="22"/>
      <c r="AH69" s="22"/>
      <c r="AI69" s="22"/>
      <c r="AJ69" s="22"/>
      <c r="AK69" s="22"/>
      <c r="AL69" s="22"/>
      <c r="AM69" s="22"/>
      <c r="AN69" s="22"/>
    </row>
    <row r="70" spans="1:40" x14ac:dyDescent="0.25">
      <c r="A70" s="22"/>
      <c r="B70" s="22"/>
      <c r="C70" s="22"/>
      <c r="D70" s="22"/>
      <c r="E70" s="22"/>
      <c r="F70" s="22"/>
      <c r="G70" s="22"/>
      <c r="H70" s="22"/>
      <c r="I70" s="22"/>
      <c r="J70" s="22"/>
      <c r="K70" s="22"/>
      <c r="L70" s="22"/>
      <c r="M70" s="22"/>
      <c r="N70" s="22"/>
      <c r="O70" s="22"/>
      <c r="P70" s="22"/>
      <c r="Q70" s="22"/>
      <c r="R70" s="22"/>
      <c r="S70" s="22"/>
      <c r="T70" s="22"/>
      <c r="U70" s="22"/>
      <c r="V70" s="22"/>
      <c r="W70" s="22"/>
      <c r="X70" s="22"/>
      <c r="Y70" s="22"/>
      <c r="Z70" s="22"/>
      <c r="AA70" s="22"/>
      <c r="AB70" s="22"/>
      <c r="AC70" s="22"/>
      <c r="AD70" s="22"/>
      <c r="AE70" s="22"/>
      <c r="AF70" s="22"/>
      <c r="AG70" s="22"/>
      <c r="AH70" s="22"/>
      <c r="AI70" s="22"/>
      <c r="AJ70" s="22"/>
      <c r="AK70" s="22"/>
      <c r="AL70" s="22"/>
      <c r="AM70" s="22"/>
      <c r="AN70" s="22"/>
    </row>
    <row r="71" spans="1:40" x14ac:dyDescent="0.25">
      <c r="A71" s="22"/>
      <c r="B71" s="22"/>
      <c r="C71" s="22"/>
      <c r="D71" s="22"/>
      <c r="E71" s="22"/>
      <c r="F71" s="22"/>
      <c r="G71" s="22"/>
      <c r="H71" s="22"/>
      <c r="I71" s="22"/>
      <c r="J71" s="22"/>
      <c r="K71" s="22"/>
      <c r="L71" s="22"/>
      <c r="M71" s="22"/>
      <c r="N71" s="22"/>
      <c r="O71" s="22"/>
      <c r="P71" s="22"/>
      <c r="Q71" s="22"/>
      <c r="R71" s="22"/>
      <c r="S71" s="22"/>
      <c r="T71" s="22"/>
      <c r="U71" s="22"/>
      <c r="V71" s="22"/>
      <c r="W71" s="22"/>
      <c r="X71" s="22"/>
      <c r="Y71" s="22"/>
      <c r="Z71" s="22"/>
      <c r="AA71" s="22"/>
      <c r="AB71" s="22"/>
      <c r="AC71" s="22"/>
      <c r="AD71" s="22"/>
      <c r="AE71" s="22"/>
      <c r="AF71" s="22"/>
      <c r="AG71" s="22"/>
      <c r="AH71" s="22"/>
      <c r="AI71" s="22"/>
      <c r="AJ71" s="22"/>
      <c r="AK71" s="22"/>
      <c r="AL71" s="22"/>
      <c r="AM71" s="22"/>
      <c r="AN71" s="22"/>
    </row>
    <row r="72" spans="1:40" x14ac:dyDescent="0.25">
      <c r="A72" s="22"/>
      <c r="B72" s="22"/>
      <c r="C72" s="22"/>
      <c r="D72" s="22"/>
      <c r="E72" s="22"/>
      <c r="F72" s="22"/>
      <c r="G72" s="22"/>
      <c r="H72" s="22"/>
      <c r="I72" s="22"/>
      <c r="J72" s="22"/>
      <c r="K72" s="22"/>
      <c r="L72" s="22"/>
      <c r="M72" s="22"/>
      <c r="N72" s="22"/>
      <c r="O72" s="22"/>
      <c r="P72" s="22"/>
      <c r="Q72" s="22"/>
      <c r="R72" s="22"/>
      <c r="S72" s="22"/>
      <c r="T72" s="22"/>
      <c r="U72" s="22"/>
      <c r="V72" s="22"/>
      <c r="W72" s="22"/>
      <c r="X72" s="22"/>
      <c r="Y72" s="22"/>
      <c r="Z72" s="22"/>
      <c r="AA72" s="22"/>
      <c r="AB72" s="22"/>
      <c r="AC72" s="22"/>
      <c r="AD72" s="22"/>
      <c r="AE72" s="22"/>
      <c r="AF72" s="22"/>
      <c r="AG72" s="22"/>
      <c r="AH72" s="22"/>
      <c r="AI72" s="22"/>
      <c r="AJ72" s="22"/>
      <c r="AK72" s="22"/>
      <c r="AL72" s="22"/>
      <c r="AM72" s="22"/>
      <c r="AN72" s="22"/>
    </row>
    <row r="73" spans="1:40" x14ac:dyDescent="0.25">
      <c r="A73" s="22"/>
      <c r="B73" s="22"/>
      <c r="C73" s="22"/>
      <c r="D73" s="22"/>
      <c r="E73" s="22"/>
      <c r="F73" s="22"/>
      <c r="G73" s="22"/>
      <c r="H73" s="22"/>
      <c r="I73" s="22"/>
      <c r="J73" s="22"/>
      <c r="K73" s="22"/>
      <c r="L73" s="22"/>
      <c r="M73" s="22"/>
      <c r="N73" s="22"/>
      <c r="O73" s="22"/>
      <c r="P73" s="22"/>
      <c r="Q73" s="22"/>
      <c r="R73" s="22"/>
      <c r="S73" s="22"/>
      <c r="T73" s="22"/>
      <c r="U73" s="22"/>
      <c r="V73" s="22"/>
      <c r="W73" s="22"/>
      <c r="X73" s="22"/>
      <c r="Y73" s="22"/>
      <c r="Z73" s="22"/>
      <c r="AA73" s="22"/>
      <c r="AB73" s="22"/>
      <c r="AC73" s="22"/>
      <c r="AD73" s="22"/>
      <c r="AE73" s="22"/>
      <c r="AF73" s="22"/>
      <c r="AG73" s="22"/>
      <c r="AH73" s="22"/>
      <c r="AI73" s="22"/>
      <c r="AJ73" s="22"/>
      <c r="AK73" s="22"/>
      <c r="AL73" s="22"/>
      <c r="AM73" s="22"/>
      <c r="AN73" s="22"/>
    </row>
    <row r="74" spans="1:40" x14ac:dyDescent="0.25">
      <c r="A74" s="22"/>
      <c r="B74" s="22"/>
      <c r="C74" s="22"/>
      <c r="D74" s="22"/>
      <c r="E74" s="22"/>
      <c r="F74" s="22"/>
      <c r="G74" s="22"/>
      <c r="H74" s="22"/>
      <c r="I74" s="22"/>
      <c r="J74" s="22"/>
      <c r="K74" s="22"/>
      <c r="L74" s="22"/>
      <c r="M74" s="22"/>
      <c r="N74" s="22"/>
      <c r="O74" s="22"/>
      <c r="P74" s="22"/>
      <c r="Q74" s="22"/>
      <c r="R74" s="22"/>
      <c r="S74" s="22"/>
      <c r="T74" s="22"/>
      <c r="U74" s="22"/>
      <c r="V74" s="22"/>
      <c r="W74" s="22"/>
      <c r="X74" s="22"/>
      <c r="Y74" s="22"/>
      <c r="Z74" s="22"/>
      <c r="AA74" s="22"/>
      <c r="AB74" s="22"/>
      <c r="AC74" s="22"/>
      <c r="AD74" s="22"/>
      <c r="AE74" s="22"/>
      <c r="AF74" s="22"/>
      <c r="AG74" s="22"/>
      <c r="AH74" s="22"/>
      <c r="AI74" s="22"/>
      <c r="AJ74" s="22"/>
      <c r="AK74" s="22"/>
      <c r="AL74" s="22"/>
      <c r="AM74" s="22"/>
      <c r="AN74" s="22"/>
    </row>
    <row r="75" spans="1:40" x14ac:dyDescent="0.25">
      <c r="A75" s="22"/>
      <c r="B75" s="22"/>
      <c r="C75" s="22"/>
      <c r="D75" s="22"/>
      <c r="E75" s="22"/>
      <c r="F75" s="22"/>
      <c r="G75" s="22"/>
      <c r="H75" s="22"/>
      <c r="I75" s="22"/>
      <c r="J75" s="22"/>
      <c r="K75" s="22"/>
      <c r="L75" s="22"/>
      <c r="M75" s="22"/>
      <c r="N75" s="22"/>
      <c r="O75" s="22"/>
      <c r="P75" s="22"/>
      <c r="Q75" s="22"/>
      <c r="R75" s="22"/>
      <c r="S75" s="22"/>
      <c r="T75" s="22"/>
      <c r="U75" s="22"/>
      <c r="V75" s="22"/>
      <c r="W75" s="22"/>
      <c r="X75" s="22"/>
      <c r="Y75" s="22"/>
      <c r="Z75" s="22"/>
      <c r="AA75" s="22"/>
      <c r="AB75" s="22"/>
      <c r="AC75" s="22"/>
      <c r="AD75" s="22"/>
      <c r="AE75" s="22"/>
      <c r="AF75" s="22"/>
      <c r="AG75" s="22"/>
      <c r="AH75" s="22"/>
      <c r="AI75" s="22"/>
      <c r="AJ75" s="22"/>
      <c r="AK75" s="22"/>
      <c r="AL75" s="22"/>
      <c r="AM75" s="22"/>
      <c r="AN75" s="22"/>
    </row>
    <row r="76" spans="1:40" x14ac:dyDescent="0.25">
      <c r="A76" s="22"/>
      <c r="B76" s="22"/>
      <c r="C76" s="22"/>
      <c r="D76" s="22"/>
      <c r="E76" s="22"/>
      <c r="F76" s="22"/>
      <c r="G76" s="22"/>
      <c r="H76" s="22"/>
      <c r="I76" s="22"/>
      <c r="J76" s="22"/>
      <c r="K76" s="22"/>
      <c r="L76" s="22"/>
      <c r="M76" s="22"/>
      <c r="N76" s="22"/>
      <c r="O76" s="22"/>
      <c r="P76" s="22"/>
      <c r="Q76" s="22"/>
      <c r="R76" s="22"/>
      <c r="S76" s="22"/>
      <c r="T76" s="22"/>
      <c r="U76" s="22"/>
      <c r="V76" s="22"/>
      <c r="W76" s="22"/>
      <c r="X76" s="22"/>
      <c r="Y76" s="22"/>
      <c r="Z76" s="22"/>
      <c r="AA76" s="22"/>
      <c r="AB76" s="22"/>
      <c r="AC76" s="22"/>
      <c r="AD76" s="22"/>
      <c r="AE76" s="22"/>
      <c r="AF76" s="22"/>
      <c r="AG76" s="22"/>
      <c r="AH76" s="22"/>
      <c r="AI76" s="22"/>
      <c r="AJ76" s="22"/>
      <c r="AK76" s="22"/>
      <c r="AL76" s="22"/>
      <c r="AM76" s="22"/>
      <c r="AN76" s="22"/>
    </row>
    <row r="77" spans="1:40" x14ac:dyDescent="0.25">
      <c r="A77" s="22"/>
      <c r="B77" s="22"/>
      <c r="C77" s="22"/>
      <c r="D77" s="22"/>
      <c r="E77" s="22"/>
      <c r="F77" s="22"/>
      <c r="G77" s="22"/>
      <c r="H77" s="22"/>
      <c r="I77" s="22"/>
      <c r="J77" s="22"/>
      <c r="K77" s="22"/>
      <c r="L77" s="22"/>
      <c r="M77" s="22"/>
      <c r="N77" s="22"/>
      <c r="O77" s="22"/>
      <c r="P77" s="22"/>
      <c r="Q77" s="22"/>
      <c r="R77" s="22"/>
      <c r="S77" s="22"/>
      <c r="T77" s="22"/>
      <c r="U77" s="22"/>
      <c r="V77" s="22"/>
      <c r="W77" s="22"/>
      <c r="X77" s="22"/>
      <c r="Y77" s="22"/>
      <c r="Z77" s="22"/>
      <c r="AA77" s="22"/>
      <c r="AB77" s="22"/>
      <c r="AC77" s="22"/>
      <c r="AD77" s="22"/>
      <c r="AE77" s="22"/>
      <c r="AF77" s="22"/>
      <c r="AG77" s="22"/>
      <c r="AH77" s="22"/>
      <c r="AI77" s="22"/>
      <c r="AJ77" s="22"/>
      <c r="AK77" s="22"/>
      <c r="AL77" s="22"/>
      <c r="AM77" s="22"/>
      <c r="AN77" s="22"/>
    </row>
    <row r="78" spans="1:40" x14ac:dyDescent="0.25">
      <c r="A78" s="22"/>
      <c r="B78" s="22"/>
      <c r="C78" s="22"/>
      <c r="D78" s="22"/>
      <c r="E78" s="22"/>
      <c r="F78" s="22"/>
      <c r="G78" s="22"/>
      <c r="H78" s="22"/>
      <c r="I78" s="22"/>
      <c r="J78" s="22"/>
      <c r="K78" s="22"/>
      <c r="L78" s="22"/>
      <c r="M78" s="22"/>
      <c r="N78" s="22"/>
      <c r="O78" s="22"/>
      <c r="P78" s="22"/>
      <c r="Q78" s="22"/>
      <c r="R78" s="22"/>
      <c r="S78" s="22"/>
      <c r="T78" s="22"/>
      <c r="U78" s="22"/>
      <c r="V78" s="22"/>
      <c r="W78" s="22"/>
      <c r="X78" s="22"/>
      <c r="Y78" s="22"/>
      <c r="Z78" s="22"/>
      <c r="AA78" s="22"/>
      <c r="AB78" s="22"/>
      <c r="AC78" s="22"/>
      <c r="AD78" s="22"/>
      <c r="AE78" s="22"/>
      <c r="AF78" s="22"/>
      <c r="AG78" s="22"/>
      <c r="AH78" s="22"/>
      <c r="AI78" s="22"/>
      <c r="AJ78" s="22"/>
      <c r="AK78" s="22"/>
      <c r="AL78" s="22"/>
      <c r="AM78" s="22"/>
      <c r="AN78" s="22"/>
    </row>
    <row r="79" spans="1:40" x14ac:dyDescent="0.25">
      <c r="A79" s="22"/>
      <c r="B79" s="22"/>
      <c r="C79" s="22"/>
      <c r="D79" s="22"/>
      <c r="E79" s="22"/>
      <c r="F79" s="22"/>
      <c r="G79" s="22"/>
      <c r="H79" s="22"/>
      <c r="I79" s="22"/>
      <c r="J79" s="22"/>
      <c r="K79" s="22"/>
      <c r="L79" s="22"/>
      <c r="M79" s="22"/>
      <c r="N79" s="22"/>
      <c r="O79" s="22"/>
      <c r="P79" s="22"/>
      <c r="Q79" s="22"/>
      <c r="R79" s="22"/>
      <c r="S79" s="22"/>
      <c r="T79" s="22"/>
      <c r="U79" s="22"/>
      <c r="V79" s="22"/>
      <c r="W79" s="22"/>
      <c r="X79" s="22"/>
      <c r="Y79" s="22"/>
      <c r="Z79" s="22"/>
      <c r="AA79" s="22"/>
      <c r="AB79" s="22"/>
      <c r="AC79" s="22"/>
      <c r="AD79" s="22"/>
      <c r="AE79" s="22"/>
      <c r="AF79" s="22"/>
      <c r="AG79" s="22"/>
      <c r="AH79" s="22"/>
      <c r="AI79" s="22"/>
      <c r="AJ79" s="22"/>
      <c r="AK79" s="22"/>
      <c r="AL79" s="22"/>
      <c r="AM79" s="22"/>
      <c r="AN79" s="22"/>
    </row>
    <row r="80" spans="1:40" x14ac:dyDescent="0.25">
      <c r="A80" s="22"/>
      <c r="B80" s="22"/>
      <c r="C80" s="22"/>
      <c r="D80" s="22"/>
      <c r="E80" s="22"/>
      <c r="F80" s="22"/>
      <c r="G80" s="22"/>
      <c r="H80" s="22"/>
      <c r="I80" s="22"/>
      <c r="J80" s="22"/>
      <c r="K80" s="22"/>
      <c r="L80" s="22"/>
      <c r="M80" s="22"/>
      <c r="N80" s="22"/>
      <c r="O80" s="22"/>
      <c r="P80" s="22"/>
      <c r="Q80" s="22"/>
      <c r="R80" s="22"/>
      <c r="S80" s="22"/>
      <c r="T80" s="22"/>
      <c r="U80" s="22"/>
      <c r="V80" s="22"/>
      <c r="W80" s="22"/>
      <c r="X80" s="22"/>
      <c r="Y80" s="22"/>
      <c r="Z80" s="22"/>
      <c r="AA80" s="22"/>
      <c r="AB80" s="22"/>
      <c r="AC80" s="22"/>
      <c r="AD80" s="22"/>
      <c r="AE80" s="22"/>
      <c r="AF80" s="22"/>
      <c r="AG80" s="22"/>
      <c r="AH80" s="22"/>
      <c r="AI80" s="22"/>
      <c r="AJ80" s="22"/>
      <c r="AK80" s="22"/>
      <c r="AL80" s="22"/>
      <c r="AM80" s="22"/>
      <c r="AN80" s="22"/>
    </row>
    <row r="81" spans="1:40" x14ac:dyDescent="0.25">
      <c r="A81" s="22"/>
      <c r="B81" s="22"/>
      <c r="C81" s="22"/>
      <c r="D81" s="22"/>
      <c r="E81" s="22"/>
      <c r="F81" s="22"/>
      <c r="G81" s="22"/>
      <c r="H81" s="22"/>
      <c r="I81" s="22"/>
      <c r="J81" s="22"/>
      <c r="K81" s="22"/>
      <c r="L81" s="22"/>
      <c r="M81" s="22"/>
      <c r="N81" s="22"/>
      <c r="O81" s="22"/>
      <c r="P81" s="22"/>
      <c r="Q81" s="22"/>
      <c r="R81" s="22"/>
      <c r="S81" s="22"/>
      <c r="T81" s="22"/>
      <c r="U81" s="22"/>
      <c r="V81" s="22"/>
      <c r="W81" s="22"/>
      <c r="X81" s="22"/>
      <c r="Y81" s="22"/>
      <c r="Z81" s="22"/>
      <c r="AA81" s="22"/>
      <c r="AB81" s="22"/>
      <c r="AC81" s="22"/>
      <c r="AD81" s="22"/>
      <c r="AE81" s="22"/>
      <c r="AF81" s="22"/>
      <c r="AG81" s="22"/>
      <c r="AH81" s="22"/>
      <c r="AI81" s="22"/>
      <c r="AJ81" s="22"/>
      <c r="AK81" s="22"/>
      <c r="AL81" s="22"/>
      <c r="AM81" s="22"/>
      <c r="AN81" s="22"/>
    </row>
    <row r="82" spans="1:40" x14ac:dyDescent="0.25">
      <c r="A82" s="22"/>
      <c r="B82" s="22"/>
      <c r="C82" s="22"/>
      <c r="D82" s="22"/>
      <c r="E82" s="22"/>
      <c r="F82" s="22"/>
      <c r="G82" s="22"/>
      <c r="H82" s="22"/>
      <c r="I82" s="22"/>
      <c r="J82" s="22"/>
      <c r="K82" s="22"/>
      <c r="L82" s="22"/>
      <c r="M82" s="22"/>
      <c r="N82" s="22"/>
      <c r="O82" s="22"/>
      <c r="P82" s="22"/>
      <c r="Q82" s="22"/>
      <c r="R82" s="22"/>
      <c r="S82" s="22"/>
      <c r="T82" s="22"/>
      <c r="U82" s="22"/>
      <c r="V82" s="22"/>
      <c r="W82" s="22"/>
      <c r="X82" s="22"/>
      <c r="Y82" s="22"/>
      <c r="Z82" s="22"/>
      <c r="AA82" s="22"/>
      <c r="AB82" s="22"/>
      <c r="AC82" s="22"/>
      <c r="AD82" s="22"/>
      <c r="AE82" s="22"/>
      <c r="AF82" s="22"/>
      <c r="AG82" s="22"/>
      <c r="AH82" s="22"/>
      <c r="AI82" s="22"/>
      <c r="AJ82" s="22"/>
      <c r="AK82" s="22"/>
      <c r="AL82" s="22"/>
      <c r="AM82" s="22"/>
      <c r="AN82" s="22"/>
    </row>
    <row r="83" spans="1:40" x14ac:dyDescent="0.25">
      <c r="A83" s="22"/>
      <c r="B83" s="22"/>
      <c r="C83" s="22"/>
      <c r="D83" s="22"/>
      <c r="E83" s="22"/>
      <c r="F83" s="22"/>
      <c r="G83" s="22"/>
      <c r="H83" s="22"/>
      <c r="I83" s="22"/>
      <c r="J83" s="22"/>
      <c r="K83" s="22"/>
      <c r="L83" s="22"/>
      <c r="M83" s="22"/>
      <c r="N83" s="22"/>
      <c r="O83" s="22"/>
      <c r="P83" s="22"/>
      <c r="Q83" s="22"/>
      <c r="R83" s="22"/>
      <c r="S83" s="22"/>
      <c r="T83" s="22"/>
      <c r="U83" s="22"/>
      <c r="V83" s="22"/>
      <c r="W83" s="22"/>
      <c r="X83" s="22"/>
      <c r="Y83" s="22"/>
      <c r="Z83" s="22"/>
      <c r="AA83" s="22"/>
      <c r="AB83" s="22"/>
      <c r="AC83" s="22"/>
      <c r="AD83" s="22"/>
      <c r="AE83" s="22"/>
      <c r="AF83" s="22"/>
      <c r="AG83" s="22"/>
      <c r="AH83" s="22"/>
      <c r="AI83" s="22"/>
      <c r="AJ83" s="22"/>
      <c r="AK83" s="22"/>
      <c r="AL83" s="22"/>
      <c r="AM83" s="22"/>
      <c r="AN83" s="22"/>
    </row>
    <row r="84" spans="1:40" x14ac:dyDescent="0.25">
      <c r="A84" s="22"/>
      <c r="B84" s="22"/>
      <c r="C84" s="22"/>
      <c r="D84" s="22"/>
      <c r="E84" s="22"/>
      <c r="F84" s="22"/>
      <c r="G84" s="22"/>
      <c r="H84" s="22"/>
      <c r="I84" s="22"/>
      <c r="J84" s="22"/>
      <c r="K84" s="22"/>
      <c r="L84" s="22"/>
      <c r="M84" s="22"/>
      <c r="N84" s="22"/>
      <c r="O84" s="22"/>
      <c r="P84" s="22"/>
      <c r="Q84" s="22"/>
      <c r="R84" s="22"/>
      <c r="S84" s="22"/>
      <c r="T84" s="22"/>
      <c r="U84" s="22"/>
      <c r="V84" s="22"/>
      <c r="W84" s="22"/>
      <c r="X84" s="22"/>
      <c r="Y84" s="22"/>
      <c r="Z84" s="22"/>
      <c r="AA84" s="22"/>
      <c r="AB84" s="22"/>
      <c r="AC84" s="22"/>
      <c r="AD84" s="22"/>
      <c r="AE84" s="22"/>
      <c r="AF84" s="22"/>
      <c r="AG84" s="22"/>
      <c r="AH84" s="22"/>
      <c r="AI84" s="22"/>
      <c r="AJ84" s="22"/>
      <c r="AK84" s="22"/>
      <c r="AL84" s="22"/>
      <c r="AM84" s="22"/>
      <c r="AN84" s="22"/>
    </row>
    <row r="85" spans="1:40" x14ac:dyDescent="0.25">
      <c r="A85" s="22"/>
      <c r="B85" s="22"/>
      <c r="C85" s="22"/>
      <c r="D85" s="22"/>
      <c r="E85" s="22"/>
      <c r="F85" s="22"/>
      <c r="G85" s="22"/>
      <c r="H85" s="22"/>
      <c r="I85" s="22"/>
      <c r="J85" s="22"/>
      <c r="K85" s="22"/>
      <c r="L85" s="22"/>
      <c r="M85" s="22"/>
      <c r="N85" s="22"/>
      <c r="O85" s="22"/>
      <c r="P85" s="22"/>
      <c r="Q85" s="22"/>
      <c r="R85" s="22"/>
      <c r="S85" s="22"/>
      <c r="T85" s="22"/>
      <c r="U85" s="22"/>
      <c r="V85" s="22"/>
      <c r="W85" s="22"/>
      <c r="X85" s="22"/>
      <c r="Y85" s="22"/>
      <c r="Z85" s="22"/>
      <c r="AA85" s="22"/>
      <c r="AB85" s="22"/>
      <c r="AC85" s="22"/>
      <c r="AD85" s="22"/>
      <c r="AE85" s="22"/>
      <c r="AF85" s="22"/>
      <c r="AG85" s="22"/>
      <c r="AH85" s="22"/>
      <c r="AI85" s="22"/>
      <c r="AJ85" s="22"/>
      <c r="AK85" s="22"/>
      <c r="AL85" s="22"/>
      <c r="AM85" s="22"/>
      <c r="AN85" s="22"/>
    </row>
    <row r="86" spans="1:40" x14ac:dyDescent="0.25">
      <c r="A86" s="22"/>
      <c r="B86" s="22"/>
      <c r="C86" s="22"/>
      <c r="D86" s="22"/>
      <c r="E86" s="22"/>
      <c r="F86" s="22"/>
      <c r="G86" s="22"/>
      <c r="H86" s="22"/>
      <c r="I86" s="22"/>
      <c r="J86" s="22"/>
      <c r="K86" s="22"/>
      <c r="L86" s="22"/>
      <c r="M86" s="22"/>
      <c r="N86" s="22"/>
      <c r="O86" s="22"/>
      <c r="P86" s="22"/>
      <c r="Q86" s="22"/>
      <c r="R86" s="22"/>
      <c r="S86" s="22"/>
      <c r="T86" s="22"/>
      <c r="U86" s="22"/>
      <c r="V86" s="22"/>
      <c r="W86" s="22"/>
      <c r="X86" s="22"/>
      <c r="Y86" s="22"/>
      <c r="Z86" s="22"/>
      <c r="AA86" s="22"/>
      <c r="AB86" s="22"/>
      <c r="AC86" s="22"/>
      <c r="AD86" s="22"/>
      <c r="AE86" s="22"/>
      <c r="AF86" s="22"/>
      <c r="AG86" s="22"/>
      <c r="AH86" s="22"/>
      <c r="AI86" s="22"/>
      <c r="AJ86" s="22"/>
      <c r="AK86" s="22"/>
      <c r="AL86" s="22"/>
      <c r="AM86" s="22"/>
      <c r="AN86" s="22"/>
    </row>
    <row r="87" spans="1:40" x14ac:dyDescent="0.25">
      <c r="A87" s="22"/>
      <c r="B87" s="22"/>
      <c r="C87" s="22"/>
      <c r="D87" s="22"/>
      <c r="E87" s="22"/>
      <c r="F87" s="22"/>
      <c r="G87" s="22"/>
      <c r="H87" s="22"/>
      <c r="I87" s="22"/>
      <c r="J87" s="22"/>
      <c r="K87" s="22"/>
      <c r="L87" s="22"/>
      <c r="M87" s="22"/>
      <c r="N87" s="22"/>
      <c r="O87" s="22"/>
      <c r="P87" s="22"/>
      <c r="Q87" s="22"/>
      <c r="R87" s="22"/>
      <c r="S87" s="22"/>
      <c r="T87" s="22"/>
      <c r="U87" s="22"/>
      <c r="V87" s="22"/>
      <c r="W87" s="22"/>
      <c r="X87" s="22"/>
      <c r="Y87" s="22"/>
      <c r="Z87" s="22"/>
      <c r="AA87" s="22"/>
      <c r="AB87" s="22"/>
      <c r="AC87" s="22"/>
      <c r="AD87" s="22"/>
      <c r="AE87" s="22"/>
      <c r="AF87" s="22"/>
      <c r="AG87" s="22"/>
      <c r="AH87" s="22"/>
      <c r="AI87" s="22"/>
      <c r="AJ87" s="22"/>
      <c r="AK87" s="22"/>
      <c r="AL87" s="22"/>
      <c r="AM87" s="22"/>
      <c r="AN87" s="22"/>
    </row>
    <row r="88" spans="1:40" x14ac:dyDescent="0.25">
      <c r="A88" s="22"/>
      <c r="B88" s="22"/>
      <c r="C88" s="22"/>
      <c r="D88" s="22"/>
      <c r="E88" s="22"/>
      <c r="F88" s="22"/>
      <c r="G88" s="22"/>
      <c r="H88" s="22"/>
      <c r="I88" s="22"/>
      <c r="J88" s="22"/>
      <c r="K88" s="22"/>
      <c r="L88" s="22"/>
      <c r="M88" s="22"/>
      <c r="N88" s="22"/>
      <c r="O88" s="22"/>
      <c r="P88" s="22"/>
      <c r="Q88" s="22"/>
      <c r="R88" s="22"/>
      <c r="S88" s="22"/>
      <c r="T88" s="22"/>
      <c r="U88" s="22"/>
      <c r="V88" s="22"/>
      <c r="W88" s="22"/>
      <c r="X88" s="22"/>
      <c r="Y88" s="22"/>
      <c r="Z88" s="22"/>
      <c r="AA88" s="22"/>
      <c r="AB88" s="22"/>
      <c r="AC88" s="22"/>
      <c r="AD88" s="22"/>
      <c r="AE88" s="22"/>
      <c r="AF88" s="22"/>
      <c r="AG88" s="22"/>
      <c r="AH88" s="22"/>
      <c r="AI88" s="22"/>
      <c r="AJ88" s="22"/>
      <c r="AK88" s="22"/>
      <c r="AL88" s="22"/>
      <c r="AM88" s="22"/>
      <c r="AN88" s="22"/>
    </row>
    <row r="89" spans="1:40" x14ac:dyDescent="0.25">
      <c r="A89" s="22"/>
      <c r="B89" s="22"/>
      <c r="C89" s="22"/>
      <c r="D89" s="22"/>
      <c r="E89" s="22"/>
      <c r="F89" s="22"/>
      <c r="G89" s="22"/>
      <c r="H89" s="22"/>
      <c r="I89" s="22"/>
      <c r="J89" s="22"/>
      <c r="K89" s="22"/>
      <c r="L89" s="22"/>
      <c r="M89" s="22"/>
      <c r="N89" s="22"/>
      <c r="O89" s="22"/>
      <c r="P89" s="22"/>
      <c r="Q89" s="22"/>
      <c r="R89" s="22"/>
      <c r="S89" s="22"/>
      <c r="T89" s="22"/>
      <c r="U89" s="22"/>
      <c r="V89" s="22"/>
      <c r="W89" s="22"/>
      <c r="X89" s="22"/>
      <c r="Y89" s="22"/>
      <c r="Z89" s="22"/>
      <c r="AA89" s="22"/>
      <c r="AB89" s="22"/>
      <c r="AC89" s="22"/>
      <c r="AD89" s="22"/>
      <c r="AE89" s="22"/>
      <c r="AF89" s="22"/>
      <c r="AG89" s="22"/>
      <c r="AH89" s="22"/>
      <c r="AI89" s="22"/>
      <c r="AJ89" s="22"/>
      <c r="AK89" s="22"/>
      <c r="AL89" s="22"/>
      <c r="AM89" s="22"/>
      <c r="AN89" s="22"/>
    </row>
    <row r="90" spans="1:40" x14ac:dyDescent="0.25">
      <c r="A90" s="22"/>
      <c r="B90" s="22"/>
      <c r="C90" s="22"/>
      <c r="D90" s="22"/>
      <c r="E90" s="22"/>
      <c r="F90" s="22"/>
      <c r="G90" s="22"/>
      <c r="H90" s="22"/>
      <c r="I90" s="22"/>
      <c r="J90" s="22"/>
      <c r="K90" s="22"/>
      <c r="L90" s="22"/>
      <c r="M90" s="22"/>
      <c r="N90" s="22"/>
      <c r="O90" s="22"/>
      <c r="P90" s="22"/>
      <c r="Q90" s="22"/>
      <c r="R90" s="22"/>
      <c r="S90" s="22"/>
      <c r="T90" s="22"/>
      <c r="U90" s="22"/>
      <c r="V90" s="22"/>
      <c r="W90" s="22"/>
      <c r="X90" s="22"/>
      <c r="Y90" s="22"/>
      <c r="Z90" s="22"/>
      <c r="AA90" s="22"/>
      <c r="AB90" s="22"/>
      <c r="AC90" s="22"/>
      <c r="AD90" s="22"/>
      <c r="AE90" s="22"/>
      <c r="AF90" s="22"/>
      <c r="AG90" s="22"/>
      <c r="AH90" s="22"/>
      <c r="AI90" s="22"/>
      <c r="AJ90" s="22"/>
      <c r="AK90" s="22"/>
      <c r="AL90" s="22"/>
      <c r="AM90" s="22"/>
      <c r="AN90" s="22"/>
    </row>
    <row r="91" spans="1:40" x14ac:dyDescent="0.25">
      <c r="A91" s="22"/>
      <c r="B91" s="22"/>
      <c r="C91" s="22"/>
      <c r="D91" s="22"/>
      <c r="E91" s="22"/>
      <c r="F91" s="22"/>
      <c r="G91" s="22"/>
      <c r="H91" s="22"/>
      <c r="I91" s="22"/>
      <c r="J91" s="22"/>
      <c r="K91" s="22"/>
      <c r="L91" s="22"/>
      <c r="M91" s="22"/>
      <c r="N91" s="22"/>
      <c r="O91" s="22"/>
      <c r="P91" s="22"/>
      <c r="Q91" s="22"/>
      <c r="R91" s="22"/>
      <c r="S91" s="22"/>
      <c r="T91" s="22"/>
      <c r="U91" s="22"/>
      <c r="V91" s="22"/>
      <c r="W91" s="22"/>
      <c r="X91" s="22"/>
      <c r="Y91" s="22"/>
      <c r="Z91" s="22"/>
      <c r="AA91" s="22"/>
      <c r="AB91" s="22"/>
      <c r="AC91" s="22"/>
      <c r="AD91" s="22"/>
      <c r="AE91" s="22"/>
      <c r="AF91" s="22"/>
      <c r="AG91" s="22"/>
      <c r="AH91" s="22"/>
      <c r="AI91" s="22"/>
      <c r="AJ91" s="22"/>
      <c r="AK91" s="22"/>
      <c r="AL91" s="22"/>
      <c r="AM91" s="22"/>
      <c r="AN91" s="22"/>
    </row>
    <row r="92" spans="1:40" x14ac:dyDescent="0.25">
      <c r="A92" s="22"/>
      <c r="B92" s="22"/>
      <c r="C92" s="22"/>
      <c r="D92" s="22"/>
      <c r="E92" s="22"/>
      <c r="F92" s="22"/>
      <c r="G92" s="22"/>
      <c r="H92" s="22"/>
      <c r="I92" s="22"/>
      <c r="J92" s="22"/>
      <c r="K92" s="22"/>
      <c r="L92" s="22"/>
      <c r="M92" s="22"/>
      <c r="N92" s="22"/>
      <c r="O92" s="22"/>
      <c r="P92" s="22"/>
      <c r="Q92" s="22"/>
      <c r="R92" s="22"/>
      <c r="S92" s="22"/>
      <c r="T92" s="22"/>
      <c r="U92" s="22"/>
      <c r="V92" s="22"/>
      <c r="W92" s="22"/>
      <c r="X92" s="22"/>
      <c r="Y92" s="22"/>
      <c r="Z92" s="22"/>
      <c r="AA92" s="22"/>
      <c r="AB92" s="22"/>
      <c r="AC92" s="22"/>
      <c r="AD92" s="22"/>
      <c r="AE92" s="22"/>
      <c r="AF92" s="22"/>
      <c r="AG92" s="22"/>
      <c r="AH92" s="22"/>
      <c r="AI92" s="22"/>
      <c r="AJ92" s="22"/>
      <c r="AK92" s="22"/>
      <c r="AL92" s="22"/>
      <c r="AM92" s="22"/>
      <c r="AN92" s="22"/>
    </row>
    <row r="93" spans="1:40" x14ac:dyDescent="0.25">
      <c r="A93" s="22"/>
      <c r="B93" s="22"/>
      <c r="C93" s="22"/>
      <c r="D93" s="22"/>
      <c r="E93" s="22"/>
      <c r="F93" s="22"/>
      <c r="G93" s="22"/>
      <c r="H93" s="22"/>
      <c r="I93" s="22"/>
      <c r="J93" s="22"/>
      <c r="K93" s="22"/>
      <c r="L93" s="22"/>
      <c r="M93" s="22"/>
      <c r="N93" s="22"/>
      <c r="O93" s="22"/>
      <c r="P93" s="22"/>
      <c r="Q93" s="22"/>
      <c r="R93" s="22"/>
      <c r="S93" s="22"/>
      <c r="T93" s="22"/>
      <c r="U93" s="22"/>
      <c r="V93" s="22"/>
      <c r="W93" s="22"/>
      <c r="X93" s="22"/>
      <c r="Y93" s="22"/>
      <c r="Z93" s="22"/>
      <c r="AA93" s="22"/>
      <c r="AB93" s="22"/>
      <c r="AC93" s="22"/>
      <c r="AD93" s="22"/>
      <c r="AE93" s="22"/>
      <c r="AF93" s="22"/>
      <c r="AG93" s="22"/>
      <c r="AH93" s="22"/>
      <c r="AI93" s="22"/>
      <c r="AJ93" s="22"/>
      <c r="AK93" s="22"/>
      <c r="AL93" s="22"/>
      <c r="AM93" s="22"/>
      <c r="AN93" s="22"/>
    </row>
    <row r="94" spans="1:40" x14ac:dyDescent="0.25">
      <c r="A94" s="22"/>
      <c r="B94" s="22"/>
      <c r="C94" s="22"/>
      <c r="D94" s="22"/>
      <c r="E94" s="22"/>
      <c r="F94" s="22"/>
      <c r="G94" s="22"/>
      <c r="H94" s="22"/>
      <c r="I94" s="22"/>
      <c r="J94" s="22"/>
      <c r="K94" s="22"/>
      <c r="L94" s="22"/>
      <c r="M94" s="22"/>
      <c r="N94" s="22"/>
      <c r="O94" s="22"/>
      <c r="P94" s="22"/>
      <c r="Q94" s="22"/>
      <c r="R94" s="22"/>
      <c r="S94" s="22"/>
      <c r="T94" s="22"/>
      <c r="U94" s="22"/>
      <c r="V94" s="22"/>
      <c r="W94" s="22"/>
      <c r="X94" s="22"/>
      <c r="Y94" s="22"/>
      <c r="Z94" s="22"/>
      <c r="AA94" s="22"/>
      <c r="AB94" s="22"/>
      <c r="AC94" s="22"/>
      <c r="AD94" s="22"/>
      <c r="AE94" s="22"/>
      <c r="AF94" s="22"/>
      <c r="AG94" s="22"/>
      <c r="AH94" s="22"/>
      <c r="AI94" s="22"/>
      <c r="AJ94" s="22"/>
      <c r="AK94" s="22"/>
      <c r="AL94" s="22"/>
      <c r="AM94" s="22"/>
      <c r="AN94" s="22"/>
    </row>
    <row r="95" spans="1:40" x14ac:dyDescent="0.25">
      <c r="A95" s="22"/>
      <c r="B95" s="22"/>
      <c r="C95" s="22"/>
      <c r="D95" s="22"/>
      <c r="E95" s="22"/>
      <c r="F95" s="22"/>
      <c r="G95" s="22"/>
      <c r="H95" s="22"/>
      <c r="I95" s="22"/>
      <c r="J95" s="22"/>
      <c r="K95" s="22"/>
      <c r="L95" s="22"/>
      <c r="M95" s="22"/>
      <c r="N95" s="22"/>
      <c r="O95" s="22"/>
      <c r="P95" s="22"/>
      <c r="Q95" s="22"/>
      <c r="R95" s="22"/>
      <c r="S95" s="22"/>
      <c r="T95" s="22"/>
      <c r="U95" s="22"/>
      <c r="V95" s="22"/>
      <c r="W95" s="22"/>
      <c r="X95" s="22"/>
      <c r="Y95" s="22"/>
      <c r="Z95" s="22"/>
      <c r="AA95" s="22"/>
      <c r="AB95" s="22"/>
      <c r="AC95" s="22"/>
      <c r="AD95" s="22"/>
      <c r="AE95" s="22"/>
      <c r="AF95" s="22"/>
      <c r="AG95" s="22"/>
      <c r="AH95" s="22"/>
      <c r="AI95" s="22"/>
      <c r="AJ95" s="22"/>
      <c r="AK95" s="22"/>
      <c r="AL95" s="22"/>
      <c r="AM95" s="22"/>
      <c r="AN95" s="22"/>
    </row>
    <row r="96" spans="1:40" x14ac:dyDescent="0.25">
      <c r="A96" s="22"/>
      <c r="B96" s="22"/>
      <c r="C96" s="22"/>
      <c r="D96" s="22"/>
      <c r="E96" s="22"/>
      <c r="F96" s="22"/>
      <c r="G96" s="22"/>
      <c r="H96" s="22"/>
      <c r="I96" s="22"/>
      <c r="J96" s="22"/>
      <c r="K96" s="22"/>
      <c r="L96" s="22"/>
      <c r="M96" s="22"/>
      <c r="N96" s="22"/>
      <c r="O96" s="22"/>
      <c r="P96" s="22"/>
      <c r="Q96" s="22"/>
      <c r="R96" s="22"/>
      <c r="S96" s="22"/>
      <c r="T96" s="22"/>
      <c r="U96" s="22"/>
      <c r="V96" s="22"/>
      <c r="W96" s="22"/>
      <c r="X96" s="22"/>
      <c r="Y96" s="22"/>
      <c r="Z96" s="22"/>
      <c r="AA96" s="22"/>
      <c r="AB96" s="22"/>
      <c r="AC96" s="22"/>
      <c r="AD96" s="22"/>
      <c r="AE96" s="22"/>
      <c r="AF96" s="22"/>
      <c r="AG96" s="22"/>
      <c r="AH96" s="22"/>
      <c r="AI96" s="22"/>
      <c r="AJ96" s="22"/>
      <c r="AK96" s="22"/>
      <c r="AL96" s="22"/>
      <c r="AM96" s="22"/>
      <c r="AN96" s="22"/>
    </row>
    <row r="97" spans="1:40" x14ac:dyDescent="0.25">
      <c r="A97" s="22"/>
      <c r="B97" s="22"/>
      <c r="C97" s="22"/>
      <c r="D97" s="22"/>
      <c r="E97" s="22"/>
      <c r="F97" s="22"/>
      <c r="G97" s="22"/>
      <c r="H97" s="22"/>
      <c r="I97" s="22"/>
      <c r="J97" s="22"/>
      <c r="K97" s="22"/>
      <c r="L97" s="22"/>
      <c r="M97" s="22"/>
      <c r="N97" s="22"/>
      <c r="O97" s="22"/>
      <c r="P97" s="22"/>
      <c r="Q97" s="22"/>
      <c r="R97" s="22"/>
      <c r="S97" s="22"/>
      <c r="T97" s="22"/>
      <c r="U97" s="22"/>
      <c r="V97" s="22"/>
      <c r="W97" s="22"/>
      <c r="X97" s="22"/>
      <c r="Y97" s="22"/>
      <c r="Z97" s="22"/>
      <c r="AA97" s="22"/>
      <c r="AB97" s="22"/>
      <c r="AC97" s="22"/>
      <c r="AD97" s="22"/>
      <c r="AE97" s="22"/>
      <c r="AF97" s="22"/>
      <c r="AG97" s="22"/>
      <c r="AH97" s="22"/>
      <c r="AI97" s="22"/>
      <c r="AJ97" s="22"/>
      <c r="AK97" s="22"/>
      <c r="AL97" s="22"/>
      <c r="AM97" s="22"/>
      <c r="AN97" s="22"/>
    </row>
    <row r="98" spans="1:40" x14ac:dyDescent="0.25">
      <c r="A98" s="22"/>
      <c r="B98" s="22"/>
      <c r="C98" s="22"/>
      <c r="D98" s="22"/>
      <c r="E98" s="22"/>
      <c r="F98" s="22"/>
      <c r="G98" s="22"/>
      <c r="H98" s="22"/>
      <c r="I98" s="22"/>
      <c r="J98" s="22"/>
      <c r="K98" s="22"/>
      <c r="L98" s="22"/>
      <c r="M98" s="22"/>
      <c r="N98" s="22"/>
      <c r="O98" s="22"/>
      <c r="P98" s="22"/>
      <c r="Q98" s="22"/>
      <c r="R98" s="22"/>
      <c r="S98" s="22"/>
      <c r="T98" s="22"/>
      <c r="U98" s="22"/>
      <c r="V98" s="22"/>
      <c r="W98" s="22"/>
      <c r="X98" s="22"/>
      <c r="Y98" s="22"/>
      <c r="Z98" s="22"/>
      <c r="AA98" s="22"/>
      <c r="AB98" s="22"/>
      <c r="AC98" s="22"/>
      <c r="AD98" s="22"/>
      <c r="AE98" s="22"/>
      <c r="AF98" s="22"/>
      <c r="AG98" s="22"/>
      <c r="AH98" s="22"/>
      <c r="AI98" s="22"/>
      <c r="AJ98" s="22"/>
      <c r="AK98" s="22"/>
      <c r="AL98" s="22"/>
      <c r="AM98" s="22"/>
      <c r="AN98" s="22"/>
    </row>
    <row r="99" spans="1:40" x14ac:dyDescent="0.25">
      <c r="A99" s="22"/>
      <c r="B99" s="22"/>
      <c r="C99" s="22"/>
      <c r="D99" s="22"/>
      <c r="E99" s="22"/>
      <c r="F99" s="22"/>
      <c r="G99" s="22"/>
      <c r="H99" s="22"/>
      <c r="I99" s="22"/>
      <c r="J99" s="22"/>
      <c r="K99" s="22"/>
      <c r="L99" s="22"/>
      <c r="M99" s="22"/>
      <c r="N99" s="22"/>
      <c r="O99" s="22"/>
      <c r="P99" s="22"/>
      <c r="Q99" s="22"/>
      <c r="R99" s="22"/>
      <c r="S99" s="22"/>
      <c r="T99" s="22"/>
      <c r="U99" s="22"/>
      <c r="V99" s="22"/>
      <c r="W99" s="22"/>
      <c r="X99" s="22"/>
      <c r="Y99" s="22"/>
      <c r="Z99" s="22"/>
      <c r="AA99" s="22"/>
      <c r="AB99" s="22"/>
      <c r="AC99" s="22"/>
      <c r="AD99" s="22"/>
      <c r="AE99" s="22"/>
      <c r="AF99" s="22"/>
      <c r="AG99" s="22"/>
      <c r="AH99" s="22"/>
      <c r="AI99" s="22"/>
      <c r="AJ99" s="22"/>
      <c r="AK99" s="22"/>
      <c r="AL99" s="22"/>
      <c r="AM99" s="22"/>
      <c r="AN99" s="22"/>
    </row>
    <row r="100" spans="1:40" x14ac:dyDescent="0.25">
      <c r="A100" s="22"/>
      <c r="B100" s="22"/>
      <c r="C100" s="22"/>
      <c r="D100" s="22"/>
      <c r="E100" s="22"/>
      <c r="F100" s="22"/>
      <c r="G100" s="22"/>
      <c r="H100" s="22"/>
      <c r="I100" s="22"/>
      <c r="J100" s="22"/>
      <c r="K100" s="22"/>
      <c r="L100" s="22"/>
      <c r="M100" s="22"/>
      <c r="N100" s="22"/>
      <c r="O100" s="22"/>
      <c r="P100" s="22"/>
      <c r="Q100" s="22"/>
      <c r="R100" s="22"/>
      <c r="S100" s="22"/>
      <c r="T100" s="22"/>
      <c r="U100" s="22"/>
      <c r="V100" s="22"/>
      <c r="W100" s="22"/>
      <c r="X100" s="22"/>
      <c r="Y100" s="22"/>
      <c r="Z100" s="22"/>
      <c r="AA100" s="22"/>
      <c r="AB100" s="22"/>
      <c r="AC100" s="22"/>
      <c r="AD100" s="22"/>
      <c r="AE100" s="22"/>
      <c r="AF100" s="22"/>
      <c r="AG100" s="22"/>
      <c r="AH100" s="22"/>
      <c r="AI100" s="22"/>
      <c r="AJ100" s="22"/>
      <c r="AK100" s="22"/>
      <c r="AL100" s="22"/>
      <c r="AM100" s="22"/>
      <c r="AN100" s="22"/>
    </row>
    <row r="101" spans="1:40" x14ac:dyDescent="0.25">
      <c r="A101" s="22"/>
      <c r="B101" s="22"/>
      <c r="C101" s="22"/>
      <c r="D101" s="22"/>
      <c r="E101" s="22"/>
      <c r="F101" s="22"/>
      <c r="G101" s="22"/>
      <c r="H101" s="22"/>
      <c r="I101" s="22"/>
      <c r="J101" s="22"/>
      <c r="K101" s="22"/>
      <c r="L101" s="22"/>
      <c r="M101" s="22"/>
      <c r="N101" s="22"/>
      <c r="O101" s="22"/>
      <c r="P101" s="22"/>
      <c r="Q101" s="22"/>
      <c r="R101" s="22"/>
      <c r="S101" s="22"/>
      <c r="T101" s="22"/>
      <c r="U101" s="22"/>
      <c r="V101" s="22"/>
      <c r="W101" s="22"/>
      <c r="X101" s="22"/>
      <c r="Y101" s="22"/>
      <c r="Z101" s="22"/>
      <c r="AA101" s="22"/>
      <c r="AB101" s="22"/>
      <c r="AC101" s="22"/>
      <c r="AD101" s="22"/>
      <c r="AE101" s="22"/>
      <c r="AF101" s="22"/>
      <c r="AG101" s="22"/>
      <c r="AH101" s="22"/>
      <c r="AI101" s="22"/>
      <c r="AJ101" s="22"/>
      <c r="AK101" s="22"/>
      <c r="AL101" s="22"/>
      <c r="AM101" s="22"/>
      <c r="AN101" s="22"/>
    </row>
    <row r="102" spans="1:40" x14ac:dyDescent="0.25">
      <c r="A102" s="22"/>
      <c r="B102" s="22"/>
      <c r="C102" s="22"/>
      <c r="D102" s="22"/>
      <c r="E102" s="22"/>
      <c r="F102" s="22"/>
      <c r="G102" s="22"/>
      <c r="H102" s="22"/>
      <c r="I102" s="22"/>
      <c r="J102" s="22"/>
      <c r="K102" s="22"/>
      <c r="L102" s="22"/>
      <c r="M102" s="22"/>
      <c r="N102" s="22"/>
      <c r="O102" s="22"/>
      <c r="P102" s="22"/>
      <c r="Q102" s="22"/>
      <c r="R102" s="22"/>
      <c r="S102" s="22"/>
      <c r="T102" s="22"/>
      <c r="U102" s="22"/>
      <c r="V102" s="22"/>
      <c r="W102" s="22"/>
      <c r="X102" s="22"/>
      <c r="Y102" s="22"/>
      <c r="Z102" s="22"/>
      <c r="AA102" s="22"/>
      <c r="AB102" s="22"/>
      <c r="AC102" s="22"/>
      <c r="AD102" s="22"/>
      <c r="AE102" s="22"/>
      <c r="AF102" s="22"/>
      <c r="AG102" s="22"/>
      <c r="AH102" s="22"/>
      <c r="AI102" s="22"/>
      <c r="AJ102" s="22"/>
      <c r="AK102" s="22"/>
      <c r="AL102" s="22"/>
      <c r="AM102" s="22"/>
      <c r="AN102" s="22"/>
    </row>
    <row r="103" spans="1:40" x14ac:dyDescent="0.25">
      <c r="A103" s="22"/>
      <c r="B103" s="22"/>
      <c r="C103" s="22"/>
      <c r="D103" s="22"/>
      <c r="E103" s="22"/>
      <c r="F103" s="22"/>
      <c r="G103" s="22"/>
      <c r="H103" s="22"/>
      <c r="I103" s="22"/>
      <c r="J103" s="22"/>
      <c r="K103" s="22"/>
      <c r="L103" s="22"/>
      <c r="M103" s="22"/>
      <c r="N103" s="22"/>
      <c r="O103" s="22"/>
      <c r="P103" s="22"/>
      <c r="Q103" s="22"/>
      <c r="R103" s="22"/>
      <c r="S103" s="22"/>
      <c r="T103" s="22"/>
      <c r="U103" s="22"/>
      <c r="V103" s="22"/>
      <c r="W103" s="22"/>
      <c r="X103" s="22"/>
      <c r="Y103" s="22"/>
      <c r="Z103" s="22"/>
      <c r="AA103" s="22"/>
      <c r="AB103" s="22"/>
      <c r="AC103" s="22"/>
      <c r="AD103" s="22"/>
      <c r="AE103" s="22"/>
      <c r="AF103" s="22"/>
      <c r="AG103" s="22"/>
      <c r="AH103" s="22"/>
      <c r="AI103" s="22"/>
      <c r="AJ103" s="22"/>
      <c r="AK103" s="22"/>
      <c r="AL103" s="22"/>
      <c r="AM103" s="22"/>
      <c r="AN103" s="22"/>
    </row>
    <row r="104" spans="1:40" x14ac:dyDescent="0.25">
      <c r="A104" s="22"/>
      <c r="B104" s="22"/>
      <c r="C104" s="22"/>
      <c r="D104" s="22"/>
      <c r="E104" s="22"/>
      <c r="F104" s="22"/>
      <c r="G104" s="22"/>
      <c r="H104" s="22"/>
      <c r="I104" s="22"/>
      <c r="J104" s="22"/>
      <c r="K104" s="22"/>
      <c r="L104" s="22"/>
      <c r="M104" s="22"/>
      <c r="N104" s="22"/>
      <c r="O104" s="22"/>
      <c r="P104" s="22"/>
      <c r="Q104" s="22"/>
      <c r="R104" s="22"/>
      <c r="S104" s="22"/>
      <c r="T104" s="22"/>
      <c r="U104" s="22"/>
      <c r="V104" s="22"/>
      <c r="W104" s="22"/>
      <c r="X104" s="22"/>
      <c r="Y104" s="22"/>
      <c r="Z104" s="22"/>
      <c r="AA104" s="22"/>
      <c r="AB104" s="22"/>
      <c r="AC104" s="22"/>
      <c r="AD104" s="22"/>
      <c r="AE104" s="22"/>
      <c r="AF104" s="22"/>
      <c r="AG104" s="22"/>
      <c r="AH104" s="22"/>
      <c r="AI104" s="22"/>
      <c r="AJ104" s="22"/>
      <c r="AK104" s="22"/>
      <c r="AL104" s="22"/>
      <c r="AM104" s="22"/>
      <c r="AN104" s="22"/>
    </row>
    <row r="105" spans="1:40" x14ac:dyDescent="0.25">
      <c r="A105" s="22"/>
      <c r="B105" s="22"/>
      <c r="C105" s="22"/>
      <c r="D105" s="22"/>
      <c r="E105" s="22"/>
      <c r="F105" s="22"/>
      <c r="G105" s="22"/>
      <c r="H105" s="22"/>
      <c r="I105" s="22"/>
      <c r="J105" s="22"/>
      <c r="K105" s="22"/>
      <c r="L105" s="22"/>
      <c r="M105" s="22"/>
      <c r="N105" s="22"/>
      <c r="O105" s="22"/>
      <c r="P105" s="22"/>
      <c r="Q105" s="22"/>
      <c r="R105" s="22"/>
      <c r="S105" s="22"/>
      <c r="T105" s="22"/>
      <c r="U105" s="22"/>
      <c r="V105" s="22"/>
      <c r="W105" s="22"/>
      <c r="X105" s="22"/>
      <c r="Y105" s="22"/>
      <c r="Z105" s="22"/>
      <c r="AA105" s="22"/>
      <c r="AB105" s="22"/>
      <c r="AC105" s="22"/>
      <c r="AD105" s="22"/>
      <c r="AE105" s="22"/>
      <c r="AF105" s="22"/>
      <c r="AG105" s="22"/>
      <c r="AH105" s="22"/>
      <c r="AI105" s="22"/>
      <c r="AJ105" s="22"/>
      <c r="AK105" s="22"/>
      <c r="AL105" s="22"/>
      <c r="AM105" s="22"/>
      <c r="AN105" s="22"/>
    </row>
    <row r="106" spans="1:40" x14ac:dyDescent="0.25">
      <c r="A106" s="22"/>
      <c r="B106" s="22"/>
      <c r="C106" s="22"/>
      <c r="D106" s="22"/>
      <c r="E106" s="22"/>
      <c r="F106" s="22"/>
      <c r="G106" s="22"/>
      <c r="H106" s="22"/>
      <c r="I106" s="22"/>
      <c r="J106" s="22"/>
      <c r="K106" s="22"/>
      <c r="L106" s="22"/>
      <c r="M106" s="22"/>
      <c r="N106" s="22"/>
      <c r="O106" s="22"/>
      <c r="P106" s="22"/>
      <c r="Q106" s="22"/>
      <c r="R106" s="22"/>
      <c r="S106" s="22"/>
      <c r="T106" s="22"/>
      <c r="U106" s="22"/>
      <c r="V106" s="22"/>
      <c r="W106" s="22"/>
      <c r="X106" s="22"/>
      <c r="Y106" s="22"/>
      <c r="Z106" s="22"/>
      <c r="AA106" s="22"/>
      <c r="AB106" s="22"/>
      <c r="AC106" s="22"/>
      <c r="AD106" s="22"/>
      <c r="AE106" s="22"/>
      <c r="AF106" s="22"/>
      <c r="AG106" s="22"/>
      <c r="AH106" s="22"/>
      <c r="AI106" s="22"/>
      <c r="AJ106" s="22"/>
      <c r="AK106" s="22"/>
      <c r="AL106" s="22"/>
      <c r="AM106" s="22"/>
      <c r="AN106" s="22"/>
    </row>
    <row r="107" spans="1:40" x14ac:dyDescent="0.25">
      <c r="A107" s="22"/>
      <c r="B107" s="22"/>
      <c r="C107" s="22"/>
      <c r="D107" s="22"/>
      <c r="E107" s="22"/>
      <c r="F107" s="22"/>
      <c r="G107" s="22"/>
      <c r="H107" s="22"/>
      <c r="I107" s="22"/>
      <c r="J107" s="22"/>
      <c r="K107" s="22"/>
      <c r="L107" s="22"/>
      <c r="M107" s="22"/>
      <c r="N107" s="22"/>
      <c r="O107" s="22"/>
      <c r="P107" s="22"/>
      <c r="Q107" s="22"/>
      <c r="R107" s="22"/>
      <c r="S107" s="22"/>
      <c r="T107" s="22"/>
      <c r="U107" s="22"/>
      <c r="V107" s="22"/>
      <c r="W107" s="22"/>
      <c r="X107" s="22"/>
      <c r="Y107" s="22"/>
      <c r="Z107" s="22"/>
      <c r="AA107" s="22"/>
      <c r="AB107" s="22"/>
      <c r="AC107" s="22"/>
      <c r="AD107" s="22"/>
      <c r="AE107" s="22"/>
      <c r="AF107" s="22"/>
      <c r="AG107" s="22"/>
      <c r="AH107" s="22"/>
      <c r="AI107" s="22"/>
      <c r="AJ107" s="22"/>
      <c r="AK107" s="22"/>
      <c r="AL107" s="22"/>
      <c r="AM107" s="22"/>
      <c r="AN107" s="22"/>
    </row>
    <row r="108" spans="1:40" x14ac:dyDescent="0.25">
      <c r="A108" s="22"/>
      <c r="B108" s="22"/>
      <c r="C108" s="22"/>
      <c r="D108" s="22"/>
      <c r="E108" s="22"/>
      <c r="F108" s="22"/>
      <c r="G108" s="22"/>
      <c r="H108" s="22"/>
      <c r="I108" s="22"/>
      <c r="J108" s="22"/>
      <c r="K108" s="22"/>
      <c r="L108" s="22"/>
      <c r="M108" s="22"/>
      <c r="N108" s="22"/>
      <c r="O108" s="22"/>
      <c r="P108" s="22"/>
      <c r="Q108" s="22"/>
      <c r="R108" s="22"/>
      <c r="S108" s="22"/>
      <c r="T108" s="22"/>
      <c r="U108" s="22"/>
      <c r="V108" s="22"/>
      <c r="W108" s="22"/>
      <c r="X108" s="22"/>
      <c r="Y108" s="22"/>
      <c r="Z108" s="22"/>
      <c r="AA108" s="22"/>
      <c r="AB108" s="22"/>
      <c r="AC108" s="22"/>
      <c r="AD108" s="22"/>
      <c r="AE108" s="22"/>
      <c r="AF108" s="22"/>
      <c r="AG108" s="22"/>
      <c r="AH108" s="22"/>
      <c r="AI108" s="22"/>
      <c r="AJ108" s="22"/>
      <c r="AK108" s="22"/>
      <c r="AL108" s="22"/>
      <c r="AM108" s="22"/>
      <c r="AN108" s="22"/>
    </row>
    <row r="109" spans="1:40" x14ac:dyDescent="0.25">
      <c r="A109" s="22"/>
      <c r="B109" s="22"/>
      <c r="C109" s="22"/>
      <c r="D109" s="22"/>
      <c r="E109" s="22"/>
      <c r="F109" s="22"/>
      <c r="G109" s="22"/>
      <c r="H109" s="22"/>
      <c r="I109" s="22"/>
      <c r="J109" s="22"/>
      <c r="K109" s="22"/>
      <c r="L109" s="22"/>
      <c r="M109" s="22"/>
      <c r="N109" s="22"/>
      <c r="O109" s="22"/>
      <c r="P109" s="22"/>
      <c r="Q109" s="22"/>
      <c r="R109" s="22"/>
      <c r="S109" s="22"/>
      <c r="T109" s="22"/>
      <c r="U109" s="22"/>
      <c r="V109" s="22"/>
      <c r="W109" s="22"/>
      <c r="X109" s="22"/>
      <c r="Y109" s="22"/>
      <c r="Z109" s="22"/>
      <c r="AA109" s="22"/>
      <c r="AB109" s="22"/>
      <c r="AC109" s="22"/>
      <c r="AD109" s="22"/>
      <c r="AE109" s="22"/>
      <c r="AF109" s="22"/>
      <c r="AG109" s="22"/>
      <c r="AH109" s="22"/>
      <c r="AI109" s="22"/>
      <c r="AJ109" s="22"/>
      <c r="AK109" s="22"/>
      <c r="AL109" s="22"/>
      <c r="AM109" s="22"/>
      <c r="AN109" s="22"/>
    </row>
    <row r="110" spans="1:40" x14ac:dyDescent="0.25">
      <c r="A110" s="22"/>
      <c r="B110" s="22"/>
      <c r="C110" s="22"/>
      <c r="D110" s="22"/>
      <c r="E110" s="22"/>
      <c r="F110" s="22"/>
      <c r="G110" s="22"/>
      <c r="H110" s="22"/>
      <c r="I110" s="22"/>
      <c r="J110" s="22"/>
      <c r="K110" s="22"/>
      <c r="L110" s="22"/>
      <c r="M110" s="22"/>
      <c r="N110" s="22"/>
      <c r="O110" s="22"/>
      <c r="P110" s="22"/>
      <c r="Q110" s="22"/>
      <c r="R110" s="22"/>
      <c r="S110" s="22"/>
      <c r="T110" s="22"/>
      <c r="U110" s="22"/>
      <c r="V110" s="22"/>
      <c r="W110" s="22"/>
      <c r="X110" s="22"/>
      <c r="Y110" s="22"/>
      <c r="Z110" s="22"/>
      <c r="AA110" s="22"/>
      <c r="AB110" s="22"/>
      <c r="AC110" s="22"/>
      <c r="AD110" s="22"/>
      <c r="AE110" s="22"/>
      <c r="AF110" s="22"/>
      <c r="AG110" s="22"/>
      <c r="AH110" s="22"/>
      <c r="AI110" s="22"/>
      <c r="AJ110" s="22"/>
      <c r="AK110" s="22"/>
      <c r="AL110" s="22"/>
      <c r="AM110" s="22"/>
      <c r="AN110" s="22"/>
    </row>
    <row r="111" spans="1:40" x14ac:dyDescent="0.25">
      <c r="A111" s="22"/>
      <c r="B111" s="22"/>
      <c r="C111" s="22"/>
      <c r="D111" s="22"/>
      <c r="E111" s="22"/>
      <c r="F111" s="22"/>
      <c r="G111" s="22"/>
      <c r="H111" s="22"/>
      <c r="I111" s="22"/>
      <c r="J111" s="22"/>
      <c r="K111" s="22"/>
      <c r="L111" s="22"/>
      <c r="M111" s="22"/>
      <c r="N111" s="22"/>
      <c r="O111" s="22"/>
      <c r="P111" s="22"/>
      <c r="Q111" s="22"/>
      <c r="R111" s="22"/>
      <c r="S111" s="22"/>
      <c r="T111" s="22"/>
      <c r="U111" s="22"/>
      <c r="V111" s="22"/>
      <c r="W111" s="22"/>
      <c r="X111" s="22"/>
      <c r="Y111" s="22"/>
      <c r="Z111" s="22"/>
      <c r="AA111" s="22"/>
      <c r="AB111" s="22"/>
      <c r="AC111" s="22"/>
      <c r="AD111" s="22"/>
      <c r="AE111" s="22"/>
      <c r="AF111" s="22"/>
      <c r="AG111" s="22"/>
      <c r="AH111" s="22"/>
      <c r="AI111" s="22"/>
      <c r="AJ111" s="22"/>
      <c r="AK111" s="22"/>
      <c r="AL111" s="22"/>
      <c r="AM111" s="22"/>
      <c r="AN111" s="22"/>
    </row>
    <row r="112" spans="1:40" x14ac:dyDescent="0.25">
      <c r="A112" s="22"/>
      <c r="B112" s="22"/>
      <c r="C112" s="22"/>
      <c r="D112" s="22"/>
      <c r="E112" s="22"/>
      <c r="F112" s="22"/>
      <c r="G112" s="22"/>
      <c r="H112" s="22"/>
      <c r="I112" s="22"/>
      <c r="J112" s="22"/>
      <c r="K112" s="22"/>
      <c r="L112" s="22"/>
      <c r="M112" s="22"/>
      <c r="N112" s="22"/>
      <c r="O112" s="22"/>
      <c r="P112" s="22"/>
      <c r="Q112" s="22"/>
      <c r="R112" s="22"/>
      <c r="S112" s="22"/>
      <c r="T112" s="22"/>
      <c r="U112" s="22"/>
      <c r="V112" s="22"/>
      <c r="W112" s="22"/>
      <c r="X112" s="22"/>
      <c r="Y112" s="22"/>
      <c r="Z112" s="22"/>
      <c r="AA112" s="22"/>
      <c r="AB112" s="22"/>
      <c r="AC112" s="22"/>
      <c r="AD112" s="22"/>
      <c r="AE112" s="22"/>
      <c r="AF112" s="22"/>
      <c r="AG112" s="22"/>
      <c r="AH112" s="22"/>
      <c r="AI112" s="22"/>
      <c r="AJ112" s="22"/>
      <c r="AK112" s="22"/>
      <c r="AL112" s="22"/>
      <c r="AM112" s="22"/>
      <c r="AN112" s="22"/>
    </row>
    <row r="113" spans="1:40" x14ac:dyDescent="0.25">
      <c r="A113" s="22"/>
      <c r="B113" s="22"/>
      <c r="C113" s="22"/>
      <c r="D113" s="22"/>
      <c r="E113" s="22"/>
      <c r="F113" s="22"/>
      <c r="G113" s="22"/>
      <c r="H113" s="22"/>
      <c r="I113" s="22"/>
      <c r="J113" s="22"/>
      <c r="K113" s="22"/>
      <c r="L113" s="22"/>
      <c r="M113" s="22"/>
      <c r="N113" s="22"/>
      <c r="O113" s="22"/>
      <c r="P113" s="22"/>
      <c r="Q113" s="22"/>
      <c r="R113" s="22"/>
      <c r="S113" s="22"/>
      <c r="T113" s="22"/>
      <c r="U113" s="22"/>
      <c r="V113" s="22"/>
      <c r="W113" s="22"/>
      <c r="X113" s="22"/>
      <c r="Y113" s="22"/>
      <c r="Z113" s="22"/>
      <c r="AA113" s="22"/>
      <c r="AB113" s="22"/>
      <c r="AC113" s="22"/>
      <c r="AD113" s="22"/>
      <c r="AE113" s="22"/>
      <c r="AF113" s="22"/>
      <c r="AG113" s="22"/>
      <c r="AH113" s="22"/>
      <c r="AI113" s="22"/>
      <c r="AJ113" s="22"/>
      <c r="AK113" s="22"/>
      <c r="AL113" s="22"/>
      <c r="AM113" s="22"/>
      <c r="AN113" s="22"/>
    </row>
    <row r="114" spans="1:40" x14ac:dyDescent="0.25">
      <c r="A114" s="22"/>
      <c r="B114" s="22"/>
      <c r="C114" s="22"/>
      <c r="D114" s="22"/>
      <c r="E114" s="22"/>
      <c r="F114" s="22"/>
      <c r="G114" s="22"/>
      <c r="H114" s="22"/>
      <c r="I114" s="22"/>
      <c r="J114" s="22"/>
      <c r="K114" s="22"/>
      <c r="L114" s="22"/>
      <c r="M114" s="22"/>
      <c r="N114" s="22"/>
      <c r="O114" s="22"/>
      <c r="P114" s="22"/>
      <c r="Q114" s="22"/>
      <c r="R114" s="22"/>
      <c r="S114" s="22"/>
      <c r="T114" s="22"/>
      <c r="U114" s="22"/>
      <c r="V114" s="22"/>
      <c r="W114" s="22"/>
      <c r="X114" s="22"/>
      <c r="Y114" s="22"/>
      <c r="Z114" s="22"/>
      <c r="AA114" s="22"/>
      <c r="AB114" s="22"/>
      <c r="AC114" s="22"/>
      <c r="AD114" s="22"/>
      <c r="AE114" s="22"/>
      <c r="AF114" s="22"/>
      <c r="AG114" s="22"/>
      <c r="AH114" s="22"/>
      <c r="AI114" s="22"/>
      <c r="AJ114" s="22"/>
      <c r="AK114" s="22"/>
      <c r="AL114" s="22"/>
      <c r="AM114" s="22"/>
      <c r="AN114" s="22"/>
    </row>
    <row r="115" spans="1:40" x14ac:dyDescent="0.25">
      <c r="A115" s="22"/>
      <c r="B115" s="22"/>
      <c r="C115" s="22"/>
      <c r="D115" s="22"/>
      <c r="E115" s="22"/>
      <c r="F115" s="22"/>
      <c r="G115" s="22"/>
      <c r="H115" s="22"/>
      <c r="I115" s="22"/>
      <c r="J115" s="22"/>
      <c r="K115" s="22"/>
      <c r="L115" s="22"/>
      <c r="M115" s="22"/>
      <c r="N115" s="22"/>
      <c r="O115" s="22"/>
      <c r="P115" s="22"/>
      <c r="Q115" s="22"/>
      <c r="R115" s="22"/>
      <c r="S115" s="22"/>
      <c r="T115" s="22"/>
      <c r="U115" s="22"/>
      <c r="V115" s="22"/>
      <c r="W115" s="22"/>
      <c r="X115" s="22"/>
      <c r="Y115" s="22"/>
      <c r="Z115" s="22"/>
      <c r="AA115" s="22"/>
      <c r="AB115" s="22"/>
      <c r="AC115" s="22"/>
      <c r="AD115" s="22"/>
      <c r="AE115" s="22"/>
      <c r="AF115" s="22"/>
      <c r="AG115" s="22"/>
      <c r="AH115" s="22"/>
      <c r="AI115" s="22"/>
      <c r="AJ115" s="22"/>
      <c r="AK115" s="22"/>
      <c r="AL115" s="22"/>
      <c r="AM115" s="22"/>
      <c r="AN115" s="22"/>
    </row>
    <row r="116" spans="1:40" x14ac:dyDescent="0.25">
      <c r="A116" s="22"/>
      <c r="B116" s="22"/>
      <c r="C116" s="22"/>
      <c r="D116" s="22"/>
      <c r="E116" s="22"/>
      <c r="F116" s="22"/>
      <c r="G116" s="22"/>
      <c r="H116" s="22"/>
      <c r="I116" s="22"/>
      <c r="J116" s="22"/>
      <c r="K116" s="22"/>
      <c r="L116" s="22"/>
      <c r="M116" s="22"/>
      <c r="N116" s="22"/>
      <c r="O116" s="22"/>
      <c r="P116" s="22"/>
      <c r="Q116" s="22"/>
      <c r="R116" s="22"/>
      <c r="S116" s="22"/>
      <c r="T116" s="22"/>
      <c r="U116" s="22"/>
      <c r="V116" s="22"/>
      <c r="W116" s="22"/>
      <c r="X116" s="22"/>
      <c r="Y116" s="22"/>
      <c r="Z116" s="22"/>
      <c r="AA116" s="22"/>
      <c r="AB116" s="22"/>
      <c r="AC116" s="22"/>
      <c r="AD116" s="22"/>
      <c r="AE116" s="22"/>
      <c r="AF116" s="22"/>
      <c r="AG116" s="22"/>
      <c r="AH116" s="22"/>
      <c r="AI116" s="22"/>
      <c r="AJ116" s="22"/>
      <c r="AK116" s="22"/>
      <c r="AL116" s="22"/>
      <c r="AM116" s="22"/>
      <c r="AN116" s="22"/>
    </row>
    <row r="117" spans="1:40" x14ac:dyDescent="0.25">
      <c r="A117" s="22"/>
      <c r="B117" s="22"/>
      <c r="C117" s="22"/>
      <c r="D117" s="22"/>
      <c r="E117" s="22"/>
      <c r="F117" s="22"/>
      <c r="G117" s="22"/>
      <c r="H117" s="22"/>
      <c r="I117" s="22"/>
      <c r="J117" s="22"/>
      <c r="K117" s="22"/>
      <c r="L117" s="22"/>
      <c r="M117" s="22"/>
      <c r="N117" s="22"/>
      <c r="O117" s="22"/>
      <c r="P117" s="22"/>
      <c r="Q117" s="22"/>
      <c r="R117" s="22"/>
      <c r="S117" s="22"/>
      <c r="T117" s="22"/>
      <c r="U117" s="22"/>
      <c r="V117" s="22"/>
      <c r="W117" s="22"/>
      <c r="X117" s="22"/>
      <c r="Y117" s="22"/>
      <c r="Z117" s="22"/>
      <c r="AA117" s="22"/>
      <c r="AB117" s="22"/>
      <c r="AC117" s="22"/>
      <c r="AD117" s="22"/>
      <c r="AE117" s="22"/>
      <c r="AF117" s="22"/>
      <c r="AG117" s="22"/>
      <c r="AH117" s="22"/>
      <c r="AI117" s="22"/>
      <c r="AJ117" s="22"/>
      <c r="AK117" s="22"/>
      <c r="AL117" s="22"/>
      <c r="AM117" s="22"/>
      <c r="AN117" s="22"/>
    </row>
    <row r="118" spans="1:40" x14ac:dyDescent="0.25">
      <c r="A118" s="22"/>
      <c r="B118" s="22"/>
      <c r="C118" s="22"/>
      <c r="D118" s="22"/>
      <c r="E118" s="22"/>
      <c r="F118" s="22"/>
      <c r="G118" s="22"/>
      <c r="H118" s="22"/>
      <c r="I118" s="22"/>
      <c r="J118" s="22"/>
      <c r="K118" s="22"/>
      <c r="L118" s="22"/>
      <c r="M118" s="22"/>
      <c r="N118" s="22"/>
      <c r="O118" s="22"/>
      <c r="P118" s="22"/>
      <c r="Q118" s="22"/>
      <c r="R118" s="22"/>
      <c r="S118" s="22"/>
      <c r="T118" s="22"/>
      <c r="U118" s="22"/>
      <c r="V118" s="22"/>
      <c r="W118" s="22"/>
      <c r="X118" s="22"/>
      <c r="Y118" s="22"/>
      <c r="Z118" s="22"/>
      <c r="AA118" s="22"/>
      <c r="AB118" s="22"/>
      <c r="AC118" s="22"/>
      <c r="AD118" s="22"/>
      <c r="AE118" s="22"/>
      <c r="AF118" s="22"/>
      <c r="AG118" s="22"/>
      <c r="AH118" s="22"/>
      <c r="AI118" s="22"/>
      <c r="AJ118" s="22"/>
      <c r="AK118" s="22"/>
      <c r="AL118" s="22"/>
      <c r="AM118" s="22"/>
      <c r="AN118" s="22"/>
    </row>
    <row r="119" spans="1:40" x14ac:dyDescent="0.25">
      <c r="A119" s="22"/>
      <c r="B119" s="22"/>
      <c r="C119" s="22"/>
      <c r="D119" s="22"/>
      <c r="E119" s="22"/>
      <c r="F119" s="22"/>
      <c r="G119" s="22"/>
      <c r="H119" s="22"/>
      <c r="I119" s="22"/>
      <c r="J119" s="22"/>
      <c r="K119" s="22"/>
      <c r="L119" s="22"/>
      <c r="M119" s="22"/>
      <c r="N119" s="22"/>
      <c r="O119" s="22"/>
      <c r="P119" s="22"/>
      <c r="Q119" s="22"/>
      <c r="R119" s="22"/>
      <c r="S119" s="22"/>
      <c r="T119" s="22"/>
      <c r="U119" s="22"/>
      <c r="V119" s="22"/>
      <c r="W119" s="22"/>
      <c r="X119" s="22"/>
      <c r="Y119" s="22"/>
      <c r="Z119" s="22"/>
      <c r="AA119" s="22"/>
      <c r="AB119" s="22"/>
      <c r="AC119" s="22"/>
      <c r="AD119" s="22"/>
      <c r="AE119" s="22"/>
      <c r="AF119" s="22"/>
      <c r="AG119" s="22"/>
      <c r="AH119" s="22"/>
      <c r="AI119" s="22"/>
      <c r="AJ119" s="22"/>
      <c r="AK119" s="22"/>
      <c r="AL119" s="22"/>
      <c r="AM119" s="22"/>
      <c r="AN119" s="22"/>
    </row>
    <row r="120" spans="1:40" x14ac:dyDescent="0.25">
      <c r="A120" s="22"/>
      <c r="B120" s="22"/>
      <c r="C120" s="22"/>
      <c r="D120" s="22"/>
      <c r="E120" s="22"/>
      <c r="F120" s="22"/>
      <c r="G120" s="22"/>
      <c r="H120" s="22"/>
      <c r="I120" s="22"/>
      <c r="J120" s="22"/>
      <c r="K120" s="22"/>
      <c r="L120" s="22"/>
      <c r="M120" s="22"/>
      <c r="N120" s="22"/>
      <c r="O120" s="22"/>
      <c r="P120" s="22"/>
      <c r="Q120" s="22"/>
      <c r="R120" s="22"/>
      <c r="S120" s="22"/>
      <c r="T120" s="22"/>
      <c r="U120" s="22"/>
      <c r="V120" s="22"/>
      <c r="W120" s="22"/>
      <c r="X120" s="22"/>
      <c r="Y120" s="22"/>
      <c r="Z120" s="22"/>
      <c r="AA120" s="22"/>
      <c r="AB120" s="22"/>
      <c r="AC120" s="22"/>
      <c r="AD120" s="22"/>
      <c r="AE120" s="22"/>
      <c r="AF120" s="22"/>
      <c r="AG120" s="22"/>
      <c r="AH120" s="22"/>
      <c r="AI120" s="22"/>
      <c r="AJ120" s="22"/>
      <c r="AK120" s="22"/>
      <c r="AL120" s="22"/>
      <c r="AM120" s="22"/>
      <c r="AN120" s="22"/>
    </row>
    <row r="121" spans="1:40" x14ac:dyDescent="0.25">
      <c r="A121" s="22"/>
      <c r="B121" s="22"/>
      <c r="C121" s="22"/>
      <c r="D121" s="22"/>
      <c r="E121" s="22"/>
      <c r="F121" s="22"/>
      <c r="G121" s="22"/>
      <c r="H121" s="22"/>
      <c r="I121" s="22"/>
      <c r="J121" s="22"/>
      <c r="K121" s="22"/>
      <c r="L121" s="22"/>
      <c r="M121" s="22"/>
      <c r="N121" s="22"/>
      <c r="O121" s="22"/>
      <c r="P121" s="22"/>
      <c r="Q121" s="22"/>
      <c r="R121" s="22"/>
      <c r="S121" s="22"/>
      <c r="T121" s="22"/>
      <c r="U121" s="22"/>
      <c r="V121" s="22"/>
      <c r="W121" s="22"/>
      <c r="X121" s="22"/>
      <c r="Y121" s="22"/>
      <c r="Z121" s="22"/>
      <c r="AA121" s="22"/>
      <c r="AB121" s="22"/>
      <c r="AC121" s="22"/>
      <c r="AD121" s="22"/>
      <c r="AE121" s="22"/>
      <c r="AF121" s="22"/>
      <c r="AG121" s="22"/>
      <c r="AH121" s="22"/>
      <c r="AI121" s="22"/>
      <c r="AJ121" s="22"/>
      <c r="AK121" s="22"/>
      <c r="AL121" s="22"/>
      <c r="AM121" s="22"/>
      <c r="AN121" s="22"/>
    </row>
    <row r="122" spans="1:40" x14ac:dyDescent="0.25">
      <c r="A122" s="22"/>
      <c r="B122" s="22"/>
      <c r="C122" s="22"/>
      <c r="D122" s="22"/>
      <c r="E122" s="22"/>
      <c r="F122" s="22"/>
      <c r="G122" s="22"/>
      <c r="H122" s="22"/>
      <c r="I122" s="22"/>
      <c r="J122" s="22"/>
      <c r="K122" s="22"/>
      <c r="L122" s="22"/>
      <c r="M122" s="22"/>
      <c r="N122" s="22"/>
      <c r="O122" s="22"/>
      <c r="P122" s="22"/>
      <c r="Q122" s="22"/>
      <c r="R122" s="22"/>
      <c r="S122" s="22"/>
      <c r="T122" s="22"/>
      <c r="U122" s="22"/>
      <c r="V122" s="22"/>
      <c r="W122" s="22"/>
      <c r="X122" s="22"/>
      <c r="Y122" s="22"/>
      <c r="Z122" s="22"/>
      <c r="AA122" s="22"/>
      <c r="AB122" s="22"/>
      <c r="AC122" s="22"/>
      <c r="AD122" s="22"/>
      <c r="AE122" s="22"/>
      <c r="AF122" s="22"/>
      <c r="AG122" s="22"/>
      <c r="AH122" s="22"/>
      <c r="AI122" s="22"/>
      <c r="AJ122" s="22"/>
      <c r="AK122" s="22"/>
      <c r="AL122" s="22"/>
      <c r="AM122" s="22"/>
      <c r="AN122" s="22"/>
    </row>
    <row r="123" spans="1:40" x14ac:dyDescent="0.25">
      <c r="A123" s="22"/>
      <c r="B123" s="22"/>
      <c r="C123" s="22"/>
      <c r="D123" s="22"/>
      <c r="E123" s="22"/>
      <c r="F123" s="22"/>
      <c r="G123" s="22"/>
      <c r="H123" s="22"/>
      <c r="I123" s="22"/>
      <c r="J123" s="22"/>
      <c r="K123" s="22"/>
      <c r="L123" s="22"/>
      <c r="M123" s="22"/>
      <c r="N123" s="22"/>
      <c r="O123" s="22"/>
      <c r="P123" s="22"/>
      <c r="Q123" s="22"/>
      <c r="R123" s="22"/>
      <c r="S123" s="22"/>
      <c r="T123" s="22"/>
      <c r="U123" s="22"/>
      <c r="V123" s="22"/>
      <c r="W123" s="22"/>
      <c r="X123" s="22"/>
      <c r="Y123" s="22"/>
      <c r="Z123" s="22"/>
      <c r="AA123" s="22"/>
      <c r="AB123" s="22"/>
      <c r="AC123" s="22"/>
      <c r="AD123" s="22"/>
      <c r="AE123" s="22"/>
      <c r="AF123" s="22"/>
      <c r="AG123" s="22"/>
      <c r="AH123" s="22"/>
      <c r="AI123" s="22"/>
      <c r="AJ123" s="22"/>
      <c r="AK123" s="22"/>
      <c r="AL123" s="22"/>
      <c r="AM123" s="22"/>
      <c r="AN123" s="22"/>
    </row>
    <row r="124" spans="1:40" x14ac:dyDescent="0.25">
      <c r="A124" s="22"/>
      <c r="B124" s="22"/>
      <c r="C124" s="22"/>
      <c r="D124" s="22"/>
      <c r="E124" s="22"/>
      <c r="F124" s="22"/>
      <c r="G124" s="22"/>
      <c r="H124" s="22"/>
      <c r="I124" s="22"/>
      <c r="J124" s="22"/>
      <c r="K124" s="22"/>
      <c r="L124" s="22"/>
      <c r="M124" s="22"/>
      <c r="N124" s="22"/>
      <c r="O124" s="22"/>
      <c r="P124" s="22"/>
      <c r="Q124" s="22"/>
      <c r="R124" s="22"/>
      <c r="S124" s="22"/>
      <c r="T124" s="22"/>
      <c r="U124" s="22"/>
      <c r="V124" s="22"/>
      <c r="W124" s="22"/>
      <c r="X124" s="22"/>
      <c r="Y124" s="22"/>
      <c r="Z124" s="22"/>
      <c r="AA124" s="22"/>
      <c r="AB124" s="22"/>
      <c r="AC124" s="22"/>
      <c r="AD124" s="22"/>
      <c r="AE124" s="22"/>
      <c r="AF124" s="22"/>
      <c r="AG124" s="22"/>
      <c r="AH124" s="22"/>
      <c r="AI124" s="22"/>
      <c r="AJ124" s="22"/>
      <c r="AK124" s="22"/>
      <c r="AL124" s="22"/>
      <c r="AM124" s="22"/>
      <c r="AN124" s="22"/>
    </row>
    <row r="125" spans="1:40" x14ac:dyDescent="0.25">
      <c r="A125" s="22"/>
      <c r="B125" s="22"/>
      <c r="C125" s="22"/>
      <c r="D125" s="22"/>
      <c r="E125" s="22"/>
      <c r="F125" s="22"/>
      <c r="G125" s="22"/>
      <c r="H125" s="22"/>
      <c r="I125" s="22"/>
      <c r="J125" s="22"/>
      <c r="K125" s="22"/>
      <c r="L125" s="22"/>
      <c r="M125" s="22"/>
      <c r="N125" s="22"/>
      <c r="O125" s="22"/>
      <c r="P125" s="22"/>
      <c r="Q125" s="22"/>
      <c r="R125" s="22"/>
      <c r="S125" s="22"/>
      <c r="T125" s="22"/>
      <c r="U125" s="22"/>
      <c r="V125" s="22"/>
      <c r="W125" s="22"/>
      <c r="X125" s="22"/>
      <c r="Y125" s="22"/>
      <c r="Z125" s="22"/>
      <c r="AA125" s="22"/>
      <c r="AB125" s="22"/>
      <c r="AC125" s="22"/>
      <c r="AD125" s="22"/>
      <c r="AE125" s="22"/>
      <c r="AF125" s="22"/>
      <c r="AG125" s="22"/>
      <c r="AH125" s="22"/>
      <c r="AI125" s="22"/>
      <c r="AJ125" s="22"/>
      <c r="AK125" s="22"/>
      <c r="AL125" s="22"/>
      <c r="AM125" s="22"/>
      <c r="AN125" s="22"/>
    </row>
    <row r="126" spans="1:40" x14ac:dyDescent="0.25">
      <c r="A126" s="22"/>
      <c r="B126" s="22"/>
      <c r="C126" s="22"/>
      <c r="D126" s="22"/>
      <c r="E126" s="22"/>
      <c r="F126" s="22"/>
      <c r="G126" s="22"/>
      <c r="H126" s="22"/>
      <c r="I126" s="22"/>
      <c r="J126" s="22"/>
      <c r="K126" s="22"/>
      <c r="L126" s="22"/>
      <c r="M126" s="22"/>
      <c r="N126" s="22"/>
      <c r="O126" s="22"/>
      <c r="P126" s="22"/>
      <c r="Q126" s="22"/>
      <c r="R126" s="22"/>
      <c r="S126" s="22"/>
      <c r="T126" s="22"/>
      <c r="U126" s="22"/>
      <c r="V126" s="22"/>
      <c r="W126" s="22"/>
      <c r="X126" s="22"/>
      <c r="Y126" s="22"/>
      <c r="Z126" s="22"/>
      <c r="AA126" s="22"/>
      <c r="AB126" s="22"/>
      <c r="AC126" s="22"/>
      <c r="AD126" s="22"/>
      <c r="AE126" s="22"/>
      <c r="AF126" s="22"/>
      <c r="AG126" s="22"/>
      <c r="AH126" s="22"/>
      <c r="AI126" s="22"/>
      <c r="AJ126" s="22"/>
      <c r="AK126" s="22"/>
      <c r="AL126" s="22"/>
      <c r="AM126" s="22"/>
      <c r="AN126" s="22"/>
    </row>
    <row r="127" spans="1:40" x14ac:dyDescent="0.25">
      <c r="A127" s="22"/>
      <c r="B127" s="22"/>
      <c r="C127" s="22"/>
      <c r="D127" s="22"/>
      <c r="E127" s="22"/>
      <c r="F127" s="22"/>
      <c r="G127" s="22"/>
      <c r="H127" s="22"/>
      <c r="I127" s="22"/>
      <c r="J127" s="22"/>
      <c r="K127" s="22"/>
      <c r="L127" s="22"/>
      <c r="M127" s="22"/>
      <c r="N127" s="22"/>
      <c r="O127" s="22"/>
      <c r="P127" s="22"/>
      <c r="Q127" s="22"/>
      <c r="R127" s="22"/>
      <c r="S127" s="22"/>
      <c r="T127" s="22"/>
      <c r="U127" s="22"/>
      <c r="V127" s="22"/>
      <c r="W127" s="22"/>
      <c r="X127" s="22"/>
      <c r="Y127" s="22"/>
      <c r="Z127" s="22"/>
      <c r="AA127" s="22"/>
      <c r="AB127" s="22"/>
      <c r="AC127" s="22"/>
      <c r="AD127" s="22"/>
      <c r="AE127" s="22"/>
      <c r="AF127" s="22"/>
      <c r="AG127" s="22"/>
      <c r="AH127" s="22"/>
      <c r="AI127" s="22"/>
      <c r="AJ127" s="22"/>
      <c r="AK127" s="22"/>
      <c r="AL127" s="22"/>
      <c r="AM127" s="22"/>
      <c r="AN127" s="22"/>
    </row>
    <row r="128" spans="1:40" x14ac:dyDescent="0.25">
      <c r="A128" s="22"/>
      <c r="B128" s="22"/>
      <c r="C128" s="22"/>
      <c r="D128" s="22"/>
      <c r="E128" s="22"/>
      <c r="F128" s="22"/>
      <c r="G128" s="22"/>
      <c r="H128" s="22"/>
      <c r="I128" s="22"/>
      <c r="J128" s="22"/>
      <c r="K128" s="22"/>
      <c r="L128" s="22"/>
      <c r="M128" s="22"/>
      <c r="N128" s="22"/>
      <c r="O128" s="22"/>
      <c r="P128" s="22"/>
      <c r="Q128" s="22"/>
      <c r="R128" s="22"/>
      <c r="S128" s="22"/>
      <c r="T128" s="22"/>
      <c r="U128" s="22"/>
      <c r="V128" s="22"/>
      <c r="W128" s="22"/>
      <c r="X128" s="22"/>
      <c r="Y128" s="22"/>
      <c r="Z128" s="22"/>
      <c r="AA128" s="22"/>
      <c r="AB128" s="22"/>
      <c r="AC128" s="22"/>
      <c r="AD128" s="22"/>
      <c r="AE128" s="22"/>
      <c r="AF128" s="22"/>
      <c r="AG128" s="22"/>
      <c r="AH128" s="22"/>
      <c r="AI128" s="22"/>
      <c r="AJ128" s="22"/>
      <c r="AK128" s="22"/>
      <c r="AL128" s="22"/>
      <c r="AM128" s="22"/>
      <c r="AN128" s="22"/>
    </row>
    <row r="129" spans="1:40" x14ac:dyDescent="0.25">
      <c r="A129" s="22"/>
      <c r="B129" s="22"/>
      <c r="C129" s="22"/>
      <c r="D129" s="22"/>
      <c r="E129" s="22"/>
      <c r="F129" s="22"/>
      <c r="G129" s="22"/>
      <c r="H129" s="22"/>
      <c r="I129" s="22"/>
      <c r="J129" s="22"/>
      <c r="K129" s="22"/>
      <c r="L129" s="22"/>
      <c r="M129" s="22"/>
      <c r="N129" s="22"/>
      <c r="O129" s="22"/>
      <c r="P129" s="22"/>
      <c r="Q129" s="22"/>
      <c r="R129" s="22"/>
      <c r="S129" s="22"/>
      <c r="T129" s="22"/>
      <c r="U129" s="22"/>
      <c r="V129" s="22"/>
      <c r="W129" s="22"/>
      <c r="X129" s="22"/>
      <c r="Y129" s="22"/>
      <c r="Z129" s="22"/>
      <c r="AA129" s="22"/>
      <c r="AB129" s="22"/>
      <c r="AC129" s="22"/>
      <c r="AD129" s="22"/>
      <c r="AE129" s="22"/>
      <c r="AF129" s="22"/>
      <c r="AG129" s="22"/>
      <c r="AH129" s="22"/>
      <c r="AI129" s="22"/>
      <c r="AJ129" s="22"/>
      <c r="AK129" s="22"/>
      <c r="AL129" s="22"/>
      <c r="AM129" s="22"/>
      <c r="AN129" s="22"/>
    </row>
    <row r="130" spans="1:40" x14ac:dyDescent="0.25">
      <c r="A130" s="22"/>
      <c r="B130" s="22"/>
      <c r="C130" s="22"/>
      <c r="D130" s="22"/>
      <c r="E130" s="22"/>
      <c r="F130" s="22"/>
      <c r="G130" s="22"/>
      <c r="H130" s="22"/>
      <c r="I130" s="22"/>
      <c r="J130" s="22"/>
      <c r="K130" s="22"/>
      <c r="L130" s="22"/>
      <c r="M130" s="22"/>
      <c r="N130" s="22"/>
      <c r="O130" s="22"/>
      <c r="P130" s="22"/>
      <c r="Q130" s="22"/>
      <c r="R130" s="22"/>
      <c r="S130" s="22"/>
      <c r="T130" s="22"/>
      <c r="U130" s="22"/>
      <c r="V130" s="22"/>
      <c r="W130" s="22"/>
      <c r="X130" s="22"/>
      <c r="Y130" s="22"/>
      <c r="Z130" s="22"/>
      <c r="AA130" s="22"/>
      <c r="AB130" s="22"/>
      <c r="AC130" s="22"/>
      <c r="AD130" s="22"/>
      <c r="AE130" s="22"/>
      <c r="AF130" s="22"/>
      <c r="AG130" s="22"/>
      <c r="AH130" s="22"/>
      <c r="AI130" s="22"/>
      <c r="AJ130" s="22"/>
      <c r="AK130" s="22"/>
      <c r="AL130" s="22"/>
      <c r="AM130" s="22"/>
      <c r="AN130" s="22"/>
    </row>
    <row r="131" spans="1:40" x14ac:dyDescent="0.25">
      <c r="A131" s="22"/>
      <c r="B131" s="22"/>
      <c r="C131" s="22"/>
      <c r="D131" s="22"/>
      <c r="E131" s="22"/>
      <c r="F131" s="22"/>
      <c r="G131" s="22"/>
      <c r="H131" s="22"/>
      <c r="I131" s="22"/>
      <c r="J131" s="22"/>
      <c r="K131" s="22"/>
      <c r="L131" s="22"/>
      <c r="M131" s="22"/>
      <c r="N131" s="22"/>
      <c r="O131" s="22"/>
      <c r="P131" s="22"/>
      <c r="Q131" s="22"/>
      <c r="R131" s="22"/>
      <c r="S131" s="22"/>
      <c r="T131" s="22"/>
      <c r="U131" s="22"/>
      <c r="V131" s="22"/>
      <c r="W131" s="22"/>
      <c r="X131" s="22"/>
      <c r="Y131" s="22"/>
      <c r="Z131" s="22"/>
      <c r="AA131" s="22"/>
      <c r="AB131" s="22"/>
      <c r="AC131" s="22"/>
      <c r="AD131" s="22"/>
      <c r="AE131" s="22"/>
      <c r="AF131" s="22"/>
      <c r="AG131" s="22"/>
      <c r="AH131" s="22"/>
      <c r="AI131" s="22"/>
      <c r="AJ131" s="22"/>
      <c r="AK131" s="22"/>
      <c r="AL131" s="22"/>
      <c r="AM131" s="22"/>
      <c r="AN131" s="22"/>
    </row>
    <row r="132" spans="1:40" x14ac:dyDescent="0.25">
      <c r="A132" s="22"/>
      <c r="B132" s="22"/>
      <c r="C132" s="22"/>
      <c r="D132" s="22"/>
      <c r="E132" s="22"/>
      <c r="F132" s="22"/>
      <c r="G132" s="22"/>
      <c r="H132" s="22"/>
      <c r="I132" s="22"/>
      <c r="J132" s="22"/>
      <c r="K132" s="22"/>
      <c r="L132" s="22"/>
      <c r="M132" s="22"/>
      <c r="N132" s="22"/>
      <c r="O132" s="22"/>
      <c r="P132" s="22"/>
      <c r="Q132" s="22"/>
      <c r="R132" s="22"/>
      <c r="S132" s="22"/>
      <c r="T132" s="22"/>
      <c r="U132" s="22"/>
      <c r="V132" s="22"/>
      <c r="W132" s="22"/>
      <c r="X132" s="22"/>
      <c r="Y132" s="22"/>
      <c r="Z132" s="22"/>
      <c r="AA132" s="22"/>
      <c r="AB132" s="22"/>
      <c r="AC132" s="22"/>
      <c r="AD132" s="22"/>
      <c r="AE132" s="22"/>
      <c r="AF132" s="22"/>
      <c r="AG132" s="22"/>
      <c r="AH132" s="22"/>
      <c r="AI132" s="22"/>
      <c r="AJ132" s="22"/>
      <c r="AK132" s="22"/>
      <c r="AL132" s="22"/>
      <c r="AM132" s="22"/>
      <c r="AN132" s="22"/>
    </row>
    <row r="133" spans="1:40" x14ac:dyDescent="0.25">
      <c r="A133" s="22"/>
      <c r="B133" s="22"/>
      <c r="C133" s="22"/>
      <c r="D133" s="22"/>
      <c r="E133" s="22"/>
      <c r="F133" s="22"/>
      <c r="G133" s="22"/>
      <c r="H133" s="22"/>
      <c r="I133" s="22"/>
      <c r="J133" s="22"/>
      <c r="K133" s="22"/>
      <c r="L133" s="22"/>
      <c r="M133" s="22"/>
      <c r="N133" s="22"/>
      <c r="O133" s="22"/>
      <c r="P133" s="22"/>
      <c r="Q133" s="22"/>
      <c r="R133" s="22"/>
      <c r="S133" s="22"/>
      <c r="T133" s="22"/>
      <c r="U133" s="22"/>
      <c r="V133" s="22"/>
      <c r="W133" s="22"/>
      <c r="X133" s="22"/>
      <c r="Y133" s="22"/>
      <c r="Z133" s="22"/>
      <c r="AA133" s="22"/>
      <c r="AB133" s="22"/>
      <c r="AC133" s="22"/>
      <c r="AD133" s="22"/>
      <c r="AE133" s="22"/>
      <c r="AF133" s="22"/>
      <c r="AG133" s="22"/>
      <c r="AH133" s="22"/>
      <c r="AI133" s="22"/>
      <c r="AJ133" s="22"/>
      <c r="AK133" s="22"/>
      <c r="AL133" s="22"/>
      <c r="AM133" s="22"/>
      <c r="AN133" s="22"/>
    </row>
    <row r="134" spans="1:40" x14ac:dyDescent="0.25">
      <c r="A134" s="22"/>
      <c r="B134" s="22"/>
      <c r="C134" s="22"/>
      <c r="D134" s="22"/>
      <c r="E134" s="22"/>
      <c r="F134" s="22"/>
      <c r="G134" s="22"/>
      <c r="H134" s="22"/>
      <c r="I134" s="22"/>
      <c r="J134" s="22"/>
      <c r="K134" s="22"/>
      <c r="L134" s="22"/>
      <c r="M134" s="22"/>
      <c r="N134" s="22"/>
      <c r="O134" s="22"/>
      <c r="P134" s="22"/>
      <c r="Q134" s="22"/>
      <c r="R134" s="22"/>
      <c r="S134" s="22"/>
      <c r="T134" s="22"/>
      <c r="U134" s="22"/>
      <c r="V134" s="22"/>
      <c r="W134" s="22"/>
      <c r="X134" s="22"/>
      <c r="Y134" s="22"/>
      <c r="Z134" s="22"/>
      <c r="AA134" s="22"/>
      <c r="AB134" s="22"/>
      <c r="AC134" s="22"/>
      <c r="AD134" s="22"/>
      <c r="AE134" s="22"/>
      <c r="AF134" s="22"/>
      <c r="AG134" s="22"/>
      <c r="AH134" s="22"/>
      <c r="AI134" s="22"/>
      <c r="AJ134" s="22"/>
      <c r="AK134" s="22"/>
      <c r="AL134" s="22"/>
      <c r="AM134" s="22"/>
      <c r="AN134" s="22"/>
    </row>
    <row r="135" spans="1:40" x14ac:dyDescent="0.25">
      <c r="A135" s="22"/>
      <c r="B135" s="22"/>
      <c r="C135" s="22"/>
      <c r="D135" s="22"/>
      <c r="E135" s="22"/>
      <c r="F135" s="22"/>
      <c r="G135" s="22"/>
      <c r="H135" s="22"/>
      <c r="I135" s="22"/>
      <c r="J135" s="22"/>
      <c r="K135" s="22"/>
      <c r="L135" s="22"/>
      <c r="M135" s="22"/>
      <c r="N135" s="22"/>
      <c r="O135" s="22"/>
      <c r="P135" s="22"/>
      <c r="Q135" s="22"/>
      <c r="R135" s="22"/>
      <c r="S135" s="22"/>
      <c r="T135" s="22"/>
      <c r="U135" s="22"/>
      <c r="V135" s="22"/>
      <c r="W135" s="22"/>
      <c r="X135" s="22"/>
      <c r="Y135" s="22"/>
      <c r="Z135" s="22"/>
      <c r="AA135" s="22"/>
      <c r="AB135" s="22"/>
      <c r="AC135" s="22"/>
      <c r="AD135" s="22"/>
      <c r="AE135" s="22"/>
      <c r="AF135" s="22"/>
      <c r="AG135" s="22"/>
      <c r="AH135" s="22"/>
      <c r="AI135" s="22"/>
      <c r="AJ135" s="22"/>
      <c r="AK135" s="22"/>
      <c r="AL135" s="22"/>
      <c r="AM135" s="22"/>
      <c r="AN135" s="22"/>
    </row>
    <row r="136" spans="1:40" x14ac:dyDescent="0.25">
      <c r="A136" s="22"/>
      <c r="B136" s="22"/>
      <c r="C136" s="22"/>
      <c r="D136" s="22"/>
      <c r="E136" s="22"/>
      <c r="F136" s="22"/>
      <c r="G136" s="22"/>
      <c r="H136" s="22"/>
      <c r="I136" s="22"/>
      <c r="J136" s="22"/>
      <c r="K136" s="22"/>
      <c r="L136" s="22"/>
      <c r="M136" s="22"/>
      <c r="N136" s="22"/>
      <c r="O136" s="22"/>
      <c r="P136" s="22"/>
      <c r="Q136" s="22"/>
      <c r="R136" s="22"/>
      <c r="S136" s="22"/>
      <c r="T136" s="22"/>
      <c r="U136" s="22"/>
      <c r="V136" s="22"/>
      <c r="W136" s="22"/>
      <c r="X136" s="22"/>
      <c r="Y136" s="22"/>
      <c r="Z136" s="22"/>
      <c r="AA136" s="22"/>
      <c r="AB136" s="22"/>
      <c r="AC136" s="22"/>
      <c r="AD136" s="22"/>
      <c r="AE136" s="22"/>
      <c r="AF136" s="22"/>
      <c r="AG136" s="22"/>
      <c r="AH136" s="22"/>
      <c r="AI136" s="22"/>
      <c r="AJ136" s="22"/>
      <c r="AK136" s="22"/>
      <c r="AL136" s="22"/>
      <c r="AM136" s="22"/>
      <c r="AN136" s="22"/>
    </row>
    <row r="137" spans="1:40" x14ac:dyDescent="0.25">
      <c r="A137" s="22"/>
      <c r="B137" s="22"/>
      <c r="C137" s="22"/>
      <c r="D137" s="22"/>
      <c r="E137" s="22"/>
      <c r="F137" s="22"/>
      <c r="G137" s="22"/>
      <c r="H137" s="22"/>
      <c r="I137" s="22"/>
      <c r="J137" s="22"/>
      <c r="K137" s="22"/>
      <c r="L137" s="22"/>
      <c r="M137" s="22"/>
      <c r="N137" s="22"/>
      <c r="O137" s="22"/>
      <c r="P137" s="22"/>
      <c r="Q137" s="22"/>
      <c r="R137" s="22"/>
      <c r="S137" s="22"/>
      <c r="T137" s="22"/>
      <c r="U137" s="22"/>
      <c r="V137" s="22"/>
      <c r="W137" s="22"/>
      <c r="X137" s="22"/>
      <c r="Y137" s="22"/>
      <c r="Z137" s="22"/>
      <c r="AA137" s="22"/>
      <c r="AB137" s="22"/>
      <c r="AC137" s="22"/>
      <c r="AD137" s="22"/>
      <c r="AE137" s="22"/>
      <c r="AF137" s="22"/>
      <c r="AG137" s="22"/>
      <c r="AH137" s="22"/>
      <c r="AI137" s="22"/>
      <c r="AJ137" s="22"/>
      <c r="AK137" s="22"/>
      <c r="AL137" s="22"/>
      <c r="AM137" s="22"/>
      <c r="AN137" s="22"/>
    </row>
    <row r="138" spans="1:40" x14ac:dyDescent="0.25">
      <c r="A138" s="22"/>
      <c r="B138" s="22"/>
      <c r="C138" s="22"/>
      <c r="D138" s="22"/>
      <c r="E138" s="22"/>
      <c r="F138" s="22"/>
      <c r="G138" s="22"/>
      <c r="H138" s="22"/>
      <c r="I138" s="22"/>
      <c r="J138" s="22"/>
      <c r="K138" s="22"/>
      <c r="L138" s="22"/>
      <c r="M138" s="22"/>
      <c r="N138" s="22"/>
      <c r="O138" s="22"/>
      <c r="P138" s="22"/>
      <c r="Q138" s="22"/>
      <c r="R138" s="22"/>
      <c r="S138" s="22"/>
      <c r="T138" s="22"/>
      <c r="U138" s="22"/>
      <c r="V138" s="22"/>
      <c r="W138" s="22"/>
      <c r="X138" s="22"/>
      <c r="Y138" s="22"/>
      <c r="Z138" s="22"/>
      <c r="AA138" s="22"/>
      <c r="AB138" s="22"/>
      <c r="AC138" s="22"/>
      <c r="AD138" s="22"/>
      <c r="AE138" s="22"/>
      <c r="AF138" s="22"/>
      <c r="AG138" s="22"/>
      <c r="AH138" s="22"/>
      <c r="AI138" s="22"/>
      <c r="AJ138" s="22"/>
      <c r="AK138" s="22"/>
      <c r="AL138" s="22"/>
      <c r="AM138" s="22"/>
      <c r="AN138" s="22"/>
    </row>
    <row r="139" spans="1:40" x14ac:dyDescent="0.25">
      <c r="A139" s="22"/>
      <c r="B139" s="22"/>
      <c r="C139" s="22"/>
      <c r="D139" s="22"/>
      <c r="E139" s="22"/>
      <c r="F139" s="22"/>
      <c r="G139" s="22"/>
      <c r="H139" s="22"/>
      <c r="I139" s="22"/>
      <c r="J139" s="22"/>
      <c r="K139" s="22"/>
      <c r="L139" s="22"/>
      <c r="M139" s="22"/>
      <c r="N139" s="22"/>
      <c r="O139" s="22"/>
      <c r="P139" s="22"/>
      <c r="Q139" s="22"/>
      <c r="R139" s="22"/>
      <c r="S139" s="22"/>
      <c r="T139" s="22"/>
      <c r="U139" s="22"/>
      <c r="V139" s="22"/>
      <c r="W139" s="22"/>
      <c r="X139" s="22"/>
      <c r="Y139" s="22"/>
      <c r="Z139" s="22"/>
      <c r="AA139" s="22"/>
      <c r="AB139" s="22"/>
      <c r="AC139" s="22"/>
      <c r="AD139" s="22"/>
      <c r="AE139" s="22"/>
      <c r="AF139" s="22"/>
      <c r="AG139" s="22"/>
      <c r="AH139" s="22"/>
      <c r="AI139" s="22"/>
      <c r="AJ139" s="22"/>
      <c r="AK139" s="22"/>
      <c r="AL139" s="22"/>
      <c r="AM139" s="22"/>
      <c r="AN139" s="22"/>
    </row>
    <row r="140" spans="1:40" x14ac:dyDescent="0.25">
      <c r="A140" s="22"/>
      <c r="B140" s="22"/>
      <c r="C140" s="22"/>
      <c r="D140" s="22"/>
      <c r="E140" s="22"/>
      <c r="F140" s="22"/>
      <c r="G140" s="22"/>
      <c r="H140" s="22"/>
      <c r="I140" s="22"/>
      <c r="J140" s="22"/>
      <c r="K140" s="22"/>
      <c r="L140" s="22"/>
      <c r="M140" s="22"/>
      <c r="N140" s="22"/>
      <c r="O140" s="22"/>
      <c r="P140" s="22"/>
      <c r="Q140" s="22"/>
      <c r="R140" s="22"/>
      <c r="S140" s="22"/>
      <c r="T140" s="22"/>
      <c r="U140" s="22"/>
      <c r="V140" s="22"/>
      <c r="W140" s="22"/>
      <c r="X140" s="22"/>
      <c r="Y140" s="22"/>
      <c r="Z140" s="22"/>
      <c r="AA140" s="22"/>
      <c r="AB140" s="22"/>
      <c r="AC140" s="22"/>
      <c r="AD140" s="22"/>
      <c r="AE140" s="22"/>
      <c r="AF140" s="22"/>
      <c r="AG140" s="22"/>
      <c r="AH140" s="22"/>
      <c r="AI140" s="22"/>
      <c r="AJ140" s="22"/>
      <c r="AK140" s="22"/>
      <c r="AL140" s="22"/>
      <c r="AM140" s="22"/>
      <c r="AN140" s="22"/>
    </row>
    <row r="141" spans="1:40" x14ac:dyDescent="0.25">
      <c r="A141" s="22"/>
      <c r="B141" s="22"/>
      <c r="C141" s="22"/>
      <c r="D141" s="22"/>
      <c r="E141" s="22"/>
      <c r="F141" s="22"/>
      <c r="G141" s="22"/>
      <c r="H141" s="22"/>
      <c r="I141" s="22"/>
      <c r="J141" s="22"/>
      <c r="K141" s="22"/>
      <c r="L141" s="22"/>
      <c r="M141" s="22"/>
      <c r="N141" s="22"/>
      <c r="O141" s="22"/>
      <c r="P141" s="22"/>
      <c r="Q141" s="22"/>
      <c r="R141" s="22"/>
      <c r="S141" s="22"/>
      <c r="T141" s="22"/>
      <c r="U141" s="22"/>
      <c r="V141" s="22"/>
      <c r="W141" s="22"/>
      <c r="X141" s="22"/>
      <c r="Y141" s="22"/>
      <c r="Z141" s="22"/>
      <c r="AA141" s="22"/>
      <c r="AB141" s="22"/>
      <c r="AC141" s="22"/>
      <c r="AD141" s="22"/>
      <c r="AE141" s="22"/>
      <c r="AF141" s="22"/>
      <c r="AG141" s="22"/>
      <c r="AH141" s="22"/>
      <c r="AI141" s="22"/>
      <c r="AJ141" s="22"/>
      <c r="AK141" s="22"/>
      <c r="AL141" s="22"/>
      <c r="AM141" s="22"/>
      <c r="AN141" s="22"/>
    </row>
    <row r="142" spans="1:40" x14ac:dyDescent="0.25">
      <c r="A142" s="22"/>
      <c r="B142" s="22"/>
      <c r="C142" s="22"/>
      <c r="D142" s="22"/>
      <c r="E142" s="22"/>
      <c r="F142" s="22"/>
      <c r="G142" s="22"/>
      <c r="H142" s="22"/>
      <c r="I142" s="22"/>
      <c r="J142" s="22"/>
      <c r="K142" s="22"/>
      <c r="L142" s="22"/>
      <c r="M142" s="22"/>
      <c r="N142" s="22"/>
      <c r="O142" s="22"/>
      <c r="P142" s="22"/>
      <c r="Q142" s="22"/>
      <c r="R142" s="22"/>
      <c r="S142" s="22"/>
      <c r="T142" s="22"/>
      <c r="U142" s="22"/>
      <c r="V142" s="22"/>
      <c r="W142" s="22"/>
      <c r="X142" s="22"/>
      <c r="Y142" s="22"/>
      <c r="Z142" s="22"/>
      <c r="AA142" s="22"/>
      <c r="AB142" s="22"/>
      <c r="AC142" s="22"/>
      <c r="AD142" s="22"/>
      <c r="AE142" s="22"/>
      <c r="AF142" s="22"/>
      <c r="AG142" s="22"/>
      <c r="AH142" s="22"/>
      <c r="AI142" s="22"/>
      <c r="AJ142" s="22"/>
      <c r="AK142" s="22"/>
      <c r="AL142" s="22"/>
      <c r="AM142" s="22"/>
      <c r="AN142" s="22"/>
    </row>
    <row r="143" spans="1:40" x14ac:dyDescent="0.25">
      <c r="A143" s="22"/>
      <c r="B143" s="22"/>
      <c r="C143" s="22"/>
      <c r="D143" s="22"/>
      <c r="E143" s="22"/>
      <c r="F143" s="22"/>
      <c r="G143" s="22"/>
      <c r="H143" s="22"/>
      <c r="I143" s="22"/>
      <c r="J143" s="22"/>
      <c r="K143" s="22"/>
      <c r="L143" s="22"/>
      <c r="M143" s="22"/>
      <c r="N143" s="22"/>
      <c r="O143" s="22"/>
      <c r="P143" s="22"/>
      <c r="Q143" s="22"/>
      <c r="R143" s="22"/>
      <c r="S143" s="22"/>
      <c r="T143" s="22"/>
      <c r="U143" s="22"/>
      <c r="V143" s="22"/>
      <c r="W143" s="22"/>
      <c r="X143" s="22"/>
      <c r="Y143" s="22"/>
      <c r="Z143" s="22"/>
      <c r="AA143" s="22"/>
      <c r="AB143" s="22"/>
      <c r="AC143" s="22"/>
      <c r="AD143" s="22"/>
      <c r="AE143" s="22"/>
      <c r="AF143" s="22"/>
      <c r="AG143" s="22"/>
      <c r="AH143" s="22"/>
      <c r="AI143" s="22"/>
      <c r="AJ143" s="22"/>
      <c r="AK143" s="22"/>
      <c r="AL143" s="22"/>
      <c r="AM143" s="22"/>
      <c r="AN143" s="22"/>
    </row>
    <row r="144" spans="1:40" x14ac:dyDescent="0.25">
      <c r="A144" s="22"/>
      <c r="B144" s="22"/>
      <c r="C144" s="22"/>
      <c r="D144" s="22"/>
      <c r="E144" s="22"/>
      <c r="F144" s="22"/>
      <c r="G144" s="22"/>
      <c r="H144" s="22"/>
      <c r="I144" s="22"/>
      <c r="J144" s="22"/>
      <c r="K144" s="22"/>
      <c r="L144" s="22"/>
      <c r="M144" s="22"/>
      <c r="N144" s="22"/>
      <c r="O144" s="22"/>
      <c r="P144" s="22"/>
      <c r="Q144" s="22"/>
      <c r="R144" s="22"/>
      <c r="S144" s="22"/>
      <c r="T144" s="22"/>
      <c r="U144" s="22"/>
      <c r="V144" s="22"/>
      <c r="W144" s="22"/>
      <c r="X144" s="22"/>
      <c r="Y144" s="22"/>
      <c r="Z144" s="22"/>
      <c r="AA144" s="22"/>
      <c r="AB144" s="22"/>
      <c r="AC144" s="22"/>
      <c r="AD144" s="22"/>
      <c r="AE144" s="22"/>
      <c r="AF144" s="22"/>
      <c r="AG144" s="22"/>
      <c r="AH144" s="22"/>
      <c r="AI144" s="22"/>
      <c r="AJ144" s="22"/>
      <c r="AK144" s="22"/>
      <c r="AL144" s="22"/>
      <c r="AM144" s="22"/>
      <c r="AN144" s="22"/>
    </row>
    <row r="145" spans="1:40" x14ac:dyDescent="0.25">
      <c r="A145" s="22"/>
      <c r="B145" s="22"/>
      <c r="C145" s="22"/>
      <c r="D145" s="22"/>
      <c r="E145" s="22"/>
      <c r="F145" s="22"/>
      <c r="G145" s="22"/>
      <c r="H145" s="22"/>
      <c r="I145" s="22"/>
      <c r="J145" s="22"/>
      <c r="K145" s="22"/>
      <c r="L145" s="22"/>
      <c r="M145" s="22"/>
      <c r="N145" s="22"/>
      <c r="O145" s="22"/>
      <c r="P145" s="22"/>
      <c r="Q145" s="22"/>
      <c r="R145" s="22"/>
      <c r="S145" s="22"/>
      <c r="T145" s="22"/>
      <c r="U145" s="22"/>
      <c r="V145" s="22"/>
      <c r="W145" s="22"/>
      <c r="X145" s="22"/>
      <c r="Y145" s="22"/>
      <c r="Z145" s="22"/>
      <c r="AA145" s="22"/>
      <c r="AB145" s="22"/>
      <c r="AC145" s="22"/>
      <c r="AD145" s="22"/>
      <c r="AE145" s="22"/>
      <c r="AF145" s="22"/>
      <c r="AG145" s="22"/>
      <c r="AH145" s="22"/>
      <c r="AI145" s="22"/>
      <c r="AJ145" s="22"/>
      <c r="AK145" s="22"/>
      <c r="AL145" s="22"/>
      <c r="AM145" s="22"/>
      <c r="AN145" s="22"/>
    </row>
    <row r="146" spans="1:40" x14ac:dyDescent="0.25">
      <c r="A146" s="22"/>
      <c r="B146" s="22"/>
      <c r="C146" s="22"/>
      <c r="D146" s="22"/>
      <c r="E146" s="22"/>
      <c r="F146" s="22"/>
      <c r="G146" s="22"/>
      <c r="H146" s="22"/>
      <c r="I146" s="22"/>
      <c r="J146" s="22"/>
      <c r="K146" s="22"/>
      <c r="L146" s="22"/>
      <c r="M146" s="22"/>
      <c r="N146" s="22"/>
      <c r="O146" s="22"/>
      <c r="P146" s="22"/>
      <c r="Q146" s="22"/>
      <c r="R146" s="22"/>
      <c r="S146" s="22"/>
      <c r="T146" s="22"/>
      <c r="U146" s="22"/>
      <c r="V146" s="22"/>
      <c r="W146" s="22"/>
      <c r="X146" s="22"/>
      <c r="Y146" s="22"/>
      <c r="Z146" s="22"/>
      <c r="AA146" s="22"/>
      <c r="AB146" s="22"/>
      <c r="AC146" s="22"/>
      <c r="AD146" s="22"/>
      <c r="AE146" s="22"/>
      <c r="AF146" s="22"/>
      <c r="AG146" s="22"/>
      <c r="AH146" s="22"/>
      <c r="AI146" s="22"/>
      <c r="AJ146" s="22"/>
      <c r="AK146" s="22"/>
      <c r="AL146" s="22"/>
      <c r="AM146" s="22"/>
      <c r="AN146" s="22"/>
    </row>
    <row r="147" spans="1:40" x14ac:dyDescent="0.25">
      <c r="A147" s="22"/>
      <c r="B147" s="22"/>
      <c r="C147" s="22"/>
      <c r="D147" s="22"/>
      <c r="E147" s="22"/>
      <c r="F147" s="22"/>
      <c r="G147" s="22"/>
      <c r="H147" s="22"/>
      <c r="I147" s="22"/>
      <c r="J147" s="22"/>
      <c r="K147" s="22"/>
      <c r="L147" s="22"/>
      <c r="M147" s="22"/>
      <c r="N147" s="22"/>
      <c r="O147" s="22"/>
      <c r="P147" s="22"/>
      <c r="Q147" s="22"/>
      <c r="R147" s="22"/>
      <c r="S147" s="22"/>
      <c r="T147" s="22"/>
      <c r="U147" s="22"/>
      <c r="V147" s="22"/>
      <c r="W147" s="22"/>
      <c r="X147" s="22"/>
      <c r="Y147" s="22"/>
      <c r="Z147" s="22"/>
      <c r="AA147" s="22"/>
      <c r="AB147" s="22"/>
      <c r="AC147" s="22"/>
      <c r="AD147" s="22"/>
      <c r="AE147" s="22"/>
      <c r="AF147" s="22"/>
      <c r="AG147" s="22"/>
      <c r="AH147" s="22"/>
      <c r="AI147" s="22"/>
      <c r="AJ147" s="22"/>
      <c r="AK147" s="22"/>
      <c r="AL147" s="22"/>
      <c r="AM147" s="22"/>
      <c r="AN147" s="22"/>
    </row>
    <row r="148" spans="1:40" x14ac:dyDescent="0.25">
      <c r="A148" s="22"/>
      <c r="B148" s="22"/>
      <c r="C148" s="22"/>
      <c r="D148" s="22"/>
      <c r="E148" s="22"/>
      <c r="F148" s="22"/>
      <c r="G148" s="22"/>
      <c r="H148" s="22"/>
      <c r="I148" s="22"/>
      <c r="J148" s="22"/>
      <c r="K148" s="22"/>
      <c r="L148" s="22"/>
      <c r="M148" s="22"/>
      <c r="N148" s="22"/>
      <c r="O148" s="22"/>
      <c r="P148" s="22"/>
      <c r="Q148" s="22"/>
      <c r="R148" s="22"/>
      <c r="S148" s="22"/>
      <c r="T148" s="22"/>
      <c r="U148" s="22"/>
      <c r="V148" s="22"/>
      <c r="W148" s="22"/>
      <c r="X148" s="22"/>
      <c r="Y148" s="22"/>
      <c r="Z148" s="22"/>
      <c r="AA148" s="22"/>
      <c r="AB148" s="22"/>
      <c r="AC148" s="22"/>
      <c r="AD148" s="22"/>
      <c r="AE148" s="22"/>
      <c r="AF148" s="22"/>
      <c r="AG148" s="22"/>
      <c r="AH148" s="22"/>
      <c r="AI148" s="22"/>
      <c r="AJ148" s="22"/>
      <c r="AK148" s="22"/>
      <c r="AL148" s="22"/>
      <c r="AM148" s="22"/>
      <c r="AN148" s="22"/>
    </row>
    <row r="149" spans="1:40" x14ac:dyDescent="0.25">
      <c r="A149" s="22"/>
      <c r="B149" s="22"/>
      <c r="C149" s="22"/>
      <c r="D149" s="22"/>
      <c r="E149" s="22"/>
      <c r="F149" s="22"/>
      <c r="G149" s="22"/>
      <c r="H149" s="22"/>
      <c r="I149" s="22"/>
      <c r="J149" s="22"/>
      <c r="K149" s="22"/>
      <c r="L149" s="22"/>
      <c r="M149" s="22"/>
      <c r="N149" s="22"/>
      <c r="O149" s="22"/>
      <c r="P149" s="22"/>
      <c r="Q149" s="22"/>
      <c r="R149" s="22"/>
      <c r="S149" s="22"/>
      <c r="T149" s="22"/>
      <c r="U149" s="22"/>
      <c r="V149" s="22"/>
      <c r="W149" s="22"/>
      <c r="X149" s="22"/>
      <c r="Y149" s="22"/>
      <c r="Z149" s="22"/>
      <c r="AA149" s="22"/>
      <c r="AB149" s="22"/>
      <c r="AC149" s="22"/>
      <c r="AD149" s="22"/>
      <c r="AE149" s="22"/>
      <c r="AF149" s="22"/>
      <c r="AG149" s="22"/>
      <c r="AH149" s="22"/>
      <c r="AI149" s="22"/>
      <c r="AJ149" s="22"/>
      <c r="AK149" s="22"/>
      <c r="AL149" s="22"/>
      <c r="AM149" s="22"/>
      <c r="AN149" s="22"/>
    </row>
    <row r="150" spans="1:40" x14ac:dyDescent="0.25">
      <c r="A150" s="22"/>
      <c r="B150" s="22"/>
      <c r="C150" s="22"/>
      <c r="D150" s="22"/>
      <c r="E150" s="22"/>
      <c r="F150" s="22"/>
      <c r="G150" s="22"/>
      <c r="H150" s="22"/>
      <c r="I150" s="22"/>
      <c r="J150" s="22"/>
      <c r="K150" s="22"/>
      <c r="L150" s="22"/>
      <c r="M150" s="22"/>
      <c r="N150" s="22"/>
      <c r="O150" s="22"/>
      <c r="P150" s="22"/>
      <c r="Q150" s="22"/>
      <c r="R150" s="22"/>
      <c r="S150" s="22"/>
      <c r="T150" s="22"/>
      <c r="U150" s="22"/>
      <c r="V150" s="22"/>
      <c r="W150" s="22"/>
      <c r="X150" s="22"/>
      <c r="Y150" s="22"/>
      <c r="Z150" s="22"/>
      <c r="AA150" s="22"/>
      <c r="AB150" s="22"/>
      <c r="AC150" s="22"/>
      <c r="AD150" s="22"/>
      <c r="AE150" s="22"/>
      <c r="AF150" s="22"/>
      <c r="AG150" s="22"/>
      <c r="AH150" s="22"/>
      <c r="AI150" s="22"/>
      <c r="AJ150" s="22"/>
      <c r="AK150" s="22"/>
      <c r="AL150" s="22"/>
      <c r="AM150" s="22"/>
      <c r="AN150" s="22"/>
    </row>
    <row r="151" spans="1:40" x14ac:dyDescent="0.25">
      <c r="A151" s="22"/>
      <c r="B151" s="22"/>
      <c r="C151" s="22"/>
      <c r="D151" s="22"/>
      <c r="E151" s="22"/>
      <c r="F151" s="22"/>
      <c r="G151" s="22"/>
      <c r="H151" s="22"/>
      <c r="I151" s="22"/>
      <c r="J151" s="22"/>
      <c r="K151" s="22"/>
      <c r="L151" s="22"/>
      <c r="M151" s="22"/>
      <c r="N151" s="22"/>
      <c r="O151" s="22"/>
      <c r="P151" s="22"/>
      <c r="Q151" s="22"/>
      <c r="R151" s="22"/>
      <c r="S151" s="22"/>
      <c r="T151" s="22"/>
      <c r="U151" s="22"/>
      <c r="V151" s="22"/>
      <c r="W151" s="22"/>
      <c r="X151" s="22"/>
      <c r="Y151" s="22"/>
      <c r="Z151" s="22"/>
      <c r="AA151" s="22"/>
      <c r="AB151" s="22"/>
      <c r="AC151" s="22"/>
      <c r="AD151" s="22"/>
      <c r="AE151" s="22"/>
      <c r="AF151" s="22"/>
      <c r="AG151" s="22"/>
      <c r="AH151" s="22"/>
      <c r="AI151" s="22"/>
      <c r="AJ151" s="22"/>
      <c r="AK151" s="22"/>
      <c r="AL151" s="22"/>
      <c r="AM151" s="22"/>
      <c r="AN151" s="22"/>
    </row>
    <row r="152" spans="1:40" x14ac:dyDescent="0.25">
      <c r="A152" s="22"/>
      <c r="B152" s="22"/>
      <c r="C152" s="22"/>
      <c r="D152" s="22"/>
      <c r="E152" s="22"/>
      <c r="F152" s="22"/>
      <c r="G152" s="22"/>
      <c r="H152" s="22"/>
      <c r="I152" s="22"/>
      <c r="J152" s="22"/>
      <c r="K152" s="22"/>
      <c r="L152" s="22"/>
      <c r="M152" s="22"/>
      <c r="N152" s="22"/>
      <c r="O152" s="22"/>
      <c r="P152" s="22"/>
      <c r="Q152" s="22"/>
      <c r="R152" s="22"/>
      <c r="S152" s="22"/>
      <c r="T152" s="22"/>
      <c r="U152" s="22"/>
      <c r="V152" s="22"/>
      <c r="W152" s="22"/>
      <c r="X152" s="22"/>
      <c r="Y152" s="22"/>
      <c r="Z152" s="22"/>
      <c r="AA152" s="22"/>
      <c r="AB152" s="22"/>
      <c r="AC152" s="22"/>
      <c r="AD152" s="22"/>
      <c r="AE152" s="22"/>
      <c r="AF152" s="22"/>
      <c r="AG152" s="22"/>
      <c r="AH152" s="22"/>
      <c r="AI152" s="22"/>
      <c r="AJ152" s="22"/>
      <c r="AK152" s="22"/>
      <c r="AL152" s="22"/>
      <c r="AM152" s="22"/>
      <c r="AN152" s="22"/>
    </row>
    <row r="153" spans="1:40" x14ac:dyDescent="0.25">
      <c r="A153" s="22"/>
      <c r="B153" s="22"/>
      <c r="C153" s="22"/>
      <c r="D153" s="22"/>
      <c r="E153" s="22"/>
      <c r="F153" s="22"/>
      <c r="G153" s="22"/>
      <c r="H153" s="22"/>
      <c r="I153" s="22"/>
      <c r="J153" s="22"/>
      <c r="K153" s="22"/>
      <c r="L153" s="22"/>
      <c r="M153" s="22"/>
      <c r="N153" s="22"/>
      <c r="O153" s="22"/>
      <c r="P153" s="22"/>
      <c r="Q153" s="22"/>
      <c r="R153" s="22"/>
      <c r="S153" s="22"/>
      <c r="T153" s="22"/>
      <c r="U153" s="22"/>
      <c r="V153" s="22"/>
      <c r="W153" s="22"/>
      <c r="X153" s="22"/>
      <c r="Y153" s="22"/>
      <c r="Z153" s="22"/>
      <c r="AA153" s="22"/>
      <c r="AB153" s="22"/>
      <c r="AC153" s="22"/>
      <c r="AD153" s="22"/>
      <c r="AE153" s="22"/>
      <c r="AF153" s="22"/>
      <c r="AG153" s="22"/>
      <c r="AH153" s="22"/>
      <c r="AI153" s="22"/>
      <c r="AJ153" s="22"/>
      <c r="AK153" s="22"/>
      <c r="AL153" s="22"/>
      <c r="AM153" s="22"/>
      <c r="AN153" s="22"/>
    </row>
    <row r="154" spans="1:40" x14ac:dyDescent="0.25">
      <c r="A154" s="22"/>
      <c r="B154" s="22"/>
      <c r="C154" s="22"/>
      <c r="D154" s="22"/>
      <c r="E154" s="22"/>
      <c r="F154" s="22"/>
      <c r="G154" s="22"/>
      <c r="H154" s="22"/>
      <c r="I154" s="22"/>
      <c r="J154" s="22"/>
      <c r="K154" s="22"/>
      <c r="L154" s="22"/>
      <c r="M154" s="22"/>
      <c r="N154" s="22"/>
      <c r="O154" s="22"/>
      <c r="P154" s="22"/>
      <c r="Q154" s="22"/>
      <c r="R154" s="22"/>
      <c r="S154" s="22"/>
      <c r="T154" s="22"/>
      <c r="U154" s="22"/>
      <c r="V154" s="22"/>
      <c r="W154" s="22"/>
      <c r="X154" s="22"/>
      <c r="Y154" s="22"/>
      <c r="Z154" s="22"/>
      <c r="AA154" s="22"/>
      <c r="AB154" s="22"/>
      <c r="AC154" s="22"/>
      <c r="AD154" s="22"/>
      <c r="AE154" s="22"/>
      <c r="AF154" s="22"/>
      <c r="AG154" s="22"/>
      <c r="AH154" s="22"/>
      <c r="AI154" s="22"/>
      <c r="AJ154" s="22"/>
      <c r="AK154" s="22"/>
      <c r="AL154" s="22"/>
      <c r="AM154" s="22"/>
      <c r="AN154" s="22"/>
    </row>
    <row r="155" spans="1:40" x14ac:dyDescent="0.25">
      <c r="A155" s="22"/>
      <c r="B155" s="22"/>
      <c r="C155" s="22"/>
      <c r="D155" s="22"/>
      <c r="E155" s="22"/>
      <c r="F155" s="22"/>
      <c r="G155" s="22"/>
      <c r="H155" s="22"/>
      <c r="I155" s="22"/>
      <c r="J155" s="22"/>
      <c r="K155" s="22"/>
      <c r="L155" s="22"/>
      <c r="M155" s="22"/>
      <c r="N155" s="22"/>
      <c r="O155" s="22"/>
      <c r="P155" s="22"/>
      <c r="Q155" s="22"/>
      <c r="R155" s="22"/>
      <c r="S155" s="22"/>
      <c r="T155" s="22"/>
      <c r="U155" s="22"/>
      <c r="V155" s="22"/>
      <c r="W155" s="22"/>
      <c r="X155" s="22"/>
      <c r="Y155" s="22"/>
      <c r="Z155" s="22"/>
      <c r="AA155" s="22"/>
      <c r="AB155" s="22"/>
      <c r="AC155" s="22"/>
      <c r="AD155" s="22"/>
      <c r="AE155" s="22"/>
      <c r="AF155" s="22"/>
      <c r="AG155" s="22"/>
      <c r="AH155" s="22"/>
      <c r="AI155" s="22"/>
      <c r="AJ155" s="22"/>
      <c r="AK155" s="22"/>
      <c r="AL155" s="22"/>
      <c r="AM155" s="22"/>
      <c r="AN155" s="22"/>
    </row>
    <row r="156" spans="1:40" x14ac:dyDescent="0.25">
      <c r="A156" s="22"/>
      <c r="B156" s="22"/>
      <c r="C156" s="22"/>
      <c r="D156" s="22"/>
      <c r="E156" s="22"/>
      <c r="F156" s="22"/>
      <c r="G156" s="22"/>
      <c r="H156" s="22"/>
      <c r="I156" s="22"/>
      <c r="J156" s="22"/>
      <c r="K156" s="22"/>
      <c r="L156" s="22"/>
      <c r="M156" s="22"/>
      <c r="N156" s="22"/>
      <c r="O156" s="22"/>
      <c r="P156" s="22"/>
      <c r="Q156" s="22"/>
      <c r="R156" s="22"/>
      <c r="S156" s="22"/>
      <c r="T156" s="22"/>
      <c r="U156" s="22"/>
      <c r="V156" s="22"/>
      <c r="W156" s="22"/>
      <c r="X156" s="22"/>
      <c r="Y156" s="22"/>
      <c r="Z156" s="22"/>
      <c r="AA156" s="22"/>
      <c r="AB156" s="22"/>
      <c r="AC156" s="22"/>
      <c r="AD156" s="22"/>
      <c r="AE156" s="22"/>
      <c r="AF156" s="22"/>
      <c r="AG156" s="22"/>
      <c r="AH156" s="22"/>
      <c r="AI156" s="22"/>
      <c r="AJ156" s="22"/>
      <c r="AK156" s="22"/>
      <c r="AL156" s="22"/>
      <c r="AM156" s="22"/>
      <c r="AN156" s="22"/>
    </row>
    <row r="157" spans="1:40" x14ac:dyDescent="0.25">
      <c r="A157" s="22"/>
      <c r="B157" s="22"/>
      <c r="C157" s="22"/>
      <c r="D157" s="22"/>
      <c r="E157" s="22"/>
      <c r="F157" s="22"/>
      <c r="G157" s="22"/>
      <c r="H157" s="22"/>
      <c r="I157" s="22"/>
      <c r="J157" s="22"/>
      <c r="K157" s="22"/>
      <c r="L157" s="22"/>
      <c r="M157" s="22"/>
      <c r="N157" s="22"/>
      <c r="O157" s="22"/>
      <c r="P157" s="22"/>
      <c r="Q157" s="22"/>
      <c r="R157" s="22"/>
      <c r="S157" s="22"/>
      <c r="T157" s="22"/>
      <c r="U157" s="22"/>
      <c r="V157" s="22"/>
      <c r="W157" s="22"/>
      <c r="X157" s="22"/>
      <c r="Y157" s="22"/>
      <c r="Z157" s="22"/>
      <c r="AA157" s="22"/>
      <c r="AB157" s="22"/>
      <c r="AC157" s="22"/>
      <c r="AD157" s="22"/>
      <c r="AE157" s="22"/>
      <c r="AF157" s="22"/>
      <c r="AG157" s="22"/>
      <c r="AH157" s="22"/>
      <c r="AI157" s="22"/>
      <c r="AJ157" s="22"/>
      <c r="AK157" s="22"/>
      <c r="AL157" s="22"/>
      <c r="AM157" s="22"/>
      <c r="AN157" s="22"/>
    </row>
    <row r="158" spans="1:40" x14ac:dyDescent="0.25">
      <c r="A158" s="22"/>
      <c r="B158" s="22"/>
      <c r="C158" s="22"/>
      <c r="D158" s="22"/>
      <c r="E158" s="22"/>
      <c r="F158" s="22"/>
      <c r="G158" s="22"/>
      <c r="H158" s="22"/>
      <c r="I158" s="22"/>
      <c r="J158" s="22"/>
      <c r="K158" s="22"/>
      <c r="L158" s="22"/>
      <c r="M158" s="22"/>
      <c r="N158" s="22"/>
      <c r="O158" s="22"/>
      <c r="P158" s="22"/>
      <c r="Q158" s="22"/>
      <c r="R158" s="22"/>
      <c r="S158" s="22"/>
      <c r="T158" s="22"/>
      <c r="U158" s="22"/>
      <c r="V158" s="22"/>
      <c r="W158" s="22"/>
      <c r="X158" s="22"/>
      <c r="Y158" s="22"/>
      <c r="Z158" s="22"/>
      <c r="AA158" s="22"/>
      <c r="AB158" s="22"/>
      <c r="AC158" s="22"/>
      <c r="AD158" s="22"/>
      <c r="AE158" s="22"/>
      <c r="AF158" s="22"/>
      <c r="AG158" s="22"/>
      <c r="AH158" s="22"/>
      <c r="AI158" s="22"/>
      <c r="AJ158" s="22"/>
      <c r="AK158" s="22"/>
      <c r="AL158" s="22"/>
      <c r="AM158" s="22"/>
      <c r="AN158" s="22"/>
    </row>
    <row r="159" spans="1:40" x14ac:dyDescent="0.25">
      <c r="A159" s="22"/>
      <c r="B159" s="22"/>
      <c r="C159" s="22"/>
      <c r="D159" s="22"/>
      <c r="E159" s="22"/>
      <c r="F159" s="22"/>
      <c r="G159" s="22"/>
      <c r="H159" s="22"/>
      <c r="I159" s="22"/>
      <c r="J159" s="22"/>
      <c r="K159" s="22"/>
      <c r="L159" s="22"/>
      <c r="M159" s="22"/>
      <c r="N159" s="22"/>
      <c r="O159" s="22"/>
      <c r="P159" s="22"/>
      <c r="Q159" s="22"/>
      <c r="R159" s="22"/>
      <c r="S159" s="22"/>
      <c r="T159" s="22"/>
      <c r="U159" s="22"/>
      <c r="V159" s="22"/>
      <c r="W159" s="22"/>
      <c r="X159" s="22"/>
      <c r="Y159" s="22"/>
      <c r="Z159" s="22"/>
      <c r="AA159" s="22"/>
      <c r="AB159" s="22"/>
      <c r="AC159" s="22"/>
      <c r="AD159" s="22"/>
      <c r="AE159" s="22"/>
      <c r="AF159" s="22"/>
      <c r="AG159" s="22"/>
      <c r="AH159" s="22"/>
      <c r="AI159" s="22"/>
      <c r="AJ159" s="22"/>
      <c r="AK159" s="22"/>
      <c r="AL159" s="22"/>
      <c r="AM159" s="22"/>
      <c r="AN159" s="22"/>
    </row>
    <row r="160" spans="1:40" x14ac:dyDescent="0.25">
      <c r="A160" s="22"/>
      <c r="B160" s="22"/>
      <c r="C160" s="22"/>
      <c r="D160" s="22"/>
      <c r="E160" s="22"/>
      <c r="F160" s="22"/>
      <c r="G160" s="22"/>
      <c r="H160" s="22"/>
      <c r="I160" s="22"/>
      <c r="J160" s="22"/>
      <c r="K160" s="22"/>
      <c r="L160" s="22"/>
      <c r="M160" s="22"/>
      <c r="N160" s="22"/>
      <c r="O160" s="22"/>
      <c r="P160" s="22"/>
      <c r="Q160" s="22"/>
      <c r="R160" s="22"/>
      <c r="S160" s="22"/>
      <c r="T160" s="22"/>
      <c r="U160" s="22"/>
      <c r="V160" s="22"/>
      <c r="W160" s="22"/>
      <c r="X160" s="22"/>
      <c r="Y160" s="22"/>
      <c r="Z160" s="22"/>
      <c r="AA160" s="22"/>
      <c r="AB160" s="22"/>
      <c r="AC160" s="22"/>
      <c r="AD160" s="22"/>
      <c r="AE160" s="22"/>
      <c r="AF160" s="22"/>
      <c r="AG160" s="22"/>
      <c r="AH160" s="22"/>
      <c r="AI160" s="22"/>
      <c r="AJ160" s="22"/>
      <c r="AK160" s="22"/>
      <c r="AL160" s="22"/>
      <c r="AM160" s="22"/>
      <c r="AN160" s="22"/>
    </row>
    <row r="161" spans="1:40" x14ac:dyDescent="0.25">
      <c r="A161" s="22"/>
      <c r="B161" s="22"/>
      <c r="C161" s="22"/>
      <c r="D161" s="22"/>
      <c r="E161" s="22"/>
      <c r="F161" s="22"/>
      <c r="G161" s="22"/>
      <c r="H161" s="22"/>
      <c r="I161" s="22"/>
      <c r="J161" s="22"/>
      <c r="K161" s="22"/>
      <c r="L161" s="22"/>
      <c r="M161" s="22"/>
      <c r="N161" s="22"/>
      <c r="O161" s="22"/>
      <c r="P161" s="22"/>
      <c r="Q161" s="22"/>
      <c r="R161" s="22"/>
      <c r="S161" s="22"/>
      <c r="T161" s="22"/>
      <c r="U161" s="22"/>
      <c r="V161" s="22"/>
      <c r="W161" s="22"/>
      <c r="X161" s="22"/>
      <c r="Y161" s="22"/>
      <c r="Z161" s="22"/>
      <c r="AA161" s="22"/>
      <c r="AB161" s="22"/>
      <c r="AC161" s="22"/>
      <c r="AD161" s="22"/>
      <c r="AE161" s="22"/>
      <c r="AF161" s="22"/>
      <c r="AG161" s="22"/>
      <c r="AH161" s="22"/>
      <c r="AI161" s="22"/>
      <c r="AJ161" s="22"/>
      <c r="AK161" s="22"/>
      <c r="AL161" s="22"/>
      <c r="AM161" s="22"/>
      <c r="AN161" s="22"/>
    </row>
    <row r="162" spans="1:40" x14ac:dyDescent="0.25">
      <c r="A162" s="22"/>
      <c r="B162" s="22"/>
      <c r="C162" s="22"/>
      <c r="D162" s="22"/>
      <c r="E162" s="22"/>
      <c r="F162" s="22"/>
      <c r="G162" s="22"/>
      <c r="H162" s="22"/>
      <c r="I162" s="22"/>
      <c r="J162" s="22"/>
      <c r="K162" s="22"/>
      <c r="L162" s="22"/>
      <c r="M162" s="22"/>
      <c r="N162" s="22"/>
      <c r="O162" s="22"/>
      <c r="P162" s="22"/>
      <c r="Q162" s="22"/>
      <c r="R162" s="22"/>
      <c r="S162" s="22"/>
      <c r="T162" s="22"/>
      <c r="U162" s="22"/>
      <c r="V162" s="22"/>
      <c r="W162" s="22"/>
      <c r="X162" s="22"/>
      <c r="Y162" s="22"/>
      <c r="Z162" s="22"/>
      <c r="AA162" s="22"/>
      <c r="AB162" s="22"/>
      <c r="AC162" s="22"/>
      <c r="AD162" s="22"/>
      <c r="AE162" s="22"/>
      <c r="AF162" s="22"/>
      <c r="AG162" s="22"/>
      <c r="AH162" s="22"/>
      <c r="AI162" s="22"/>
      <c r="AJ162" s="22"/>
      <c r="AK162" s="22"/>
      <c r="AL162" s="22"/>
      <c r="AM162" s="22"/>
      <c r="AN162" s="22"/>
    </row>
    <row r="163" spans="1:40" x14ac:dyDescent="0.25">
      <c r="A163" s="22"/>
      <c r="B163" s="22"/>
      <c r="C163" s="22"/>
      <c r="D163" s="22"/>
      <c r="E163" s="22"/>
      <c r="F163" s="22"/>
      <c r="G163" s="22"/>
      <c r="H163" s="22"/>
      <c r="I163" s="22"/>
      <c r="J163" s="22"/>
      <c r="K163" s="22"/>
      <c r="L163" s="22"/>
      <c r="M163" s="22"/>
      <c r="N163" s="22"/>
      <c r="O163" s="22"/>
      <c r="P163" s="22"/>
      <c r="Q163" s="22"/>
      <c r="R163" s="22"/>
      <c r="S163" s="22"/>
      <c r="T163" s="22"/>
      <c r="U163" s="22"/>
      <c r="V163" s="22"/>
      <c r="W163" s="22"/>
      <c r="X163" s="22"/>
      <c r="Y163" s="22"/>
      <c r="Z163" s="22"/>
      <c r="AA163" s="22"/>
      <c r="AB163" s="22"/>
      <c r="AC163" s="22"/>
      <c r="AD163" s="22"/>
      <c r="AE163" s="22"/>
      <c r="AF163" s="22"/>
      <c r="AG163" s="22"/>
      <c r="AH163" s="22"/>
      <c r="AI163" s="22"/>
      <c r="AJ163" s="22"/>
      <c r="AK163" s="22"/>
      <c r="AL163" s="22"/>
      <c r="AM163" s="22"/>
      <c r="AN163" s="22"/>
    </row>
    <row r="164" spans="1:40" x14ac:dyDescent="0.25">
      <c r="A164" s="22"/>
      <c r="B164" s="22"/>
      <c r="C164" s="22"/>
      <c r="D164" s="22"/>
      <c r="E164" s="22"/>
      <c r="F164" s="22"/>
      <c r="G164" s="22"/>
      <c r="H164" s="22"/>
      <c r="I164" s="22"/>
      <c r="J164" s="22"/>
      <c r="K164" s="22"/>
      <c r="L164" s="22"/>
      <c r="M164" s="22"/>
      <c r="N164" s="22"/>
      <c r="O164" s="22"/>
      <c r="P164" s="22"/>
      <c r="Q164" s="22"/>
      <c r="R164" s="22"/>
      <c r="S164" s="22"/>
      <c r="T164" s="22"/>
      <c r="U164" s="22"/>
      <c r="V164" s="22"/>
      <c r="W164" s="22"/>
      <c r="X164" s="22"/>
      <c r="Y164" s="22"/>
      <c r="Z164" s="22"/>
      <c r="AA164" s="22"/>
      <c r="AB164" s="22"/>
      <c r="AC164" s="22"/>
      <c r="AD164" s="22"/>
      <c r="AE164" s="22"/>
      <c r="AF164" s="22"/>
      <c r="AG164" s="22"/>
      <c r="AH164" s="22"/>
      <c r="AI164" s="22"/>
      <c r="AJ164" s="22"/>
      <c r="AK164" s="22"/>
      <c r="AL164" s="22"/>
      <c r="AM164" s="22"/>
      <c r="AN164" s="22"/>
    </row>
    <row r="165" spans="1:40" x14ac:dyDescent="0.25">
      <c r="A165" s="22"/>
      <c r="B165" s="22"/>
      <c r="C165" s="22"/>
      <c r="D165" s="22"/>
      <c r="E165" s="22"/>
      <c r="F165" s="22"/>
      <c r="G165" s="22"/>
      <c r="H165" s="22"/>
      <c r="I165" s="22"/>
      <c r="J165" s="22"/>
      <c r="K165" s="22"/>
      <c r="L165" s="22"/>
      <c r="M165" s="22"/>
      <c r="N165" s="22"/>
      <c r="O165" s="22"/>
      <c r="P165" s="22"/>
      <c r="Q165" s="22"/>
      <c r="R165" s="22"/>
      <c r="S165" s="22"/>
      <c r="T165" s="22"/>
      <c r="U165" s="22"/>
      <c r="V165" s="22"/>
      <c r="W165" s="22"/>
      <c r="X165" s="22"/>
      <c r="Y165" s="22"/>
      <c r="Z165" s="22"/>
      <c r="AA165" s="22"/>
      <c r="AB165" s="22"/>
      <c r="AC165" s="22"/>
      <c r="AD165" s="22"/>
      <c r="AE165" s="22"/>
      <c r="AF165" s="22"/>
      <c r="AG165" s="22"/>
      <c r="AH165" s="22"/>
      <c r="AI165" s="22"/>
      <c r="AJ165" s="22"/>
      <c r="AK165" s="22"/>
      <c r="AL165" s="22"/>
      <c r="AM165" s="22"/>
      <c r="AN165" s="22"/>
    </row>
    <row r="166" spans="1:40" x14ac:dyDescent="0.25">
      <c r="A166" s="22"/>
      <c r="B166" s="22"/>
      <c r="C166" s="22"/>
      <c r="D166" s="22"/>
      <c r="E166" s="22"/>
      <c r="F166" s="22"/>
      <c r="G166" s="22"/>
      <c r="H166" s="22"/>
      <c r="I166" s="22"/>
      <c r="J166" s="22"/>
      <c r="K166" s="22"/>
      <c r="L166" s="22"/>
      <c r="M166" s="22"/>
      <c r="N166" s="22"/>
      <c r="O166" s="22"/>
      <c r="P166" s="22"/>
      <c r="Q166" s="22"/>
      <c r="R166" s="22"/>
      <c r="S166" s="22"/>
      <c r="T166" s="22"/>
      <c r="U166" s="22"/>
      <c r="V166" s="22"/>
      <c r="W166" s="22"/>
      <c r="X166" s="22"/>
      <c r="Y166" s="22"/>
      <c r="Z166" s="22"/>
      <c r="AA166" s="22"/>
      <c r="AB166" s="22"/>
      <c r="AC166" s="22"/>
      <c r="AD166" s="22"/>
      <c r="AE166" s="22"/>
      <c r="AF166" s="22"/>
      <c r="AG166" s="22"/>
      <c r="AH166" s="22"/>
      <c r="AI166" s="22"/>
      <c r="AJ166" s="22"/>
      <c r="AK166" s="22"/>
      <c r="AL166" s="22"/>
      <c r="AM166" s="22"/>
      <c r="AN166" s="22"/>
    </row>
    <row r="167" spans="1:40" x14ac:dyDescent="0.25">
      <c r="A167" s="22"/>
      <c r="B167" s="22"/>
      <c r="C167" s="22"/>
      <c r="D167" s="22"/>
      <c r="E167" s="22"/>
      <c r="F167" s="22"/>
      <c r="G167" s="22"/>
      <c r="H167" s="22"/>
      <c r="I167" s="22"/>
      <c r="J167" s="22"/>
      <c r="K167" s="22"/>
      <c r="L167" s="22"/>
      <c r="M167" s="22"/>
      <c r="N167" s="22"/>
      <c r="O167" s="22"/>
      <c r="P167" s="22"/>
      <c r="Q167" s="22"/>
      <c r="R167" s="22"/>
      <c r="S167" s="22"/>
      <c r="T167" s="22"/>
      <c r="U167" s="22"/>
      <c r="V167" s="22"/>
      <c r="W167" s="22"/>
      <c r="X167" s="22"/>
      <c r="Y167" s="22"/>
      <c r="Z167" s="22"/>
      <c r="AA167" s="22"/>
      <c r="AB167" s="22"/>
      <c r="AC167" s="22"/>
      <c r="AD167" s="22"/>
      <c r="AE167" s="22"/>
      <c r="AF167" s="22"/>
      <c r="AG167" s="22"/>
      <c r="AH167" s="22"/>
      <c r="AI167" s="22"/>
      <c r="AJ167" s="22"/>
      <c r="AK167" s="22"/>
      <c r="AL167" s="22"/>
      <c r="AM167" s="22"/>
      <c r="AN167" s="22"/>
    </row>
    <row r="168" spans="1:40" x14ac:dyDescent="0.25">
      <c r="A168" s="22"/>
      <c r="B168" s="22"/>
      <c r="C168" s="22"/>
      <c r="D168" s="22"/>
      <c r="E168" s="22"/>
      <c r="F168" s="22"/>
      <c r="G168" s="22"/>
      <c r="H168" s="22"/>
      <c r="I168" s="22"/>
      <c r="J168" s="22"/>
      <c r="K168" s="22"/>
      <c r="L168" s="22"/>
      <c r="M168" s="22"/>
      <c r="N168" s="22"/>
      <c r="O168" s="22"/>
      <c r="P168" s="22"/>
      <c r="Q168" s="22"/>
      <c r="R168" s="22"/>
      <c r="S168" s="22"/>
      <c r="T168" s="22"/>
      <c r="U168" s="22"/>
      <c r="V168" s="22"/>
      <c r="W168" s="22"/>
      <c r="X168" s="22"/>
      <c r="Y168" s="22"/>
      <c r="Z168" s="22"/>
      <c r="AA168" s="22"/>
      <c r="AB168" s="22"/>
      <c r="AC168" s="22"/>
      <c r="AD168" s="22"/>
      <c r="AE168" s="22"/>
      <c r="AF168" s="22"/>
      <c r="AG168" s="22"/>
      <c r="AH168" s="22"/>
      <c r="AI168" s="22"/>
      <c r="AJ168" s="22"/>
      <c r="AK168" s="22"/>
      <c r="AL168" s="22"/>
      <c r="AM168" s="22"/>
      <c r="AN168" s="22"/>
    </row>
    <row r="169" spans="1:40" x14ac:dyDescent="0.25">
      <c r="A169" s="22"/>
      <c r="B169" s="22"/>
      <c r="C169" s="22"/>
      <c r="D169" s="22"/>
      <c r="E169" s="22"/>
      <c r="F169" s="22"/>
      <c r="G169" s="22"/>
      <c r="H169" s="22"/>
      <c r="I169" s="22"/>
      <c r="J169" s="22"/>
      <c r="K169" s="22"/>
      <c r="L169" s="22"/>
      <c r="M169" s="22"/>
      <c r="N169" s="22"/>
      <c r="O169" s="22"/>
      <c r="P169" s="22"/>
      <c r="Q169" s="22"/>
      <c r="R169" s="22"/>
      <c r="S169" s="22"/>
      <c r="T169" s="22"/>
      <c r="U169" s="22"/>
      <c r="V169" s="22"/>
      <c r="W169" s="22"/>
      <c r="X169" s="22"/>
      <c r="Y169" s="22"/>
      <c r="Z169" s="22"/>
      <c r="AA169" s="22"/>
      <c r="AB169" s="22"/>
      <c r="AC169" s="22"/>
      <c r="AD169" s="22"/>
      <c r="AE169" s="22"/>
      <c r="AF169" s="22"/>
      <c r="AG169" s="22"/>
      <c r="AH169" s="22"/>
      <c r="AI169" s="22"/>
      <c r="AJ169" s="22"/>
      <c r="AK169" s="22"/>
      <c r="AL169" s="22"/>
      <c r="AM169" s="22"/>
      <c r="AN169" s="22"/>
    </row>
    <row r="170" spans="1:40" x14ac:dyDescent="0.25">
      <c r="A170" s="22"/>
      <c r="B170" s="22"/>
      <c r="C170" s="22"/>
      <c r="D170" s="22"/>
      <c r="E170" s="22"/>
      <c r="F170" s="22"/>
      <c r="G170" s="22"/>
      <c r="H170" s="22"/>
      <c r="I170" s="22"/>
      <c r="J170" s="22"/>
      <c r="K170" s="22"/>
      <c r="L170" s="22"/>
      <c r="M170" s="22"/>
      <c r="N170" s="22"/>
      <c r="O170" s="22"/>
      <c r="P170" s="22"/>
      <c r="Q170" s="22"/>
      <c r="R170" s="22"/>
      <c r="S170" s="22"/>
      <c r="T170" s="22"/>
      <c r="U170" s="22"/>
      <c r="V170" s="22"/>
      <c r="W170" s="22"/>
      <c r="X170" s="22"/>
      <c r="Y170" s="22"/>
      <c r="Z170" s="22"/>
      <c r="AA170" s="22"/>
      <c r="AB170" s="22"/>
      <c r="AC170" s="22"/>
      <c r="AD170" s="22"/>
      <c r="AE170" s="22"/>
      <c r="AF170" s="22"/>
      <c r="AG170" s="22"/>
      <c r="AH170" s="22"/>
      <c r="AI170" s="22"/>
      <c r="AJ170" s="22"/>
      <c r="AK170" s="22"/>
      <c r="AL170" s="22"/>
      <c r="AM170" s="22"/>
      <c r="AN170" s="22"/>
    </row>
    <row r="171" spans="1:40" x14ac:dyDescent="0.25">
      <c r="A171" s="22"/>
      <c r="B171" s="22"/>
      <c r="C171" s="22"/>
      <c r="D171" s="22"/>
      <c r="E171" s="22"/>
      <c r="F171" s="22"/>
      <c r="G171" s="22"/>
      <c r="H171" s="22"/>
      <c r="I171" s="22"/>
      <c r="J171" s="22"/>
      <c r="K171" s="22"/>
      <c r="L171" s="22"/>
      <c r="M171" s="22"/>
      <c r="N171" s="22"/>
      <c r="O171" s="22"/>
      <c r="P171" s="22"/>
      <c r="Q171" s="22"/>
      <c r="R171" s="22"/>
      <c r="S171" s="22"/>
      <c r="T171" s="22"/>
      <c r="U171" s="22"/>
      <c r="V171" s="22"/>
      <c r="W171" s="22"/>
      <c r="X171" s="22"/>
      <c r="Y171" s="22"/>
      <c r="Z171" s="22"/>
      <c r="AA171" s="22"/>
      <c r="AB171" s="22"/>
      <c r="AC171" s="22"/>
      <c r="AD171" s="22"/>
      <c r="AE171" s="22"/>
      <c r="AF171" s="22"/>
      <c r="AG171" s="22"/>
      <c r="AH171" s="22"/>
      <c r="AI171" s="22"/>
      <c r="AJ171" s="22"/>
      <c r="AK171" s="22"/>
      <c r="AL171" s="22"/>
      <c r="AM171" s="22"/>
      <c r="AN171" s="22"/>
    </row>
    <row r="172" spans="1:40" x14ac:dyDescent="0.25">
      <c r="A172" s="22"/>
      <c r="B172" s="22"/>
      <c r="C172" s="22"/>
      <c r="D172" s="22"/>
      <c r="E172" s="22"/>
      <c r="F172" s="22"/>
      <c r="G172" s="22"/>
      <c r="H172" s="22"/>
      <c r="I172" s="22"/>
      <c r="J172" s="22"/>
      <c r="K172" s="22"/>
      <c r="L172" s="22"/>
      <c r="M172" s="22"/>
      <c r="N172" s="22"/>
      <c r="O172" s="22"/>
      <c r="P172" s="22"/>
      <c r="Q172" s="22"/>
      <c r="R172" s="22"/>
      <c r="S172" s="22"/>
      <c r="T172" s="22"/>
      <c r="U172" s="22"/>
      <c r="V172" s="22"/>
      <c r="W172" s="22"/>
      <c r="X172" s="22"/>
      <c r="Y172" s="22"/>
      <c r="Z172" s="22"/>
      <c r="AA172" s="22"/>
      <c r="AB172" s="22"/>
      <c r="AC172" s="22"/>
      <c r="AD172" s="22"/>
      <c r="AE172" s="22"/>
      <c r="AF172" s="22"/>
      <c r="AG172" s="22"/>
      <c r="AH172" s="22"/>
      <c r="AI172" s="22"/>
      <c r="AJ172" s="22"/>
      <c r="AK172" s="22"/>
      <c r="AL172" s="22"/>
      <c r="AM172" s="22"/>
      <c r="AN172" s="22"/>
    </row>
    <row r="173" spans="1:40" x14ac:dyDescent="0.25">
      <c r="A173" s="22"/>
      <c r="B173" s="22"/>
      <c r="C173" s="22"/>
      <c r="D173" s="22"/>
      <c r="E173" s="22"/>
      <c r="F173" s="22"/>
      <c r="G173" s="22"/>
      <c r="H173" s="22"/>
      <c r="I173" s="22"/>
      <c r="J173" s="22"/>
      <c r="K173" s="22"/>
      <c r="L173" s="22"/>
      <c r="M173" s="22"/>
      <c r="N173" s="22"/>
      <c r="O173" s="22"/>
      <c r="P173" s="22"/>
      <c r="Q173" s="22"/>
      <c r="R173" s="22"/>
      <c r="S173" s="22"/>
      <c r="T173" s="22"/>
      <c r="U173" s="22"/>
      <c r="V173" s="22"/>
      <c r="W173" s="22"/>
      <c r="X173" s="22"/>
      <c r="Y173" s="22"/>
      <c r="Z173" s="22"/>
      <c r="AA173" s="22"/>
      <c r="AB173" s="22"/>
      <c r="AC173" s="22"/>
      <c r="AD173" s="22"/>
      <c r="AE173" s="22"/>
      <c r="AF173" s="22"/>
      <c r="AG173" s="22"/>
      <c r="AH173" s="22"/>
      <c r="AI173" s="22"/>
      <c r="AJ173" s="22"/>
      <c r="AK173" s="22"/>
      <c r="AL173" s="22"/>
      <c r="AM173" s="22"/>
      <c r="AN173" s="22"/>
    </row>
    <row r="174" spans="1:40" x14ac:dyDescent="0.25">
      <c r="A174" s="22"/>
      <c r="B174" s="22"/>
      <c r="C174" s="22"/>
      <c r="D174" s="22"/>
      <c r="E174" s="22"/>
      <c r="F174" s="22"/>
      <c r="G174" s="22"/>
      <c r="H174" s="22"/>
      <c r="I174" s="22"/>
      <c r="J174" s="22"/>
      <c r="K174" s="22"/>
      <c r="L174" s="22"/>
      <c r="M174" s="22"/>
      <c r="N174" s="22"/>
      <c r="O174" s="22"/>
      <c r="P174" s="22"/>
      <c r="Q174" s="22"/>
      <c r="R174" s="22"/>
      <c r="S174" s="22"/>
      <c r="T174" s="22"/>
      <c r="U174" s="22"/>
      <c r="V174" s="22"/>
      <c r="W174" s="22"/>
      <c r="X174" s="22"/>
      <c r="Y174" s="22"/>
      <c r="Z174" s="22"/>
      <c r="AA174" s="22"/>
      <c r="AB174" s="22"/>
      <c r="AC174" s="22"/>
      <c r="AD174" s="22"/>
      <c r="AE174" s="22"/>
      <c r="AF174" s="22"/>
      <c r="AG174" s="22"/>
      <c r="AH174" s="22"/>
      <c r="AI174" s="22"/>
      <c r="AJ174" s="22"/>
      <c r="AK174" s="22"/>
      <c r="AL174" s="22"/>
      <c r="AM174" s="22"/>
      <c r="AN174" s="22"/>
    </row>
    <row r="175" spans="1:40" x14ac:dyDescent="0.25">
      <c r="A175" s="22"/>
      <c r="B175" s="22"/>
      <c r="C175" s="22"/>
      <c r="D175" s="22"/>
      <c r="E175" s="22"/>
      <c r="F175" s="22"/>
      <c r="G175" s="22"/>
      <c r="H175" s="22"/>
      <c r="I175" s="22"/>
      <c r="J175" s="22"/>
      <c r="K175" s="22"/>
      <c r="L175" s="22"/>
      <c r="M175" s="22"/>
      <c r="N175" s="22"/>
      <c r="O175" s="22"/>
      <c r="P175" s="22"/>
      <c r="Q175" s="22"/>
      <c r="R175" s="22"/>
      <c r="S175" s="22"/>
      <c r="T175" s="22"/>
      <c r="U175" s="22"/>
      <c r="V175" s="22"/>
      <c r="W175" s="22"/>
      <c r="X175" s="22"/>
      <c r="Y175" s="22"/>
      <c r="Z175" s="22"/>
      <c r="AA175" s="22"/>
      <c r="AB175" s="22"/>
      <c r="AC175" s="22"/>
      <c r="AD175" s="22"/>
      <c r="AE175" s="22"/>
      <c r="AF175" s="22"/>
      <c r="AG175" s="22"/>
      <c r="AH175" s="22"/>
      <c r="AI175" s="22"/>
      <c r="AJ175" s="22"/>
      <c r="AK175" s="22"/>
      <c r="AL175" s="22"/>
      <c r="AM175" s="22"/>
      <c r="AN175" s="22"/>
    </row>
    <row r="176" spans="1:40" x14ac:dyDescent="0.25">
      <c r="A176" s="22"/>
      <c r="B176" s="22"/>
      <c r="C176" s="22"/>
      <c r="D176" s="22"/>
      <c r="E176" s="22"/>
      <c r="F176" s="22"/>
      <c r="G176" s="22"/>
      <c r="H176" s="22"/>
      <c r="I176" s="22"/>
      <c r="J176" s="22"/>
      <c r="K176" s="22"/>
      <c r="L176" s="22"/>
      <c r="M176" s="22"/>
      <c r="N176" s="22"/>
      <c r="O176" s="22"/>
      <c r="P176" s="22"/>
      <c r="Q176" s="22"/>
      <c r="R176" s="22"/>
      <c r="S176" s="22"/>
      <c r="T176" s="22"/>
      <c r="U176" s="22"/>
      <c r="V176" s="22"/>
      <c r="W176" s="22"/>
      <c r="X176" s="22"/>
      <c r="Y176" s="22"/>
      <c r="Z176" s="22"/>
      <c r="AA176" s="22"/>
      <c r="AB176" s="22"/>
      <c r="AC176" s="22"/>
      <c r="AD176" s="22"/>
      <c r="AE176" s="22"/>
      <c r="AF176" s="22"/>
      <c r="AG176" s="22"/>
      <c r="AH176" s="22"/>
      <c r="AI176" s="22"/>
      <c r="AJ176" s="22"/>
      <c r="AK176" s="22"/>
      <c r="AL176" s="22"/>
      <c r="AM176" s="22"/>
      <c r="AN176" s="22"/>
    </row>
    <row r="177" spans="1:40" x14ac:dyDescent="0.25">
      <c r="A177" s="22"/>
      <c r="B177" s="22"/>
      <c r="C177" s="22"/>
      <c r="D177" s="22"/>
      <c r="E177" s="22"/>
      <c r="F177" s="22"/>
      <c r="G177" s="22"/>
      <c r="H177" s="22"/>
      <c r="I177" s="22"/>
      <c r="J177" s="22"/>
      <c r="K177" s="22"/>
      <c r="L177" s="22"/>
      <c r="M177" s="22"/>
      <c r="N177" s="22"/>
      <c r="O177" s="22"/>
      <c r="P177" s="22"/>
      <c r="Q177" s="22"/>
      <c r="R177" s="22"/>
      <c r="S177" s="22"/>
      <c r="T177" s="22"/>
      <c r="U177" s="22"/>
      <c r="V177" s="22"/>
      <c r="W177" s="22"/>
      <c r="X177" s="22"/>
      <c r="Y177" s="22"/>
      <c r="Z177" s="22"/>
      <c r="AA177" s="22"/>
      <c r="AB177" s="22"/>
      <c r="AC177" s="22"/>
      <c r="AD177" s="22"/>
      <c r="AE177" s="22"/>
      <c r="AF177" s="22"/>
      <c r="AG177" s="22"/>
      <c r="AH177" s="22"/>
      <c r="AI177" s="22"/>
      <c r="AJ177" s="22"/>
      <c r="AK177" s="22"/>
      <c r="AL177" s="22"/>
      <c r="AM177" s="22"/>
      <c r="AN177" s="22"/>
    </row>
    <row r="178" spans="1:40" x14ac:dyDescent="0.25">
      <c r="A178" s="22"/>
      <c r="B178" s="22"/>
      <c r="C178" s="22"/>
      <c r="D178" s="22"/>
      <c r="E178" s="22"/>
      <c r="F178" s="22"/>
      <c r="G178" s="22"/>
      <c r="H178" s="22"/>
      <c r="I178" s="22"/>
      <c r="J178" s="22"/>
      <c r="K178" s="22"/>
      <c r="L178" s="22"/>
      <c r="M178" s="22"/>
      <c r="N178" s="22"/>
      <c r="O178" s="22"/>
      <c r="P178" s="22"/>
      <c r="Q178" s="22"/>
      <c r="R178" s="22"/>
      <c r="S178" s="22"/>
      <c r="T178" s="22"/>
      <c r="U178" s="22"/>
      <c r="V178" s="22"/>
      <c r="W178" s="22"/>
      <c r="X178" s="22"/>
      <c r="Y178" s="22"/>
      <c r="Z178" s="22"/>
      <c r="AA178" s="22"/>
      <c r="AB178" s="22"/>
      <c r="AC178" s="22"/>
      <c r="AD178" s="22"/>
      <c r="AE178" s="22"/>
      <c r="AF178" s="22"/>
      <c r="AG178" s="22"/>
      <c r="AH178" s="22"/>
      <c r="AI178" s="22"/>
      <c r="AJ178" s="22"/>
      <c r="AK178" s="22"/>
      <c r="AL178" s="22"/>
      <c r="AM178" s="22"/>
      <c r="AN178" s="22"/>
    </row>
    <row r="179" spans="1:40" x14ac:dyDescent="0.25">
      <c r="A179" s="22"/>
      <c r="B179" s="22"/>
      <c r="C179" s="22"/>
      <c r="D179" s="22"/>
      <c r="E179" s="22"/>
      <c r="F179" s="22"/>
      <c r="G179" s="22"/>
      <c r="H179" s="22"/>
      <c r="I179" s="22"/>
      <c r="J179" s="22"/>
      <c r="K179" s="22"/>
      <c r="L179" s="22"/>
      <c r="M179" s="22"/>
      <c r="N179" s="22"/>
      <c r="O179" s="22"/>
      <c r="P179" s="22"/>
      <c r="Q179" s="22"/>
      <c r="R179" s="22"/>
      <c r="S179" s="22"/>
      <c r="T179" s="22"/>
      <c r="U179" s="22"/>
      <c r="V179" s="22"/>
      <c r="W179" s="22"/>
      <c r="X179" s="22"/>
      <c r="Y179" s="22"/>
      <c r="Z179" s="22"/>
      <c r="AA179" s="22"/>
      <c r="AB179" s="22"/>
      <c r="AC179" s="22"/>
      <c r="AD179" s="22"/>
      <c r="AE179" s="22"/>
      <c r="AF179" s="22"/>
      <c r="AG179" s="22"/>
      <c r="AH179" s="22"/>
      <c r="AI179" s="22"/>
      <c r="AJ179" s="22"/>
      <c r="AK179" s="22"/>
      <c r="AL179" s="22"/>
      <c r="AM179" s="22"/>
      <c r="AN179" s="22"/>
    </row>
    <row r="180" spans="1:40" x14ac:dyDescent="0.25">
      <c r="A180" s="22"/>
      <c r="B180" s="22"/>
      <c r="C180" s="22"/>
      <c r="D180" s="22"/>
      <c r="E180" s="22"/>
      <c r="F180" s="22"/>
      <c r="G180" s="22"/>
      <c r="H180" s="22"/>
      <c r="I180" s="22"/>
      <c r="J180" s="22"/>
      <c r="K180" s="22"/>
      <c r="L180" s="22"/>
      <c r="M180" s="22"/>
      <c r="N180" s="22"/>
      <c r="O180" s="22"/>
      <c r="P180" s="22"/>
      <c r="Q180" s="22"/>
      <c r="R180" s="22"/>
      <c r="S180" s="22"/>
      <c r="T180" s="22"/>
      <c r="U180" s="22"/>
      <c r="V180" s="22"/>
      <c r="W180" s="22"/>
      <c r="X180" s="22"/>
      <c r="Y180" s="22"/>
      <c r="Z180" s="22"/>
      <c r="AA180" s="22"/>
      <c r="AB180" s="22"/>
      <c r="AC180" s="22"/>
      <c r="AD180" s="22"/>
      <c r="AE180" s="22"/>
      <c r="AF180" s="22"/>
      <c r="AG180" s="22"/>
      <c r="AH180" s="22"/>
      <c r="AI180" s="22"/>
      <c r="AJ180" s="22"/>
      <c r="AK180" s="22"/>
      <c r="AL180" s="22"/>
      <c r="AM180" s="22"/>
      <c r="AN180" s="22"/>
    </row>
    <row r="181" spans="1:40" x14ac:dyDescent="0.25">
      <c r="A181" s="22"/>
      <c r="B181" s="22"/>
      <c r="C181" s="22"/>
      <c r="D181" s="22"/>
      <c r="E181" s="22"/>
      <c r="F181" s="22"/>
      <c r="G181" s="22"/>
      <c r="H181" s="22"/>
      <c r="I181" s="22"/>
      <c r="J181" s="22"/>
      <c r="K181" s="22"/>
      <c r="L181" s="22"/>
      <c r="M181" s="22"/>
      <c r="N181" s="22"/>
      <c r="O181" s="22"/>
      <c r="P181" s="22"/>
      <c r="Q181" s="22"/>
      <c r="R181" s="22"/>
      <c r="S181" s="22"/>
      <c r="T181" s="22"/>
      <c r="U181" s="22"/>
      <c r="V181" s="22"/>
      <c r="W181" s="22"/>
      <c r="X181" s="22"/>
      <c r="Y181" s="22"/>
      <c r="Z181" s="22"/>
      <c r="AA181" s="22"/>
      <c r="AB181" s="22"/>
      <c r="AC181" s="22"/>
      <c r="AD181" s="22"/>
      <c r="AE181" s="22"/>
      <c r="AF181" s="22"/>
      <c r="AG181" s="22"/>
      <c r="AH181" s="22"/>
      <c r="AI181" s="22"/>
      <c r="AJ181" s="22"/>
      <c r="AK181" s="22"/>
      <c r="AL181" s="22"/>
      <c r="AM181" s="22"/>
      <c r="AN181" s="22"/>
    </row>
    <row r="182" spans="1:40" x14ac:dyDescent="0.25">
      <c r="A182" s="22"/>
      <c r="B182" s="22"/>
      <c r="C182" s="22"/>
      <c r="D182" s="22"/>
      <c r="E182" s="22"/>
      <c r="F182" s="22"/>
      <c r="G182" s="22"/>
      <c r="H182" s="22"/>
      <c r="I182" s="22"/>
      <c r="J182" s="22"/>
      <c r="K182" s="22"/>
      <c r="L182" s="22"/>
      <c r="M182" s="22"/>
      <c r="N182" s="22"/>
      <c r="O182" s="22"/>
      <c r="P182" s="22"/>
      <c r="Q182" s="22"/>
      <c r="R182" s="22"/>
      <c r="S182" s="22"/>
      <c r="T182" s="22"/>
      <c r="U182" s="22"/>
      <c r="V182" s="22"/>
      <c r="W182" s="22"/>
      <c r="X182" s="22"/>
      <c r="Y182" s="22"/>
      <c r="Z182" s="22"/>
      <c r="AA182" s="22"/>
      <c r="AB182" s="22"/>
      <c r="AC182" s="22"/>
      <c r="AD182" s="22"/>
      <c r="AE182" s="22"/>
      <c r="AF182" s="22"/>
      <c r="AG182" s="22"/>
      <c r="AH182" s="22"/>
      <c r="AI182" s="22"/>
      <c r="AJ182" s="22"/>
      <c r="AK182" s="22"/>
      <c r="AL182" s="22"/>
      <c r="AM182" s="22"/>
      <c r="AN182" s="22"/>
    </row>
    <row r="183" spans="1:40" x14ac:dyDescent="0.25">
      <c r="A183" s="22"/>
      <c r="B183" s="22"/>
      <c r="C183" s="22"/>
      <c r="D183" s="22"/>
      <c r="E183" s="22"/>
      <c r="F183" s="22"/>
      <c r="G183" s="22"/>
      <c r="H183" s="22"/>
      <c r="I183" s="22"/>
      <c r="J183" s="22"/>
      <c r="K183" s="22"/>
      <c r="L183" s="22"/>
      <c r="M183" s="22"/>
      <c r="N183" s="22"/>
      <c r="O183" s="22"/>
      <c r="P183" s="22"/>
      <c r="Q183" s="22"/>
      <c r="R183" s="22"/>
      <c r="S183" s="22"/>
      <c r="T183" s="22"/>
      <c r="U183" s="22"/>
      <c r="V183" s="22"/>
      <c r="W183" s="22"/>
      <c r="X183" s="22"/>
      <c r="Y183" s="22"/>
      <c r="Z183" s="22"/>
      <c r="AA183" s="22"/>
      <c r="AB183" s="22"/>
      <c r="AC183" s="22"/>
      <c r="AD183" s="22"/>
      <c r="AE183" s="22"/>
      <c r="AF183" s="22"/>
      <c r="AG183" s="22"/>
      <c r="AH183" s="22"/>
      <c r="AI183" s="22"/>
      <c r="AJ183" s="22"/>
      <c r="AK183" s="22"/>
      <c r="AL183" s="22"/>
      <c r="AM183" s="22"/>
      <c r="AN183" s="22"/>
    </row>
    <row r="184" spans="1:40" x14ac:dyDescent="0.25">
      <c r="A184" s="22"/>
      <c r="B184" s="22"/>
      <c r="C184" s="22"/>
      <c r="D184" s="22"/>
      <c r="E184" s="22"/>
      <c r="F184" s="22"/>
      <c r="G184" s="22"/>
      <c r="H184" s="22"/>
      <c r="I184" s="22"/>
      <c r="J184" s="22"/>
      <c r="K184" s="22"/>
      <c r="L184" s="22"/>
      <c r="M184" s="22"/>
      <c r="N184" s="22"/>
      <c r="O184" s="22"/>
      <c r="P184" s="22"/>
      <c r="Q184" s="22"/>
      <c r="R184" s="22"/>
      <c r="S184" s="22"/>
      <c r="T184" s="22"/>
      <c r="U184" s="22"/>
      <c r="V184" s="22"/>
      <c r="W184" s="22"/>
      <c r="X184" s="22"/>
      <c r="Y184" s="22"/>
      <c r="Z184" s="22"/>
      <c r="AA184" s="22"/>
      <c r="AB184" s="22"/>
      <c r="AC184" s="22"/>
      <c r="AD184" s="22"/>
      <c r="AE184" s="22"/>
      <c r="AF184" s="22"/>
      <c r="AG184" s="22"/>
      <c r="AH184" s="22"/>
      <c r="AI184" s="22"/>
      <c r="AJ184" s="22"/>
      <c r="AK184" s="22"/>
      <c r="AL184" s="22"/>
      <c r="AM184" s="22"/>
      <c r="AN184" s="22"/>
    </row>
    <row r="185" spans="1:40" x14ac:dyDescent="0.25">
      <c r="A185" s="22"/>
      <c r="B185" s="22"/>
      <c r="C185" s="22"/>
      <c r="D185" s="22"/>
      <c r="E185" s="22"/>
      <c r="F185" s="22"/>
      <c r="G185" s="22"/>
      <c r="H185" s="22"/>
      <c r="I185" s="22"/>
      <c r="J185" s="22"/>
      <c r="K185" s="22"/>
      <c r="L185" s="22"/>
      <c r="M185" s="22"/>
      <c r="N185" s="22"/>
      <c r="O185" s="22"/>
      <c r="P185" s="22"/>
      <c r="Q185" s="22"/>
      <c r="R185" s="22"/>
      <c r="S185" s="22"/>
      <c r="T185" s="22"/>
      <c r="U185" s="22"/>
      <c r="V185" s="22"/>
      <c r="W185" s="22"/>
      <c r="X185" s="22"/>
      <c r="Y185" s="22"/>
      <c r="Z185" s="22"/>
      <c r="AA185" s="22"/>
      <c r="AB185" s="22"/>
      <c r="AC185" s="22"/>
      <c r="AD185" s="22"/>
      <c r="AE185" s="22"/>
      <c r="AF185" s="22"/>
      <c r="AG185" s="22"/>
      <c r="AH185" s="22"/>
      <c r="AI185" s="22"/>
      <c r="AJ185" s="22"/>
      <c r="AK185" s="22"/>
      <c r="AL185" s="22"/>
      <c r="AM185" s="22"/>
      <c r="AN185" s="22"/>
    </row>
    <row r="186" spans="1:40" x14ac:dyDescent="0.25">
      <c r="A186" s="22"/>
      <c r="B186" s="22"/>
      <c r="C186" s="22"/>
      <c r="D186" s="22"/>
      <c r="E186" s="22"/>
      <c r="F186" s="22"/>
      <c r="G186" s="22"/>
      <c r="H186" s="22"/>
      <c r="I186" s="22"/>
      <c r="J186" s="22"/>
      <c r="K186" s="22"/>
      <c r="L186" s="22"/>
      <c r="M186" s="22"/>
      <c r="N186" s="22"/>
      <c r="O186" s="22"/>
      <c r="P186" s="22"/>
      <c r="Q186" s="22"/>
      <c r="R186" s="22"/>
      <c r="S186" s="22"/>
      <c r="T186" s="22"/>
      <c r="U186" s="22"/>
      <c r="V186" s="22"/>
      <c r="W186" s="22"/>
      <c r="X186" s="22"/>
      <c r="Y186" s="22"/>
      <c r="Z186" s="22"/>
      <c r="AA186" s="22"/>
      <c r="AB186" s="22"/>
      <c r="AC186" s="22"/>
      <c r="AD186" s="22"/>
      <c r="AE186" s="22"/>
      <c r="AF186" s="22"/>
      <c r="AG186" s="22"/>
      <c r="AH186" s="22"/>
      <c r="AI186" s="22"/>
      <c r="AJ186" s="22"/>
      <c r="AK186" s="22"/>
      <c r="AL186" s="22"/>
      <c r="AM186" s="22"/>
      <c r="AN186" s="22"/>
    </row>
    <row r="187" spans="1:40" x14ac:dyDescent="0.25">
      <c r="A187" s="22"/>
      <c r="B187" s="22"/>
      <c r="C187" s="22"/>
      <c r="D187" s="22"/>
      <c r="E187" s="22"/>
      <c r="F187" s="22"/>
      <c r="G187" s="22"/>
      <c r="H187" s="22"/>
      <c r="I187" s="22"/>
      <c r="J187" s="22"/>
      <c r="K187" s="22"/>
      <c r="L187" s="22"/>
      <c r="M187" s="22"/>
      <c r="N187" s="22"/>
      <c r="O187" s="22"/>
      <c r="P187" s="22"/>
      <c r="Q187" s="22"/>
      <c r="R187" s="22"/>
      <c r="S187" s="22"/>
      <c r="T187" s="22"/>
      <c r="U187" s="22"/>
      <c r="V187" s="22"/>
      <c r="W187" s="22"/>
      <c r="X187" s="22"/>
      <c r="Y187" s="22"/>
      <c r="Z187" s="22"/>
      <c r="AA187" s="22"/>
      <c r="AB187" s="22"/>
      <c r="AC187" s="22"/>
      <c r="AD187" s="22"/>
      <c r="AE187" s="22"/>
      <c r="AF187" s="22"/>
      <c r="AG187" s="22"/>
      <c r="AH187" s="22"/>
      <c r="AI187" s="22"/>
      <c r="AJ187" s="22"/>
      <c r="AK187" s="22"/>
      <c r="AL187" s="22"/>
      <c r="AM187" s="22"/>
      <c r="AN187" s="22"/>
    </row>
    <row r="188" spans="1:40" x14ac:dyDescent="0.25">
      <c r="A188" s="22"/>
      <c r="B188" s="22"/>
      <c r="C188" s="22"/>
      <c r="D188" s="22"/>
      <c r="E188" s="22"/>
      <c r="F188" s="22"/>
      <c r="G188" s="22"/>
      <c r="H188" s="22"/>
      <c r="I188" s="22"/>
      <c r="J188" s="22"/>
      <c r="K188" s="22"/>
      <c r="L188" s="22"/>
      <c r="M188" s="22"/>
      <c r="N188" s="22"/>
      <c r="O188" s="22"/>
      <c r="P188" s="22"/>
      <c r="Q188" s="22"/>
      <c r="R188" s="22"/>
      <c r="S188" s="22"/>
      <c r="T188" s="22"/>
      <c r="U188" s="22"/>
      <c r="V188" s="22"/>
      <c r="W188" s="22"/>
      <c r="X188" s="22"/>
      <c r="Y188" s="22"/>
      <c r="Z188" s="22"/>
      <c r="AA188" s="22"/>
      <c r="AB188" s="22"/>
      <c r="AC188" s="22"/>
      <c r="AD188" s="22"/>
      <c r="AE188" s="22"/>
      <c r="AF188" s="22"/>
      <c r="AG188" s="22"/>
      <c r="AH188" s="22"/>
      <c r="AI188" s="22"/>
      <c r="AJ188" s="22"/>
      <c r="AK188" s="22"/>
      <c r="AL188" s="22"/>
      <c r="AM188" s="22"/>
      <c r="AN188" s="22"/>
    </row>
    <row r="189" spans="1:40" x14ac:dyDescent="0.25">
      <c r="A189" s="22"/>
      <c r="B189" s="22"/>
      <c r="C189" s="22"/>
      <c r="D189" s="22"/>
      <c r="E189" s="22"/>
      <c r="F189" s="22"/>
      <c r="G189" s="22"/>
      <c r="H189" s="22"/>
      <c r="I189" s="22"/>
      <c r="J189" s="22"/>
      <c r="K189" s="22"/>
      <c r="L189" s="22"/>
      <c r="M189" s="22"/>
      <c r="N189" s="22"/>
      <c r="O189" s="22"/>
      <c r="P189" s="22"/>
      <c r="Q189" s="22"/>
      <c r="R189" s="22"/>
      <c r="S189" s="22"/>
      <c r="T189" s="22"/>
      <c r="U189" s="22"/>
      <c r="V189" s="22"/>
      <c r="W189" s="22"/>
      <c r="X189" s="22"/>
      <c r="Y189" s="22"/>
      <c r="Z189" s="22"/>
      <c r="AA189" s="22"/>
      <c r="AB189" s="22"/>
      <c r="AC189" s="22"/>
      <c r="AD189" s="22"/>
      <c r="AE189" s="22"/>
      <c r="AF189" s="22"/>
      <c r="AG189" s="22"/>
      <c r="AH189" s="22"/>
      <c r="AI189" s="22"/>
      <c r="AJ189" s="22"/>
      <c r="AK189" s="22"/>
      <c r="AL189" s="22"/>
      <c r="AM189" s="22"/>
      <c r="AN189" s="22"/>
    </row>
    <row r="190" spans="1:40" x14ac:dyDescent="0.25">
      <c r="A190" s="22"/>
      <c r="B190" s="22"/>
      <c r="C190" s="22"/>
      <c r="D190" s="22"/>
      <c r="E190" s="22"/>
      <c r="F190" s="22"/>
      <c r="G190" s="22"/>
      <c r="H190" s="22"/>
      <c r="I190" s="22"/>
      <c r="J190" s="22"/>
      <c r="K190" s="22"/>
      <c r="L190" s="22"/>
      <c r="M190" s="22"/>
      <c r="N190" s="22"/>
      <c r="O190" s="22"/>
      <c r="P190" s="22"/>
      <c r="Q190" s="22"/>
      <c r="R190" s="22"/>
      <c r="S190" s="22"/>
      <c r="T190" s="22"/>
      <c r="U190" s="22"/>
      <c r="V190" s="22"/>
      <c r="W190" s="22"/>
      <c r="X190" s="22"/>
      <c r="Y190" s="22"/>
      <c r="Z190" s="22"/>
      <c r="AA190" s="22"/>
      <c r="AB190" s="22"/>
      <c r="AC190" s="22"/>
      <c r="AD190" s="22"/>
      <c r="AE190" s="22"/>
      <c r="AF190" s="22"/>
      <c r="AG190" s="22"/>
      <c r="AH190" s="22"/>
      <c r="AI190" s="22"/>
      <c r="AJ190" s="22"/>
      <c r="AK190" s="22"/>
      <c r="AL190" s="22"/>
      <c r="AM190" s="22"/>
      <c r="AN190" s="22"/>
    </row>
    <row r="191" spans="1:40" x14ac:dyDescent="0.25">
      <c r="A191" s="22"/>
      <c r="B191" s="22"/>
      <c r="C191" s="22"/>
      <c r="D191" s="22"/>
      <c r="E191" s="22"/>
      <c r="F191" s="22"/>
      <c r="G191" s="22"/>
      <c r="H191" s="22"/>
      <c r="I191" s="22"/>
      <c r="J191" s="22"/>
      <c r="K191" s="22"/>
      <c r="L191" s="22"/>
      <c r="M191" s="22"/>
      <c r="N191" s="22"/>
      <c r="O191" s="22"/>
      <c r="P191" s="22"/>
      <c r="Q191" s="22"/>
      <c r="R191" s="22"/>
      <c r="S191" s="22"/>
      <c r="T191" s="22"/>
      <c r="U191" s="22"/>
      <c r="V191" s="22"/>
      <c r="W191" s="22"/>
      <c r="X191" s="22"/>
      <c r="Y191" s="22"/>
      <c r="Z191" s="22"/>
      <c r="AA191" s="22"/>
      <c r="AB191" s="22"/>
      <c r="AC191" s="22"/>
      <c r="AD191" s="22"/>
      <c r="AE191" s="22"/>
      <c r="AF191" s="22"/>
      <c r="AG191" s="22"/>
      <c r="AH191" s="22"/>
      <c r="AI191" s="22"/>
      <c r="AJ191" s="22"/>
      <c r="AK191" s="22"/>
      <c r="AL191" s="22"/>
      <c r="AM191" s="22"/>
      <c r="AN191" s="22"/>
    </row>
    <row r="192" spans="1:40" x14ac:dyDescent="0.25">
      <c r="A192" s="22"/>
      <c r="B192" s="22"/>
      <c r="C192" s="22"/>
      <c r="D192" s="22"/>
      <c r="E192" s="22"/>
      <c r="F192" s="22"/>
      <c r="G192" s="22"/>
      <c r="H192" s="22"/>
      <c r="I192" s="22"/>
      <c r="J192" s="22"/>
      <c r="K192" s="22"/>
      <c r="L192" s="22"/>
      <c r="M192" s="22"/>
      <c r="N192" s="22"/>
      <c r="O192" s="22"/>
      <c r="P192" s="22"/>
      <c r="Q192" s="22"/>
      <c r="R192" s="22"/>
      <c r="S192" s="22"/>
      <c r="T192" s="22"/>
      <c r="U192" s="22"/>
      <c r="V192" s="22"/>
      <c r="W192" s="22"/>
      <c r="X192" s="22"/>
      <c r="Y192" s="22"/>
      <c r="Z192" s="22"/>
      <c r="AA192" s="22"/>
      <c r="AB192" s="22"/>
      <c r="AC192" s="22"/>
      <c r="AD192" s="22"/>
      <c r="AE192" s="22"/>
      <c r="AF192" s="22"/>
      <c r="AG192" s="22"/>
      <c r="AH192" s="22"/>
      <c r="AI192" s="22"/>
      <c r="AJ192" s="22"/>
      <c r="AK192" s="22"/>
      <c r="AL192" s="22"/>
      <c r="AM192" s="22"/>
      <c r="AN192" s="22"/>
    </row>
    <row r="193" spans="1:40" x14ac:dyDescent="0.25">
      <c r="A193" s="22"/>
      <c r="B193" s="22"/>
      <c r="C193" s="22"/>
      <c r="D193" s="22"/>
      <c r="E193" s="22"/>
      <c r="F193" s="22"/>
      <c r="G193" s="22"/>
      <c r="H193" s="22"/>
      <c r="I193" s="22"/>
      <c r="J193" s="22"/>
      <c r="K193" s="22"/>
      <c r="L193" s="22"/>
      <c r="M193" s="22"/>
      <c r="N193" s="22"/>
      <c r="O193" s="22"/>
      <c r="P193" s="22"/>
      <c r="Q193" s="22"/>
      <c r="R193" s="22"/>
      <c r="S193" s="22"/>
      <c r="T193" s="22"/>
      <c r="U193" s="22"/>
      <c r="V193" s="22"/>
      <c r="W193" s="22"/>
      <c r="X193" s="22"/>
      <c r="Y193" s="22"/>
      <c r="Z193" s="22"/>
      <c r="AA193" s="22"/>
      <c r="AB193" s="22"/>
      <c r="AC193" s="22"/>
      <c r="AD193" s="22"/>
      <c r="AE193" s="22"/>
      <c r="AF193" s="22"/>
      <c r="AG193" s="22"/>
      <c r="AH193" s="22"/>
      <c r="AI193" s="22"/>
      <c r="AJ193" s="22"/>
      <c r="AK193" s="22"/>
      <c r="AL193" s="22"/>
      <c r="AM193" s="22"/>
      <c r="AN193" s="22"/>
    </row>
    <row r="194" spans="1:40" x14ac:dyDescent="0.25">
      <c r="A194" s="22"/>
      <c r="B194" s="22"/>
      <c r="C194" s="22"/>
      <c r="D194" s="22"/>
      <c r="E194" s="22"/>
      <c r="F194" s="22"/>
      <c r="G194" s="22"/>
      <c r="H194" s="22"/>
      <c r="I194" s="22"/>
      <c r="J194" s="22"/>
      <c r="K194" s="22"/>
      <c r="L194" s="22"/>
      <c r="M194" s="22"/>
      <c r="N194" s="22"/>
      <c r="O194" s="22"/>
      <c r="P194" s="22"/>
      <c r="Q194" s="22"/>
      <c r="R194" s="22"/>
      <c r="S194" s="22"/>
      <c r="T194" s="22"/>
      <c r="U194" s="22"/>
      <c r="V194" s="22"/>
      <c r="W194" s="22"/>
      <c r="X194" s="22"/>
      <c r="Y194" s="22"/>
      <c r="Z194" s="22"/>
      <c r="AA194" s="22"/>
      <c r="AB194" s="22"/>
      <c r="AC194" s="22"/>
      <c r="AD194" s="22"/>
      <c r="AE194" s="22"/>
      <c r="AF194" s="22"/>
      <c r="AG194" s="22"/>
      <c r="AH194" s="22"/>
      <c r="AI194" s="22"/>
      <c r="AJ194" s="22"/>
      <c r="AK194" s="22"/>
      <c r="AL194" s="22"/>
      <c r="AM194" s="22"/>
      <c r="AN194" s="22"/>
    </row>
    <row r="195" spans="1:40" x14ac:dyDescent="0.25">
      <c r="A195" s="22"/>
      <c r="B195" s="22"/>
      <c r="C195" s="22"/>
      <c r="D195" s="22"/>
      <c r="E195" s="22"/>
      <c r="F195" s="22"/>
      <c r="G195" s="22"/>
      <c r="H195" s="22"/>
      <c r="I195" s="22"/>
      <c r="J195" s="22"/>
      <c r="K195" s="22"/>
      <c r="L195" s="22"/>
      <c r="M195" s="22"/>
      <c r="N195" s="22"/>
      <c r="O195" s="22"/>
      <c r="P195" s="22"/>
      <c r="Q195" s="22"/>
      <c r="R195" s="22"/>
      <c r="S195" s="22"/>
      <c r="T195" s="22"/>
      <c r="U195" s="22"/>
      <c r="V195" s="22"/>
      <c r="W195" s="22"/>
      <c r="X195" s="22"/>
      <c r="Y195" s="22"/>
      <c r="Z195" s="22"/>
      <c r="AA195" s="22"/>
      <c r="AB195" s="22"/>
      <c r="AC195" s="22"/>
      <c r="AD195" s="22"/>
      <c r="AE195" s="22"/>
      <c r="AF195" s="22"/>
      <c r="AG195" s="22"/>
      <c r="AH195" s="22"/>
      <c r="AI195" s="22"/>
      <c r="AJ195" s="22"/>
      <c r="AK195" s="22"/>
      <c r="AL195" s="22"/>
      <c r="AM195" s="22"/>
      <c r="AN195" s="22"/>
    </row>
    <row r="196" spans="1:40" x14ac:dyDescent="0.25">
      <c r="A196" s="22"/>
      <c r="B196" s="22"/>
      <c r="C196" s="22"/>
      <c r="D196" s="22"/>
      <c r="E196" s="22"/>
      <c r="F196" s="22"/>
      <c r="G196" s="22"/>
      <c r="H196" s="22"/>
      <c r="I196" s="22"/>
      <c r="J196" s="22"/>
      <c r="K196" s="22"/>
      <c r="L196" s="22"/>
      <c r="M196" s="22"/>
      <c r="N196" s="22"/>
      <c r="O196" s="22"/>
      <c r="P196" s="22"/>
      <c r="Q196" s="22"/>
      <c r="R196" s="22"/>
      <c r="S196" s="22"/>
      <c r="T196" s="22"/>
      <c r="U196" s="22"/>
      <c r="V196" s="22"/>
      <c r="W196" s="22"/>
      <c r="X196" s="22"/>
      <c r="Y196" s="22"/>
      <c r="Z196" s="22"/>
      <c r="AA196" s="22"/>
      <c r="AB196" s="22"/>
      <c r="AC196" s="22"/>
      <c r="AD196" s="22"/>
      <c r="AE196" s="22"/>
      <c r="AF196" s="22"/>
      <c r="AG196" s="22"/>
      <c r="AH196" s="22"/>
      <c r="AI196" s="22"/>
      <c r="AJ196" s="22"/>
      <c r="AK196" s="22"/>
      <c r="AL196" s="22"/>
      <c r="AM196" s="22"/>
      <c r="AN196" s="22"/>
    </row>
    <row r="197" spans="1:40" x14ac:dyDescent="0.25">
      <c r="A197" s="22"/>
      <c r="B197" s="22"/>
      <c r="C197" s="22"/>
      <c r="D197" s="22"/>
      <c r="E197" s="22"/>
      <c r="F197" s="22"/>
      <c r="G197" s="22"/>
      <c r="H197" s="22"/>
      <c r="I197" s="22"/>
      <c r="J197" s="22"/>
      <c r="K197" s="22"/>
      <c r="L197" s="22"/>
      <c r="M197" s="22"/>
      <c r="N197" s="22"/>
      <c r="O197" s="22"/>
      <c r="P197" s="22"/>
      <c r="Q197" s="22"/>
      <c r="R197" s="22"/>
      <c r="S197" s="22"/>
      <c r="T197" s="22"/>
      <c r="U197" s="22"/>
      <c r="V197" s="22"/>
      <c r="W197" s="22"/>
      <c r="X197" s="22"/>
      <c r="Y197" s="22"/>
      <c r="Z197" s="22"/>
      <c r="AA197" s="22"/>
      <c r="AB197" s="22"/>
      <c r="AC197" s="22"/>
      <c r="AD197" s="22"/>
      <c r="AE197" s="22"/>
      <c r="AF197" s="22"/>
      <c r="AG197" s="22"/>
      <c r="AH197" s="22"/>
      <c r="AI197" s="22"/>
      <c r="AJ197" s="22"/>
      <c r="AK197" s="22"/>
      <c r="AL197" s="22"/>
      <c r="AM197" s="22"/>
      <c r="AN197" s="22"/>
    </row>
    <row r="198" spans="1:40" x14ac:dyDescent="0.25">
      <c r="A198" s="22"/>
      <c r="B198" s="22"/>
      <c r="C198" s="22"/>
      <c r="D198" s="22"/>
      <c r="E198" s="22"/>
      <c r="F198" s="22"/>
      <c r="G198" s="22"/>
      <c r="H198" s="22"/>
      <c r="I198" s="22"/>
      <c r="J198" s="22"/>
      <c r="K198" s="22"/>
      <c r="L198" s="22"/>
      <c r="M198" s="22"/>
      <c r="N198" s="22"/>
      <c r="O198" s="22"/>
      <c r="P198" s="22"/>
      <c r="Q198" s="22"/>
      <c r="R198" s="22"/>
      <c r="S198" s="22"/>
      <c r="T198" s="22"/>
      <c r="U198" s="22"/>
      <c r="V198" s="22"/>
      <c r="W198" s="22"/>
      <c r="X198" s="22"/>
      <c r="Y198" s="22"/>
      <c r="Z198" s="22"/>
      <c r="AA198" s="22"/>
      <c r="AB198" s="22"/>
      <c r="AC198" s="22"/>
      <c r="AD198" s="22"/>
      <c r="AE198" s="22"/>
      <c r="AF198" s="22"/>
      <c r="AG198" s="22"/>
      <c r="AH198" s="22"/>
      <c r="AI198" s="22"/>
      <c r="AJ198" s="22"/>
      <c r="AK198" s="22"/>
      <c r="AL198" s="22"/>
      <c r="AM198" s="22"/>
      <c r="AN198" s="22"/>
    </row>
    <row r="199" spans="1:40" x14ac:dyDescent="0.25">
      <c r="A199" s="22"/>
      <c r="B199" s="22"/>
      <c r="C199" s="22"/>
      <c r="D199" s="22"/>
      <c r="E199" s="22"/>
      <c r="F199" s="22"/>
      <c r="G199" s="22"/>
      <c r="H199" s="22"/>
      <c r="I199" s="22"/>
      <c r="J199" s="22"/>
      <c r="K199" s="22"/>
      <c r="L199" s="22"/>
      <c r="M199" s="22"/>
      <c r="N199" s="22"/>
      <c r="O199" s="22"/>
      <c r="P199" s="22"/>
      <c r="Q199" s="22"/>
      <c r="R199" s="22"/>
      <c r="S199" s="22"/>
      <c r="T199" s="22"/>
      <c r="U199" s="22"/>
      <c r="V199" s="22"/>
      <c r="W199" s="22"/>
      <c r="X199" s="22"/>
      <c r="Y199" s="22"/>
      <c r="Z199" s="22"/>
      <c r="AA199" s="22"/>
      <c r="AB199" s="22"/>
      <c r="AC199" s="22"/>
      <c r="AD199" s="22"/>
      <c r="AE199" s="22"/>
      <c r="AF199" s="22"/>
      <c r="AG199" s="22"/>
      <c r="AH199" s="22"/>
      <c r="AI199" s="22"/>
      <c r="AJ199" s="22"/>
      <c r="AK199" s="22"/>
      <c r="AL199" s="22"/>
      <c r="AM199" s="22"/>
      <c r="AN199" s="22"/>
    </row>
    <row r="200" spans="1:40" x14ac:dyDescent="0.25">
      <c r="A200" s="22"/>
      <c r="B200" s="22"/>
      <c r="C200" s="22"/>
      <c r="D200" s="22"/>
      <c r="E200" s="22"/>
      <c r="F200" s="22"/>
      <c r="G200" s="22"/>
      <c r="H200" s="22"/>
      <c r="I200" s="22"/>
      <c r="J200" s="22"/>
      <c r="K200" s="22"/>
      <c r="L200" s="22"/>
      <c r="M200" s="22"/>
      <c r="N200" s="22"/>
      <c r="O200" s="22"/>
      <c r="P200" s="22"/>
      <c r="Q200" s="22"/>
      <c r="R200" s="22"/>
      <c r="S200" s="22"/>
      <c r="T200" s="22"/>
      <c r="U200" s="22"/>
      <c r="V200" s="22"/>
      <c r="W200" s="22"/>
      <c r="X200" s="22"/>
      <c r="Y200" s="22"/>
      <c r="Z200" s="22"/>
      <c r="AA200" s="22"/>
      <c r="AB200" s="22"/>
      <c r="AC200" s="22"/>
      <c r="AD200" s="22"/>
      <c r="AE200" s="22"/>
      <c r="AF200" s="22"/>
      <c r="AG200" s="22"/>
      <c r="AH200" s="22"/>
      <c r="AI200" s="22"/>
      <c r="AJ200" s="22"/>
      <c r="AK200" s="22"/>
      <c r="AL200" s="22"/>
      <c r="AM200" s="22"/>
      <c r="AN200" s="22"/>
    </row>
    <row r="201" spans="1:40" x14ac:dyDescent="0.25">
      <c r="A201" s="22"/>
      <c r="B201" s="22"/>
      <c r="C201" s="22"/>
      <c r="D201" s="22"/>
      <c r="E201" s="22"/>
      <c r="F201" s="22"/>
      <c r="G201" s="22"/>
      <c r="H201" s="22"/>
      <c r="I201" s="22"/>
      <c r="J201" s="22"/>
      <c r="K201" s="22"/>
      <c r="L201" s="22"/>
      <c r="M201" s="22"/>
      <c r="N201" s="22"/>
      <c r="O201" s="22"/>
      <c r="P201" s="22"/>
      <c r="Q201" s="22"/>
      <c r="R201" s="22"/>
      <c r="S201" s="22"/>
      <c r="T201" s="22"/>
      <c r="U201" s="22"/>
      <c r="V201" s="22"/>
      <c r="W201" s="22"/>
      <c r="X201" s="22"/>
      <c r="Y201" s="22"/>
      <c r="Z201" s="22"/>
      <c r="AA201" s="22"/>
      <c r="AB201" s="22"/>
      <c r="AC201" s="22"/>
      <c r="AD201" s="22"/>
      <c r="AE201" s="22"/>
      <c r="AF201" s="22"/>
      <c r="AG201" s="22"/>
      <c r="AH201" s="22"/>
      <c r="AI201" s="22"/>
      <c r="AJ201" s="22"/>
      <c r="AK201" s="22"/>
      <c r="AL201" s="22"/>
      <c r="AM201" s="22"/>
      <c r="AN201" s="22"/>
    </row>
    <row r="202" spans="1:40" x14ac:dyDescent="0.25">
      <c r="A202" s="22"/>
      <c r="B202" s="22"/>
      <c r="C202" s="22"/>
      <c r="D202" s="22"/>
      <c r="E202" s="22"/>
      <c r="F202" s="22"/>
      <c r="G202" s="22"/>
      <c r="H202" s="22"/>
      <c r="I202" s="22"/>
      <c r="J202" s="22"/>
      <c r="K202" s="22"/>
      <c r="L202" s="22"/>
      <c r="M202" s="22"/>
      <c r="N202" s="22"/>
      <c r="O202" s="22"/>
      <c r="P202" s="22"/>
      <c r="Q202" s="22"/>
      <c r="R202" s="22"/>
      <c r="S202" s="22"/>
      <c r="T202" s="22"/>
      <c r="U202" s="22"/>
      <c r="V202" s="22"/>
      <c r="W202" s="22"/>
      <c r="X202" s="22"/>
      <c r="Y202" s="22"/>
      <c r="Z202" s="22"/>
      <c r="AA202" s="22"/>
      <c r="AB202" s="22"/>
      <c r="AC202" s="22"/>
      <c r="AD202" s="22"/>
      <c r="AE202" s="22"/>
      <c r="AF202" s="22"/>
      <c r="AG202" s="22"/>
      <c r="AH202" s="22"/>
      <c r="AI202" s="22"/>
      <c r="AJ202" s="22"/>
      <c r="AK202" s="22"/>
      <c r="AL202" s="22"/>
      <c r="AM202" s="22"/>
      <c r="AN202" s="22"/>
    </row>
    <row r="203" spans="1:40" x14ac:dyDescent="0.25">
      <c r="A203" s="22"/>
      <c r="B203" s="22"/>
      <c r="C203" s="22"/>
      <c r="D203" s="22"/>
      <c r="E203" s="22"/>
      <c r="F203" s="22"/>
      <c r="G203" s="22"/>
      <c r="H203" s="22"/>
      <c r="I203" s="22"/>
      <c r="J203" s="22"/>
      <c r="K203" s="22"/>
      <c r="L203" s="22"/>
      <c r="M203" s="22"/>
      <c r="N203" s="22"/>
      <c r="O203" s="22"/>
      <c r="P203" s="22"/>
      <c r="Q203" s="22"/>
      <c r="R203" s="22"/>
      <c r="S203" s="22"/>
      <c r="T203" s="22"/>
      <c r="U203" s="22"/>
      <c r="V203" s="22"/>
      <c r="W203" s="22"/>
      <c r="X203" s="22"/>
      <c r="Y203" s="22"/>
      <c r="Z203" s="22"/>
      <c r="AA203" s="22"/>
      <c r="AB203" s="22"/>
      <c r="AC203" s="22"/>
      <c r="AD203" s="22"/>
      <c r="AE203" s="22"/>
      <c r="AF203" s="22"/>
      <c r="AG203" s="22"/>
      <c r="AH203" s="22"/>
      <c r="AI203" s="22"/>
      <c r="AJ203" s="22"/>
      <c r="AK203" s="22"/>
      <c r="AL203" s="22"/>
      <c r="AM203" s="22"/>
      <c r="AN203" s="22"/>
    </row>
    <row r="204" spans="1:40" x14ac:dyDescent="0.25">
      <c r="A204" s="22"/>
      <c r="B204" s="22"/>
      <c r="C204" s="22"/>
      <c r="D204" s="22"/>
      <c r="E204" s="22"/>
      <c r="F204" s="22"/>
      <c r="G204" s="22"/>
      <c r="H204" s="22"/>
      <c r="I204" s="22"/>
      <c r="J204" s="22"/>
      <c r="K204" s="22"/>
      <c r="L204" s="22"/>
      <c r="M204" s="22"/>
      <c r="N204" s="22"/>
      <c r="O204" s="22"/>
      <c r="P204" s="22"/>
      <c r="Q204" s="22"/>
      <c r="R204" s="22"/>
      <c r="S204" s="22"/>
      <c r="T204" s="22"/>
      <c r="U204" s="22"/>
      <c r="V204" s="22"/>
      <c r="W204" s="22"/>
      <c r="X204" s="22"/>
      <c r="Y204" s="22"/>
      <c r="Z204" s="22"/>
      <c r="AA204" s="22"/>
      <c r="AB204" s="22"/>
      <c r="AC204" s="22"/>
      <c r="AD204" s="22"/>
      <c r="AE204" s="22"/>
      <c r="AF204" s="22"/>
      <c r="AG204" s="22"/>
      <c r="AH204" s="22"/>
      <c r="AI204" s="22"/>
      <c r="AJ204" s="22"/>
      <c r="AK204" s="22"/>
      <c r="AL204" s="22"/>
      <c r="AM204" s="22"/>
      <c r="AN204" s="22"/>
    </row>
    <row r="205" spans="1:40" x14ac:dyDescent="0.25">
      <c r="A205" s="22"/>
      <c r="B205" s="22"/>
      <c r="C205" s="22"/>
      <c r="D205" s="22"/>
      <c r="E205" s="22"/>
      <c r="F205" s="22"/>
      <c r="G205" s="22"/>
      <c r="H205" s="22"/>
      <c r="I205" s="22"/>
      <c r="J205" s="22"/>
      <c r="K205" s="22"/>
      <c r="L205" s="22"/>
      <c r="M205" s="22"/>
      <c r="N205" s="22"/>
      <c r="O205" s="22"/>
      <c r="P205" s="22"/>
      <c r="Q205" s="22"/>
      <c r="R205" s="22"/>
      <c r="S205" s="22"/>
      <c r="T205" s="22"/>
      <c r="U205" s="22"/>
      <c r="V205" s="22"/>
      <c r="W205" s="22"/>
      <c r="X205" s="22"/>
      <c r="Y205" s="22"/>
      <c r="Z205" s="22"/>
      <c r="AA205" s="22"/>
      <c r="AB205" s="22"/>
      <c r="AC205" s="22"/>
      <c r="AD205" s="22"/>
      <c r="AE205" s="22"/>
      <c r="AF205" s="22"/>
      <c r="AG205" s="22"/>
      <c r="AH205" s="22"/>
      <c r="AI205" s="22"/>
      <c r="AJ205" s="22"/>
      <c r="AK205" s="22"/>
      <c r="AL205" s="22"/>
      <c r="AM205" s="22"/>
      <c r="AN205" s="22"/>
    </row>
    <row r="206" spans="1:40" x14ac:dyDescent="0.25">
      <c r="A206" s="22"/>
      <c r="B206" s="22"/>
      <c r="C206" s="22"/>
      <c r="D206" s="22"/>
      <c r="E206" s="22"/>
      <c r="F206" s="22"/>
      <c r="G206" s="22"/>
      <c r="H206" s="22"/>
      <c r="I206" s="22"/>
      <c r="J206" s="22"/>
      <c r="K206" s="22"/>
      <c r="L206" s="22"/>
      <c r="M206" s="22"/>
      <c r="N206" s="22"/>
      <c r="O206" s="22"/>
      <c r="P206" s="22"/>
      <c r="Q206" s="22"/>
      <c r="R206" s="22"/>
      <c r="S206" s="22"/>
      <c r="T206" s="22"/>
      <c r="U206" s="22"/>
      <c r="V206" s="22"/>
      <c r="W206" s="22"/>
      <c r="X206" s="22"/>
      <c r="Y206" s="22"/>
      <c r="Z206" s="22"/>
      <c r="AA206" s="22"/>
      <c r="AB206" s="22"/>
      <c r="AC206" s="22"/>
      <c r="AD206" s="22"/>
      <c r="AE206" s="22"/>
      <c r="AF206" s="22"/>
      <c r="AG206" s="22"/>
      <c r="AH206" s="22"/>
      <c r="AI206" s="22"/>
      <c r="AJ206" s="22"/>
      <c r="AK206" s="22"/>
      <c r="AL206" s="22"/>
      <c r="AM206" s="22"/>
      <c r="AN206" s="22"/>
    </row>
    <row r="207" spans="1:40" x14ac:dyDescent="0.25">
      <c r="A207" s="22"/>
      <c r="B207" s="22"/>
      <c r="C207" s="22"/>
      <c r="D207" s="22"/>
      <c r="E207" s="22"/>
      <c r="F207" s="22"/>
      <c r="G207" s="22"/>
      <c r="H207" s="22"/>
      <c r="I207" s="22"/>
      <c r="J207" s="22"/>
      <c r="K207" s="22"/>
      <c r="L207" s="22"/>
      <c r="M207" s="22"/>
      <c r="N207" s="22"/>
      <c r="O207" s="22"/>
      <c r="P207" s="22"/>
      <c r="Q207" s="22"/>
      <c r="R207" s="22"/>
      <c r="S207" s="22"/>
      <c r="T207" s="22"/>
      <c r="U207" s="22"/>
      <c r="V207" s="22"/>
      <c r="W207" s="22"/>
      <c r="X207" s="22"/>
      <c r="Y207" s="22"/>
      <c r="Z207" s="22"/>
      <c r="AA207" s="22"/>
      <c r="AB207" s="22"/>
      <c r="AC207" s="22"/>
      <c r="AD207" s="22"/>
      <c r="AE207" s="22"/>
      <c r="AF207" s="22"/>
      <c r="AG207" s="22"/>
      <c r="AH207" s="22"/>
      <c r="AI207" s="22"/>
      <c r="AJ207" s="22"/>
      <c r="AK207" s="22"/>
      <c r="AL207" s="22"/>
      <c r="AM207" s="22"/>
      <c r="AN207" s="22"/>
    </row>
    <row r="208" spans="1:40" x14ac:dyDescent="0.25">
      <c r="A208" s="22"/>
      <c r="B208" s="22"/>
      <c r="C208" s="22"/>
      <c r="D208" s="22"/>
      <c r="E208" s="22"/>
      <c r="F208" s="22"/>
      <c r="G208" s="22"/>
      <c r="H208" s="22"/>
      <c r="I208" s="22"/>
      <c r="J208" s="22"/>
      <c r="K208" s="22"/>
      <c r="L208" s="22"/>
      <c r="M208" s="22"/>
      <c r="N208" s="22"/>
      <c r="O208" s="22"/>
      <c r="P208" s="22"/>
      <c r="Q208" s="22"/>
      <c r="R208" s="22"/>
      <c r="S208" s="22"/>
      <c r="T208" s="22"/>
      <c r="U208" s="22"/>
      <c r="V208" s="22"/>
      <c r="W208" s="22"/>
      <c r="X208" s="22"/>
      <c r="Y208" s="22"/>
      <c r="Z208" s="22"/>
      <c r="AA208" s="22"/>
      <c r="AB208" s="22"/>
      <c r="AC208" s="22"/>
      <c r="AD208" s="22"/>
      <c r="AE208" s="22"/>
      <c r="AF208" s="22"/>
      <c r="AG208" s="22"/>
      <c r="AH208" s="22"/>
      <c r="AI208" s="22"/>
      <c r="AJ208" s="22"/>
      <c r="AK208" s="22"/>
      <c r="AL208" s="22"/>
      <c r="AM208" s="22"/>
      <c r="AN208" s="22"/>
    </row>
    <row r="209" spans="1:40" x14ac:dyDescent="0.25">
      <c r="A209" s="22"/>
      <c r="B209" s="22"/>
      <c r="C209" s="22"/>
      <c r="D209" s="22"/>
      <c r="E209" s="22"/>
      <c r="F209" s="22"/>
      <c r="G209" s="22"/>
      <c r="H209" s="22"/>
      <c r="I209" s="22"/>
      <c r="J209" s="22"/>
      <c r="K209" s="22"/>
      <c r="L209" s="22"/>
      <c r="M209" s="22"/>
      <c r="N209" s="22"/>
      <c r="O209" s="22"/>
      <c r="P209" s="22"/>
      <c r="Q209" s="22"/>
      <c r="R209" s="22"/>
      <c r="S209" s="22"/>
      <c r="T209" s="22"/>
      <c r="U209" s="22"/>
      <c r="V209" s="22"/>
      <c r="W209" s="22"/>
      <c r="X209" s="22"/>
      <c r="Y209" s="22"/>
      <c r="Z209" s="22"/>
      <c r="AA209" s="22"/>
      <c r="AB209" s="22"/>
      <c r="AC209" s="22"/>
      <c r="AD209" s="22"/>
      <c r="AE209" s="22"/>
      <c r="AF209" s="22"/>
      <c r="AG209" s="22"/>
      <c r="AH209" s="22"/>
      <c r="AI209" s="22"/>
      <c r="AJ209" s="22"/>
      <c r="AK209" s="22"/>
      <c r="AL209" s="22"/>
      <c r="AM209" s="22"/>
      <c r="AN209" s="22"/>
    </row>
    <row r="210" spans="1:40" x14ac:dyDescent="0.25">
      <c r="A210" s="22"/>
      <c r="B210" s="22"/>
      <c r="C210" s="22"/>
      <c r="D210" s="22"/>
      <c r="E210" s="22"/>
      <c r="F210" s="22"/>
      <c r="G210" s="22"/>
      <c r="H210" s="22"/>
      <c r="I210" s="22"/>
      <c r="J210" s="22"/>
      <c r="K210" s="22"/>
      <c r="L210" s="22"/>
      <c r="M210" s="22"/>
      <c r="N210" s="22"/>
      <c r="O210" s="22"/>
      <c r="P210" s="22"/>
      <c r="Q210" s="22"/>
      <c r="R210" s="22"/>
      <c r="S210" s="22"/>
      <c r="T210" s="22"/>
      <c r="U210" s="22"/>
      <c r="V210" s="22"/>
      <c r="W210" s="22"/>
      <c r="X210" s="22"/>
      <c r="Y210" s="22"/>
      <c r="Z210" s="22"/>
      <c r="AA210" s="22"/>
      <c r="AB210" s="22"/>
      <c r="AC210" s="22"/>
      <c r="AD210" s="22"/>
      <c r="AE210" s="22"/>
      <c r="AF210" s="22"/>
      <c r="AG210" s="22"/>
      <c r="AH210" s="22"/>
      <c r="AI210" s="22"/>
      <c r="AJ210" s="22"/>
      <c r="AK210" s="22"/>
      <c r="AL210" s="22"/>
      <c r="AM210" s="22"/>
      <c r="AN210" s="22"/>
    </row>
    <row r="211" spans="1:40" x14ac:dyDescent="0.25">
      <c r="A211" s="22"/>
      <c r="B211" s="22"/>
      <c r="C211" s="22"/>
      <c r="D211" s="22"/>
      <c r="E211" s="22"/>
      <c r="F211" s="22"/>
      <c r="G211" s="22"/>
      <c r="H211" s="22"/>
      <c r="I211" s="22"/>
      <c r="J211" s="22"/>
      <c r="K211" s="22"/>
      <c r="L211" s="22"/>
      <c r="M211" s="22"/>
      <c r="N211" s="22"/>
      <c r="O211" s="22"/>
      <c r="P211" s="22"/>
      <c r="Q211" s="22"/>
      <c r="R211" s="22"/>
      <c r="S211" s="22"/>
      <c r="T211" s="22"/>
      <c r="U211" s="22"/>
      <c r="V211" s="22"/>
      <c r="W211" s="22"/>
      <c r="X211" s="22"/>
      <c r="Y211" s="22"/>
      <c r="Z211" s="22"/>
      <c r="AA211" s="22"/>
      <c r="AB211" s="22"/>
      <c r="AC211" s="22"/>
      <c r="AD211" s="22"/>
      <c r="AE211" s="22"/>
      <c r="AF211" s="22"/>
      <c r="AG211" s="22"/>
      <c r="AH211" s="22"/>
      <c r="AI211" s="22"/>
      <c r="AJ211" s="22"/>
      <c r="AK211" s="22"/>
      <c r="AL211" s="22"/>
      <c r="AM211" s="22"/>
      <c r="AN211" s="22"/>
    </row>
    <row r="212" spans="1:40" x14ac:dyDescent="0.25">
      <c r="A212" s="22"/>
      <c r="B212" s="22"/>
      <c r="C212" s="22"/>
      <c r="D212" s="22"/>
      <c r="E212" s="22"/>
      <c r="F212" s="22"/>
      <c r="G212" s="22"/>
      <c r="H212" s="22"/>
      <c r="I212" s="22"/>
      <c r="J212" s="22"/>
      <c r="K212" s="22"/>
      <c r="L212" s="22"/>
      <c r="M212" s="22"/>
      <c r="N212" s="22"/>
      <c r="O212" s="22"/>
      <c r="P212" s="22"/>
      <c r="Q212" s="22"/>
      <c r="R212" s="22"/>
      <c r="S212" s="22"/>
      <c r="T212" s="22"/>
      <c r="U212" s="22"/>
      <c r="V212" s="22"/>
      <c r="W212" s="22"/>
      <c r="X212" s="22"/>
      <c r="Y212" s="22"/>
      <c r="Z212" s="22"/>
      <c r="AA212" s="22"/>
      <c r="AB212" s="22"/>
      <c r="AC212" s="22"/>
      <c r="AD212" s="22"/>
      <c r="AE212" s="22"/>
      <c r="AF212" s="22"/>
      <c r="AG212" s="22"/>
      <c r="AH212" s="22"/>
      <c r="AI212" s="22"/>
      <c r="AJ212" s="22"/>
      <c r="AK212" s="22"/>
      <c r="AL212" s="22"/>
      <c r="AM212" s="22"/>
      <c r="AN212" s="22"/>
    </row>
    <row r="213" spans="1:40" x14ac:dyDescent="0.25">
      <c r="A213" s="22"/>
      <c r="B213" s="22"/>
      <c r="C213" s="22"/>
      <c r="D213" s="22"/>
      <c r="E213" s="22"/>
      <c r="F213" s="22"/>
      <c r="G213" s="22"/>
      <c r="H213" s="22"/>
      <c r="I213" s="22"/>
      <c r="J213" s="22"/>
      <c r="K213" s="22"/>
      <c r="L213" s="22"/>
      <c r="M213" s="22"/>
      <c r="N213" s="22"/>
      <c r="O213" s="22"/>
      <c r="P213" s="22"/>
      <c r="Q213" s="22"/>
      <c r="R213" s="22"/>
      <c r="S213" s="22"/>
      <c r="T213" s="22"/>
      <c r="U213" s="22"/>
      <c r="V213" s="22"/>
      <c r="W213" s="22"/>
      <c r="X213" s="22"/>
      <c r="Y213" s="22"/>
      <c r="Z213" s="22"/>
      <c r="AA213" s="22"/>
      <c r="AB213" s="22"/>
      <c r="AC213" s="22"/>
      <c r="AD213" s="22"/>
      <c r="AE213" s="22"/>
      <c r="AF213" s="22"/>
      <c r="AG213" s="22"/>
      <c r="AH213" s="22"/>
      <c r="AI213" s="22"/>
      <c r="AJ213" s="22"/>
      <c r="AK213" s="22"/>
      <c r="AL213" s="22"/>
      <c r="AM213" s="22"/>
      <c r="AN213" s="22"/>
    </row>
    <row r="214" spans="1:40" x14ac:dyDescent="0.25">
      <c r="A214" s="22"/>
      <c r="B214" s="22"/>
      <c r="C214" s="22"/>
      <c r="D214" s="22"/>
      <c r="E214" s="22"/>
      <c r="F214" s="22"/>
      <c r="G214" s="22"/>
      <c r="H214" s="22"/>
      <c r="I214" s="22"/>
      <c r="J214" s="22"/>
      <c r="K214" s="22"/>
      <c r="L214" s="22"/>
      <c r="M214" s="22"/>
      <c r="N214" s="22"/>
      <c r="O214" s="22"/>
      <c r="P214" s="22"/>
      <c r="Q214" s="22"/>
      <c r="R214" s="22"/>
      <c r="S214" s="22"/>
      <c r="T214" s="22"/>
      <c r="U214" s="22"/>
      <c r="V214" s="22"/>
      <c r="W214" s="22"/>
      <c r="X214" s="22"/>
      <c r="Y214" s="22"/>
      <c r="Z214" s="22"/>
      <c r="AA214" s="22"/>
      <c r="AB214" s="22"/>
      <c r="AC214" s="22"/>
      <c r="AD214" s="22"/>
      <c r="AE214" s="22"/>
      <c r="AF214" s="22"/>
      <c r="AG214" s="22"/>
      <c r="AH214" s="22"/>
      <c r="AI214" s="22"/>
      <c r="AJ214" s="22"/>
      <c r="AK214" s="22"/>
      <c r="AL214" s="22"/>
      <c r="AM214" s="22"/>
      <c r="AN214" s="22"/>
    </row>
    <row r="215" spans="1:40" x14ac:dyDescent="0.25">
      <c r="A215" s="22"/>
      <c r="B215" s="22"/>
      <c r="C215" s="22"/>
      <c r="D215" s="22"/>
      <c r="E215" s="22"/>
      <c r="F215" s="22"/>
      <c r="G215" s="22"/>
      <c r="H215" s="22"/>
      <c r="I215" s="22"/>
      <c r="J215" s="22"/>
      <c r="K215" s="22"/>
      <c r="L215" s="22"/>
      <c r="M215" s="22"/>
      <c r="N215" s="22"/>
      <c r="O215" s="22"/>
      <c r="P215" s="22"/>
      <c r="Q215" s="22"/>
      <c r="R215" s="22"/>
      <c r="S215" s="22"/>
      <c r="T215" s="22"/>
      <c r="U215" s="22"/>
      <c r="V215" s="22"/>
      <c r="W215" s="22"/>
      <c r="X215" s="22"/>
      <c r="Y215" s="22"/>
      <c r="Z215" s="22"/>
      <c r="AA215" s="22"/>
      <c r="AB215" s="22"/>
      <c r="AC215" s="22"/>
      <c r="AD215" s="22"/>
      <c r="AE215" s="22"/>
      <c r="AF215" s="22"/>
      <c r="AG215" s="22"/>
      <c r="AH215" s="22"/>
      <c r="AI215" s="22"/>
      <c r="AJ215" s="22"/>
      <c r="AK215" s="22"/>
      <c r="AL215" s="22"/>
      <c r="AM215" s="22"/>
      <c r="AN215" s="22"/>
    </row>
    <row r="216" spans="1:40" x14ac:dyDescent="0.25">
      <c r="A216" s="22"/>
      <c r="B216" s="22"/>
      <c r="C216" s="22"/>
      <c r="D216" s="22"/>
      <c r="E216" s="22"/>
      <c r="F216" s="22"/>
      <c r="G216" s="22"/>
      <c r="H216" s="22"/>
      <c r="I216" s="22"/>
      <c r="J216" s="22"/>
      <c r="K216" s="22"/>
      <c r="L216" s="22"/>
      <c r="M216" s="22"/>
      <c r="N216" s="22"/>
      <c r="O216" s="22"/>
      <c r="P216" s="22"/>
      <c r="Q216" s="22"/>
      <c r="R216" s="22"/>
      <c r="S216" s="22"/>
      <c r="T216" s="22"/>
      <c r="U216" s="22"/>
      <c r="V216" s="22"/>
      <c r="W216" s="22"/>
      <c r="X216" s="22"/>
      <c r="Y216" s="22"/>
      <c r="Z216" s="22"/>
      <c r="AA216" s="22"/>
      <c r="AB216" s="22"/>
      <c r="AC216" s="22"/>
      <c r="AD216" s="22"/>
      <c r="AE216" s="22"/>
      <c r="AF216" s="22"/>
      <c r="AG216" s="22"/>
      <c r="AH216" s="22"/>
      <c r="AI216" s="22"/>
      <c r="AJ216" s="22"/>
      <c r="AK216" s="22"/>
      <c r="AL216" s="22"/>
      <c r="AM216" s="22"/>
      <c r="AN216" s="22"/>
    </row>
    <row r="217" spans="1:40" x14ac:dyDescent="0.25">
      <c r="A217" s="22"/>
      <c r="B217" s="22"/>
      <c r="C217" s="22"/>
      <c r="D217" s="22"/>
      <c r="E217" s="22"/>
      <c r="F217" s="22"/>
      <c r="G217" s="22"/>
      <c r="H217" s="22"/>
      <c r="I217" s="22"/>
      <c r="J217" s="22"/>
      <c r="K217" s="22"/>
      <c r="L217" s="22"/>
      <c r="M217" s="22"/>
      <c r="N217" s="22"/>
      <c r="O217" s="22"/>
      <c r="P217" s="22"/>
      <c r="Q217" s="22"/>
      <c r="R217" s="22"/>
      <c r="S217" s="22"/>
      <c r="T217" s="22"/>
      <c r="U217" s="22"/>
      <c r="V217" s="22"/>
      <c r="W217" s="22"/>
      <c r="X217" s="22"/>
      <c r="Y217" s="22"/>
      <c r="Z217" s="22"/>
      <c r="AA217" s="22"/>
      <c r="AB217" s="22"/>
      <c r="AC217" s="22"/>
      <c r="AD217" s="22"/>
      <c r="AE217" s="22"/>
      <c r="AF217" s="22"/>
      <c r="AG217" s="22"/>
      <c r="AH217" s="22"/>
      <c r="AI217" s="22"/>
      <c r="AJ217" s="22"/>
      <c r="AK217" s="22"/>
      <c r="AL217" s="22"/>
      <c r="AM217" s="22"/>
      <c r="AN217" s="22"/>
    </row>
    <row r="218" spans="1:40" x14ac:dyDescent="0.25">
      <c r="A218" s="22"/>
      <c r="B218" s="22"/>
      <c r="C218" s="22"/>
      <c r="D218" s="22"/>
      <c r="E218" s="22"/>
      <c r="F218" s="22"/>
      <c r="G218" s="22"/>
      <c r="H218" s="22"/>
      <c r="I218" s="22"/>
      <c r="J218" s="22"/>
      <c r="K218" s="22"/>
      <c r="L218" s="22"/>
      <c r="M218" s="22"/>
      <c r="N218" s="22"/>
      <c r="O218" s="22"/>
      <c r="P218" s="22"/>
      <c r="Q218" s="22"/>
      <c r="R218" s="22"/>
      <c r="S218" s="22"/>
      <c r="T218" s="22"/>
      <c r="U218" s="22"/>
      <c r="V218" s="22"/>
      <c r="W218" s="22"/>
      <c r="X218" s="22"/>
      <c r="Y218" s="22"/>
      <c r="Z218" s="22"/>
      <c r="AA218" s="22"/>
      <c r="AB218" s="22"/>
      <c r="AC218" s="22"/>
      <c r="AD218" s="22"/>
      <c r="AE218" s="22"/>
      <c r="AF218" s="22"/>
      <c r="AG218" s="22"/>
      <c r="AH218" s="22"/>
      <c r="AI218" s="22"/>
      <c r="AJ218" s="22"/>
      <c r="AK218" s="22"/>
      <c r="AL218" s="22"/>
      <c r="AM218" s="22"/>
      <c r="AN218" s="22"/>
    </row>
    <row r="219" spans="1:40" x14ac:dyDescent="0.25">
      <c r="A219" s="22"/>
      <c r="B219" s="22"/>
      <c r="C219" s="22"/>
      <c r="D219" s="22"/>
      <c r="E219" s="22"/>
      <c r="F219" s="22"/>
      <c r="G219" s="22"/>
      <c r="H219" s="22"/>
      <c r="I219" s="22"/>
      <c r="J219" s="22"/>
      <c r="K219" s="22"/>
      <c r="L219" s="22"/>
      <c r="M219" s="22"/>
      <c r="N219" s="22"/>
      <c r="O219" s="22"/>
      <c r="P219" s="22"/>
      <c r="Q219" s="22"/>
      <c r="R219" s="22"/>
      <c r="S219" s="22"/>
      <c r="T219" s="22"/>
      <c r="U219" s="22"/>
      <c r="V219" s="22"/>
      <c r="W219" s="22"/>
      <c r="X219" s="22"/>
      <c r="Y219" s="22"/>
      <c r="Z219" s="22"/>
      <c r="AA219" s="22"/>
      <c r="AB219" s="22"/>
      <c r="AC219" s="22"/>
      <c r="AD219" s="22"/>
      <c r="AE219" s="22"/>
      <c r="AF219" s="22"/>
      <c r="AG219" s="22"/>
      <c r="AH219" s="22"/>
      <c r="AI219" s="22"/>
      <c r="AJ219" s="22"/>
      <c r="AK219" s="22"/>
      <c r="AL219" s="22"/>
      <c r="AM219" s="22"/>
      <c r="AN219" s="22"/>
    </row>
    <row r="220" spans="1:40" x14ac:dyDescent="0.25">
      <c r="A220" s="22"/>
      <c r="B220" s="22"/>
      <c r="C220" s="22"/>
      <c r="D220" s="22"/>
      <c r="E220" s="22"/>
      <c r="F220" s="22"/>
      <c r="G220" s="22"/>
      <c r="H220" s="22"/>
      <c r="I220" s="22"/>
      <c r="J220" s="22"/>
      <c r="K220" s="22"/>
      <c r="L220" s="22"/>
      <c r="M220" s="22"/>
      <c r="N220" s="22"/>
      <c r="O220" s="22"/>
      <c r="P220" s="22"/>
      <c r="Q220" s="22"/>
      <c r="R220" s="22"/>
      <c r="S220" s="22"/>
      <c r="T220" s="22"/>
      <c r="U220" s="22"/>
      <c r="V220" s="22"/>
      <c r="W220" s="22"/>
      <c r="X220" s="22"/>
      <c r="Y220" s="22"/>
      <c r="Z220" s="22"/>
      <c r="AA220" s="22"/>
      <c r="AB220" s="22"/>
      <c r="AC220" s="22"/>
      <c r="AD220" s="22"/>
      <c r="AE220" s="22"/>
      <c r="AF220" s="22"/>
      <c r="AG220" s="22"/>
      <c r="AH220" s="22"/>
      <c r="AI220" s="22"/>
      <c r="AJ220" s="22"/>
      <c r="AK220" s="22"/>
      <c r="AL220" s="22"/>
      <c r="AM220" s="22"/>
      <c r="AN220" s="22"/>
    </row>
    <row r="221" spans="1:40" x14ac:dyDescent="0.25">
      <c r="A221" s="22"/>
      <c r="B221" s="22"/>
      <c r="C221" s="22"/>
      <c r="D221" s="22"/>
      <c r="E221" s="22"/>
      <c r="F221" s="22"/>
      <c r="G221" s="22"/>
      <c r="H221" s="22"/>
      <c r="I221" s="22"/>
      <c r="J221" s="22"/>
      <c r="K221" s="22"/>
      <c r="L221" s="22"/>
      <c r="M221" s="22"/>
      <c r="N221" s="22"/>
      <c r="O221" s="22"/>
      <c r="P221" s="22"/>
      <c r="Q221" s="22"/>
      <c r="R221" s="22"/>
      <c r="S221" s="22"/>
      <c r="T221" s="22"/>
      <c r="U221" s="22"/>
      <c r="V221" s="22"/>
      <c r="W221" s="22"/>
      <c r="X221" s="22"/>
      <c r="Y221" s="22"/>
      <c r="Z221" s="22"/>
      <c r="AA221" s="22"/>
      <c r="AB221" s="22"/>
      <c r="AC221" s="22"/>
      <c r="AD221" s="22"/>
      <c r="AE221" s="22"/>
      <c r="AF221" s="22"/>
      <c r="AG221" s="22"/>
      <c r="AH221" s="22"/>
      <c r="AI221" s="22"/>
      <c r="AJ221" s="22"/>
      <c r="AK221" s="22"/>
      <c r="AL221" s="22"/>
      <c r="AM221" s="22"/>
      <c r="AN221" s="22"/>
    </row>
    <row r="222" spans="1:40" x14ac:dyDescent="0.25">
      <c r="A222" s="22"/>
      <c r="B222" s="22"/>
      <c r="C222" s="22"/>
      <c r="D222" s="22"/>
      <c r="E222" s="22"/>
      <c r="F222" s="22"/>
      <c r="G222" s="22"/>
      <c r="H222" s="22"/>
      <c r="I222" s="22"/>
      <c r="J222" s="22"/>
      <c r="K222" s="22"/>
      <c r="L222" s="22"/>
      <c r="M222" s="22"/>
      <c r="N222" s="22"/>
      <c r="O222" s="22"/>
      <c r="P222" s="22"/>
      <c r="Q222" s="22"/>
      <c r="R222" s="22"/>
      <c r="S222" s="22"/>
      <c r="T222" s="22"/>
      <c r="U222" s="22"/>
      <c r="V222" s="22"/>
      <c r="W222" s="22"/>
      <c r="X222" s="22"/>
      <c r="Y222" s="22"/>
      <c r="Z222" s="22"/>
      <c r="AA222" s="22"/>
      <c r="AB222" s="22"/>
      <c r="AC222" s="22"/>
      <c r="AD222" s="22"/>
      <c r="AE222" s="22"/>
      <c r="AF222" s="22"/>
      <c r="AG222" s="22"/>
      <c r="AH222" s="22"/>
      <c r="AI222" s="22"/>
      <c r="AJ222" s="22"/>
      <c r="AK222" s="22"/>
      <c r="AL222" s="22"/>
      <c r="AM222" s="22"/>
      <c r="AN222" s="22"/>
    </row>
    <row r="223" spans="1:40" x14ac:dyDescent="0.25">
      <c r="A223" s="22"/>
      <c r="B223" s="22"/>
      <c r="C223" s="22"/>
      <c r="D223" s="22"/>
      <c r="E223" s="22"/>
      <c r="F223" s="22"/>
      <c r="G223" s="22"/>
      <c r="H223" s="22"/>
      <c r="I223" s="22"/>
      <c r="J223" s="22"/>
      <c r="K223" s="22"/>
      <c r="L223" s="22"/>
      <c r="M223" s="22"/>
      <c r="N223" s="22"/>
      <c r="O223" s="22"/>
      <c r="P223" s="22"/>
      <c r="Q223" s="22"/>
      <c r="R223" s="22"/>
      <c r="S223" s="22"/>
      <c r="T223" s="22"/>
      <c r="U223" s="22"/>
      <c r="V223" s="22"/>
      <c r="W223" s="22"/>
      <c r="X223" s="22"/>
      <c r="Y223" s="22"/>
      <c r="Z223" s="22"/>
      <c r="AA223" s="22"/>
      <c r="AB223" s="22"/>
      <c r="AC223" s="22"/>
      <c r="AD223" s="22"/>
      <c r="AE223" s="22"/>
      <c r="AF223" s="22"/>
      <c r="AG223" s="22"/>
      <c r="AH223" s="22"/>
      <c r="AI223" s="22"/>
      <c r="AJ223" s="22"/>
      <c r="AK223" s="22"/>
      <c r="AL223" s="22"/>
      <c r="AM223" s="22"/>
      <c r="AN223" s="22"/>
    </row>
    <row r="224" spans="1:40" x14ac:dyDescent="0.25">
      <c r="A224" s="22"/>
      <c r="B224" s="22"/>
      <c r="C224" s="22"/>
      <c r="D224" s="22"/>
      <c r="E224" s="22"/>
      <c r="F224" s="22"/>
      <c r="G224" s="22"/>
      <c r="H224" s="22"/>
      <c r="I224" s="22"/>
      <c r="J224" s="22"/>
      <c r="K224" s="22"/>
      <c r="L224" s="22"/>
      <c r="M224" s="22"/>
      <c r="N224" s="22"/>
      <c r="O224" s="22"/>
      <c r="P224" s="22"/>
      <c r="Q224" s="22"/>
      <c r="R224" s="22"/>
      <c r="S224" s="22"/>
      <c r="T224" s="22"/>
      <c r="U224" s="22"/>
      <c r="V224" s="22"/>
      <c r="W224" s="22"/>
      <c r="X224" s="22"/>
      <c r="Y224" s="22"/>
      <c r="Z224" s="22"/>
      <c r="AA224" s="22"/>
      <c r="AB224" s="22"/>
      <c r="AC224" s="22"/>
      <c r="AD224" s="22"/>
      <c r="AE224" s="22"/>
      <c r="AF224" s="22"/>
      <c r="AG224" s="22"/>
      <c r="AH224" s="22"/>
      <c r="AI224" s="22"/>
      <c r="AJ224" s="22"/>
      <c r="AK224" s="22"/>
      <c r="AL224" s="22"/>
      <c r="AM224" s="22"/>
      <c r="AN224" s="22"/>
    </row>
    <row r="225" spans="1:40" x14ac:dyDescent="0.25">
      <c r="A225" s="22"/>
      <c r="B225" s="22"/>
      <c r="C225" s="22"/>
      <c r="D225" s="22"/>
      <c r="E225" s="22"/>
      <c r="F225" s="22"/>
      <c r="G225" s="22"/>
      <c r="H225" s="22"/>
      <c r="I225" s="22"/>
      <c r="J225" s="22"/>
      <c r="K225" s="22"/>
      <c r="L225" s="22"/>
      <c r="M225" s="22"/>
      <c r="N225" s="22"/>
      <c r="O225" s="22"/>
      <c r="P225" s="22"/>
      <c r="Q225" s="22"/>
      <c r="R225" s="22"/>
      <c r="S225" s="22"/>
      <c r="T225" s="22"/>
      <c r="U225" s="22"/>
      <c r="V225" s="22"/>
      <c r="W225" s="22"/>
      <c r="X225" s="22"/>
      <c r="Y225" s="22"/>
      <c r="Z225" s="22"/>
      <c r="AA225" s="22"/>
      <c r="AB225" s="22"/>
      <c r="AC225" s="22"/>
      <c r="AD225" s="22"/>
      <c r="AE225" s="22"/>
      <c r="AF225" s="22"/>
      <c r="AG225" s="22"/>
      <c r="AH225" s="22"/>
      <c r="AI225" s="22"/>
      <c r="AJ225" s="22"/>
      <c r="AK225" s="22"/>
      <c r="AL225" s="22"/>
      <c r="AM225" s="22"/>
      <c r="AN225" s="22"/>
    </row>
    <row r="226" spans="1:40" x14ac:dyDescent="0.25">
      <c r="A226" s="22"/>
      <c r="B226" s="22"/>
      <c r="C226" s="22"/>
      <c r="D226" s="22"/>
      <c r="E226" s="22"/>
      <c r="F226" s="22"/>
      <c r="G226" s="22"/>
      <c r="H226" s="22"/>
      <c r="I226" s="22"/>
      <c r="J226" s="22"/>
      <c r="K226" s="22"/>
      <c r="L226" s="22"/>
      <c r="M226" s="22"/>
      <c r="N226" s="22"/>
      <c r="O226" s="22"/>
      <c r="P226" s="22"/>
      <c r="Q226" s="22"/>
      <c r="R226" s="22"/>
      <c r="S226" s="22"/>
      <c r="T226" s="22"/>
      <c r="U226" s="22"/>
      <c r="V226" s="22"/>
      <c r="W226" s="22"/>
      <c r="X226" s="22"/>
      <c r="Y226" s="22"/>
      <c r="Z226" s="22"/>
      <c r="AA226" s="22"/>
      <c r="AB226" s="22"/>
      <c r="AC226" s="22"/>
      <c r="AD226" s="22"/>
      <c r="AE226" s="22"/>
      <c r="AF226" s="22"/>
      <c r="AG226" s="22"/>
      <c r="AH226" s="22"/>
      <c r="AI226" s="22"/>
      <c r="AJ226" s="22"/>
      <c r="AK226" s="22"/>
      <c r="AL226" s="22"/>
      <c r="AM226" s="22"/>
      <c r="AN226" s="22"/>
    </row>
    <row r="227" spans="1:40" x14ac:dyDescent="0.25">
      <c r="A227" s="22"/>
      <c r="B227" s="22"/>
      <c r="C227" s="22"/>
      <c r="D227" s="22"/>
      <c r="E227" s="22"/>
      <c r="F227" s="22"/>
      <c r="G227" s="22"/>
      <c r="H227" s="22"/>
      <c r="I227" s="22"/>
      <c r="J227" s="22"/>
      <c r="K227" s="22"/>
      <c r="L227" s="22"/>
      <c r="M227" s="22"/>
      <c r="N227" s="22"/>
      <c r="O227" s="22"/>
      <c r="P227" s="22"/>
      <c r="Q227" s="22"/>
      <c r="R227" s="22"/>
      <c r="S227" s="22"/>
      <c r="T227" s="22"/>
      <c r="U227" s="22"/>
      <c r="V227" s="22"/>
      <c r="W227" s="22"/>
      <c r="X227" s="22"/>
      <c r="Y227" s="22"/>
      <c r="Z227" s="22"/>
      <c r="AA227" s="22"/>
      <c r="AB227" s="22"/>
      <c r="AC227" s="22"/>
      <c r="AD227" s="22"/>
      <c r="AE227" s="22"/>
      <c r="AF227" s="22"/>
      <c r="AG227" s="22"/>
      <c r="AH227" s="22"/>
      <c r="AI227" s="22"/>
      <c r="AJ227" s="22"/>
      <c r="AK227" s="22"/>
      <c r="AL227" s="22"/>
      <c r="AM227" s="22"/>
      <c r="AN227" s="22"/>
    </row>
    <row r="228" spans="1:40" x14ac:dyDescent="0.25">
      <c r="A228" s="22"/>
      <c r="B228" s="22"/>
      <c r="C228" s="22"/>
      <c r="D228" s="22"/>
      <c r="E228" s="22"/>
      <c r="F228" s="22"/>
      <c r="G228" s="22"/>
      <c r="H228" s="22"/>
      <c r="I228" s="22"/>
      <c r="J228" s="22"/>
      <c r="K228" s="22"/>
      <c r="L228" s="22"/>
      <c r="M228" s="22"/>
      <c r="N228" s="22"/>
      <c r="O228" s="22"/>
      <c r="P228" s="22"/>
      <c r="Q228" s="22"/>
      <c r="R228" s="22"/>
      <c r="S228" s="22"/>
      <c r="T228" s="22"/>
      <c r="U228" s="22"/>
      <c r="V228" s="22"/>
      <c r="W228" s="22"/>
      <c r="X228" s="22"/>
      <c r="Y228" s="22"/>
      <c r="Z228" s="22"/>
      <c r="AA228" s="22"/>
      <c r="AB228" s="22"/>
      <c r="AC228" s="22"/>
      <c r="AD228" s="22"/>
      <c r="AE228" s="22"/>
      <c r="AF228" s="22"/>
      <c r="AG228" s="22"/>
      <c r="AH228" s="22"/>
      <c r="AI228" s="22"/>
      <c r="AJ228" s="22"/>
      <c r="AK228" s="22"/>
      <c r="AL228" s="22"/>
      <c r="AM228" s="22"/>
      <c r="AN228" s="22"/>
    </row>
    <row r="229" spans="1:40" x14ac:dyDescent="0.25">
      <c r="A229" s="22"/>
      <c r="B229" s="22"/>
      <c r="C229" s="22"/>
      <c r="D229" s="22"/>
      <c r="E229" s="22"/>
      <c r="F229" s="22"/>
      <c r="G229" s="22"/>
      <c r="H229" s="22"/>
      <c r="I229" s="22"/>
      <c r="J229" s="22"/>
      <c r="K229" s="22"/>
      <c r="L229" s="22"/>
      <c r="M229" s="22"/>
      <c r="N229" s="22"/>
      <c r="O229" s="22"/>
      <c r="P229" s="22"/>
      <c r="Q229" s="22"/>
      <c r="R229" s="22"/>
      <c r="S229" s="22"/>
      <c r="T229" s="22"/>
      <c r="U229" s="22"/>
      <c r="V229" s="22"/>
      <c r="W229" s="22"/>
      <c r="X229" s="22"/>
      <c r="Y229" s="22"/>
      <c r="Z229" s="22"/>
      <c r="AA229" s="22"/>
      <c r="AB229" s="22"/>
      <c r="AC229" s="22"/>
      <c r="AD229" s="22"/>
      <c r="AE229" s="22"/>
      <c r="AF229" s="22"/>
      <c r="AG229" s="22"/>
      <c r="AH229" s="22"/>
      <c r="AI229" s="22"/>
      <c r="AJ229" s="22"/>
      <c r="AK229" s="22"/>
      <c r="AL229" s="22"/>
      <c r="AM229" s="22"/>
      <c r="AN229" s="22"/>
    </row>
    <row r="230" spans="1:40" x14ac:dyDescent="0.25">
      <c r="A230" s="22"/>
      <c r="B230" s="22"/>
      <c r="C230" s="22"/>
      <c r="D230" s="22"/>
      <c r="E230" s="22"/>
      <c r="F230" s="22"/>
      <c r="G230" s="22"/>
      <c r="H230" s="22"/>
      <c r="I230" s="22"/>
      <c r="J230" s="22"/>
      <c r="K230" s="22"/>
      <c r="L230" s="22"/>
      <c r="M230" s="22"/>
      <c r="N230" s="22"/>
      <c r="O230" s="22"/>
      <c r="P230" s="22"/>
      <c r="Q230" s="22"/>
      <c r="R230" s="22"/>
      <c r="S230" s="22"/>
      <c r="T230" s="22"/>
      <c r="U230" s="22"/>
      <c r="V230" s="22"/>
      <c r="W230" s="22"/>
      <c r="X230" s="22"/>
      <c r="Y230" s="22"/>
      <c r="Z230" s="22"/>
      <c r="AA230" s="22"/>
      <c r="AB230" s="22"/>
      <c r="AC230" s="22"/>
      <c r="AD230" s="22"/>
      <c r="AE230" s="22"/>
      <c r="AF230" s="22"/>
      <c r="AG230" s="22"/>
      <c r="AH230" s="22"/>
      <c r="AI230" s="22"/>
      <c r="AJ230" s="22"/>
      <c r="AK230" s="22"/>
      <c r="AL230" s="22"/>
      <c r="AM230" s="22"/>
      <c r="AN230" s="22"/>
    </row>
    <row r="231" spans="1:40" x14ac:dyDescent="0.25">
      <c r="A231" s="22"/>
      <c r="B231" s="22"/>
      <c r="C231" s="22"/>
      <c r="D231" s="22"/>
      <c r="E231" s="22"/>
      <c r="F231" s="22"/>
      <c r="G231" s="22"/>
      <c r="H231" s="22"/>
      <c r="I231" s="22"/>
      <c r="J231" s="22"/>
      <c r="K231" s="22"/>
      <c r="L231" s="22"/>
      <c r="M231" s="22"/>
      <c r="N231" s="22"/>
      <c r="O231" s="22"/>
      <c r="P231" s="22"/>
      <c r="Q231" s="22"/>
      <c r="R231" s="22"/>
      <c r="S231" s="22"/>
      <c r="T231" s="22"/>
      <c r="U231" s="22"/>
      <c r="V231" s="22"/>
      <c r="W231" s="22"/>
      <c r="X231" s="22"/>
      <c r="Y231" s="22"/>
      <c r="Z231" s="22"/>
      <c r="AA231" s="22"/>
      <c r="AB231" s="22"/>
      <c r="AC231" s="22"/>
      <c r="AD231" s="22"/>
      <c r="AE231" s="22"/>
      <c r="AF231" s="22"/>
      <c r="AG231" s="22"/>
      <c r="AH231" s="22"/>
      <c r="AI231" s="22"/>
      <c r="AJ231" s="22"/>
      <c r="AK231" s="22"/>
      <c r="AL231" s="22"/>
      <c r="AM231" s="22"/>
      <c r="AN231" s="22"/>
    </row>
    <row r="232" spans="1:40" x14ac:dyDescent="0.25">
      <c r="A232" s="22"/>
      <c r="B232" s="22"/>
      <c r="C232" s="22"/>
      <c r="D232" s="22"/>
      <c r="E232" s="22"/>
      <c r="F232" s="22"/>
      <c r="G232" s="22"/>
      <c r="H232" s="22"/>
      <c r="I232" s="22"/>
      <c r="J232" s="22"/>
      <c r="K232" s="22"/>
      <c r="L232" s="22"/>
      <c r="M232" s="22"/>
      <c r="N232" s="22"/>
      <c r="O232" s="22"/>
      <c r="P232" s="22"/>
      <c r="Q232" s="22"/>
      <c r="R232" s="22"/>
      <c r="S232" s="22"/>
      <c r="T232" s="22"/>
      <c r="U232" s="22"/>
      <c r="V232" s="22"/>
      <c r="W232" s="22"/>
      <c r="X232" s="22"/>
      <c r="Y232" s="22"/>
      <c r="Z232" s="22"/>
      <c r="AA232" s="22"/>
      <c r="AB232" s="22"/>
      <c r="AC232" s="22"/>
      <c r="AD232" s="22"/>
      <c r="AE232" s="22"/>
      <c r="AF232" s="22"/>
      <c r="AG232" s="22"/>
      <c r="AH232" s="22"/>
      <c r="AI232" s="22"/>
      <c r="AJ232" s="22"/>
      <c r="AK232" s="22"/>
      <c r="AL232" s="22"/>
      <c r="AM232" s="22"/>
      <c r="AN232" s="22"/>
    </row>
    <row r="233" spans="1:40" x14ac:dyDescent="0.25">
      <c r="A233" s="22"/>
      <c r="B233" s="22"/>
      <c r="C233" s="22"/>
      <c r="D233" s="22"/>
      <c r="E233" s="22"/>
      <c r="F233" s="22"/>
      <c r="G233" s="22"/>
      <c r="H233" s="22"/>
      <c r="I233" s="22"/>
      <c r="J233" s="22"/>
      <c r="K233" s="22"/>
      <c r="L233" s="22"/>
      <c r="M233" s="22"/>
      <c r="N233" s="22"/>
      <c r="O233" s="22"/>
      <c r="P233" s="22"/>
      <c r="Q233" s="22"/>
      <c r="R233" s="22"/>
      <c r="S233" s="22"/>
      <c r="T233" s="22"/>
      <c r="U233" s="22"/>
      <c r="V233" s="22"/>
      <c r="W233" s="22"/>
      <c r="X233" s="22"/>
      <c r="Y233" s="22"/>
      <c r="Z233" s="22"/>
      <c r="AA233" s="22"/>
      <c r="AB233" s="22"/>
      <c r="AC233" s="22"/>
      <c r="AD233" s="22"/>
      <c r="AE233" s="22"/>
      <c r="AF233" s="22"/>
      <c r="AG233" s="22"/>
      <c r="AH233" s="22"/>
      <c r="AI233" s="22"/>
      <c r="AJ233" s="22"/>
      <c r="AK233" s="22"/>
      <c r="AL233" s="22"/>
      <c r="AM233" s="22"/>
      <c r="AN233" s="22"/>
    </row>
    <row r="234" spans="1:40" x14ac:dyDescent="0.25">
      <c r="A234" s="22"/>
      <c r="B234" s="22"/>
      <c r="C234" s="22"/>
      <c r="D234" s="22"/>
      <c r="E234" s="22"/>
      <c r="F234" s="22"/>
      <c r="G234" s="22"/>
      <c r="H234" s="22"/>
      <c r="I234" s="22"/>
      <c r="J234" s="22"/>
      <c r="K234" s="22"/>
      <c r="L234" s="22"/>
      <c r="M234" s="22"/>
      <c r="N234" s="22"/>
      <c r="O234" s="22"/>
      <c r="P234" s="22"/>
      <c r="Q234" s="22"/>
      <c r="R234" s="22"/>
      <c r="S234" s="22"/>
      <c r="T234" s="22"/>
      <c r="U234" s="22"/>
      <c r="V234" s="22"/>
      <c r="W234" s="22"/>
      <c r="X234" s="22"/>
      <c r="Y234" s="22"/>
      <c r="Z234" s="22"/>
      <c r="AA234" s="22"/>
      <c r="AB234" s="22"/>
      <c r="AC234" s="22"/>
      <c r="AD234" s="22"/>
      <c r="AE234" s="22"/>
      <c r="AF234" s="22"/>
      <c r="AG234" s="22"/>
      <c r="AH234" s="22"/>
      <c r="AI234" s="22"/>
      <c r="AJ234" s="22"/>
      <c r="AK234" s="22"/>
      <c r="AL234" s="22"/>
      <c r="AM234" s="22"/>
      <c r="AN234" s="22"/>
    </row>
    <row r="235" spans="1:40" x14ac:dyDescent="0.25">
      <c r="A235" s="22"/>
      <c r="B235" s="22"/>
      <c r="C235" s="22"/>
      <c r="D235" s="22"/>
      <c r="E235" s="22"/>
      <c r="F235" s="22"/>
      <c r="G235" s="22"/>
      <c r="H235" s="22"/>
      <c r="I235" s="22"/>
      <c r="J235" s="22"/>
      <c r="K235" s="22"/>
      <c r="L235" s="22"/>
      <c r="M235" s="22"/>
      <c r="N235" s="22"/>
      <c r="O235" s="22"/>
      <c r="P235" s="22"/>
      <c r="Q235" s="22"/>
      <c r="R235" s="22"/>
      <c r="S235" s="22"/>
      <c r="T235" s="22"/>
      <c r="U235" s="22"/>
      <c r="V235" s="22"/>
      <c r="W235" s="22"/>
      <c r="X235" s="22"/>
      <c r="Y235" s="22"/>
      <c r="Z235" s="22"/>
      <c r="AA235" s="22"/>
      <c r="AB235" s="22"/>
      <c r="AC235" s="22"/>
      <c r="AD235" s="22"/>
      <c r="AE235" s="22"/>
      <c r="AF235" s="22"/>
      <c r="AG235" s="22"/>
      <c r="AH235" s="22"/>
      <c r="AI235" s="22"/>
      <c r="AJ235" s="22"/>
      <c r="AK235" s="22"/>
      <c r="AL235" s="22"/>
      <c r="AM235" s="22"/>
      <c r="AN235" s="22"/>
    </row>
    <row r="236" spans="1:40" x14ac:dyDescent="0.25">
      <c r="A236" s="22"/>
      <c r="B236" s="22"/>
      <c r="C236" s="22"/>
      <c r="D236" s="22"/>
      <c r="E236" s="22"/>
      <c r="F236" s="22"/>
      <c r="G236" s="22"/>
      <c r="H236" s="22"/>
      <c r="I236" s="22"/>
      <c r="J236" s="22"/>
      <c r="K236" s="22"/>
      <c r="L236" s="22"/>
      <c r="M236" s="22"/>
      <c r="N236" s="22"/>
      <c r="O236" s="22"/>
      <c r="P236" s="22"/>
      <c r="Q236" s="22"/>
      <c r="R236" s="22"/>
      <c r="S236" s="22"/>
      <c r="T236" s="22"/>
      <c r="U236" s="22"/>
      <c r="V236" s="22"/>
      <c r="W236" s="22"/>
      <c r="X236" s="22"/>
      <c r="Y236" s="22"/>
      <c r="Z236" s="22"/>
      <c r="AA236" s="22"/>
      <c r="AB236" s="22"/>
      <c r="AC236" s="22"/>
      <c r="AD236" s="22"/>
      <c r="AE236" s="22"/>
      <c r="AF236" s="22"/>
      <c r="AG236" s="22"/>
      <c r="AH236" s="22"/>
      <c r="AI236" s="22"/>
      <c r="AJ236" s="22"/>
      <c r="AK236" s="22"/>
      <c r="AL236" s="22"/>
      <c r="AM236" s="22"/>
      <c r="AN236" s="22"/>
    </row>
    <row r="237" spans="1:40" x14ac:dyDescent="0.25">
      <c r="A237" s="22"/>
      <c r="B237" s="22"/>
      <c r="C237" s="22"/>
      <c r="D237" s="22"/>
      <c r="E237" s="22"/>
      <c r="F237" s="22"/>
      <c r="G237" s="22"/>
      <c r="H237" s="22"/>
      <c r="I237" s="22"/>
      <c r="J237" s="22"/>
      <c r="K237" s="22"/>
      <c r="L237" s="22"/>
      <c r="M237" s="22"/>
      <c r="N237" s="22"/>
      <c r="O237" s="22"/>
      <c r="P237" s="22"/>
      <c r="Q237" s="22"/>
      <c r="R237" s="22"/>
      <c r="S237" s="22"/>
      <c r="T237" s="22"/>
      <c r="U237" s="22"/>
      <c r="V237" s="22"/>
      <c r="W237" s="22"/>
      <c r="X237" s="22"/>
      <c r="Y237" s="22"/>
      <c r="Z237" s="22"/>
      <c r="AA237" s="22"/>
      <c r="AB237" s="22"/>
      <c r="AC237" s="22"/>
      <c r="AD237" s="22"/>
      <c r="AE237" s="22"/>
      <c r="AF237" s="22"/>
      <c r="AG237" s="22"/>
      <c r="AH237" s="22"/>
      <c r="AI237" s="22"/>
      <c r="AJ237" s="22"/>
      <c r="AK237" s="22"/>
      <c r="AL237" s="22"/>
      <c r="AM237" s="22"/>
      <c r="AN237" s="22"/>
    </row>
    <row r="238" spans="1:40" x14ac:dyDescent="0.25">
      <c r="A238" s="22"/>
      <c r="B238" s="22"/>
      <c r="C238" s="22"/>
      <c r="D238" s="22"/>
      <c r="E238" s="22"/>
      <c r="F238" s="22"/>
      <c r="G238" s="22"/>
      <c r="H238" s="22"/>
      <c r="I238" s="22"/>
      <c r="J238" s="22"/>
      <c r="K238" s="22"/>
      <c r="L238" s="22"/>
      <c r="M238" s="22"/>
      <c r="N238" s="22"/>
      <c r="O238" s="22"/>
      <c r="P238" s="22"/>
      <c r="Q238" s="22"/>
      <c r="R238" s="22"/>
      <c r="S238" s="22"/>
      <c r="T238" s="22"/>
      <c r="U238" s="22"/>
      <c r="V238" s="22"/>
      <c r="W238" s="22"/>
      <c r="X238" s="22"/>
      <c r="Y238" s="22"/>
      <c r="Z238" s="22"/>
      <c r="AA238" s="22"/>
      <c r="AB238" s="22"/>
      <c r="AC238" s="22"/>
      <c r="AD238" s="22"/>
      <c r="AE238" s="22"/>
      <c r="AF238" s="22"/>
      <c r="AG238" s="22"/>
      <c r="AH238" s="22"/>
      <c r="AI238" s="22"/>
      <c r="AJ238" s="22"/>
      <c r="AK238" s="22"/>
      <c r="AL238" s="22"/>
      <c r="AM238" s="22"/>
      <c r="AN238" s="22"/>
    </row>
    <row r="239" spans="1:40" x14ac:dyDescent="0.25">
      <c r="A239" s="22"/>
      <c r="B239" s="22"/>
      <c r="C239" s="22"/>
      <c r="D239" s="22"/>
      <c r="E239" s="22"/>
      <c r="F239" s="22"/>
      <c r="G239" s="22"/>
      <c r="H239" s="22"/>
      <c r="I239" s="22"/>
      <c r="J239" s="22"/>
      <c r="K239" s="22"/>
      <c r="L239" s="22"/>
      <c r="M239" s="22"/>
      <c r="N239" s="22"/>
      <c r="O239" s="22"/>
      <c r="P239" s="22"/>
      <c r="Q239" s="22"/>
      <c r="R239" s="22"/>
      <c r="S239" s="22"/>
      <c r="T239" s="22"/>
      <c r="U239" s="22"/>
      <c r="V239" s="22"/>
      <c r="W239" s="22"/>
      <c r="X239" s="22"/>
      <c r="Y239" s="22"/>
      <c r="Z239" s="22"/>
      <c r="AA239" s="22"/>
      <c r="AB239" s="22"/>
      <c r="AC239" s="22"/>
      <c r="AD239" s="22"/>
      <c r="AE239" s="22"/>
      <c r="AF239" s="22"/>
      <c r="AG239" s="22"/>
      <c r="AH239" s="22"/>
      <c r="AI239" s="22"/>
      <c r="AJ239" s="22"/>
      <c r="AK239" s="22"/>
      <c r="AL239" s="22"/>
      <c r="AM239" s="22"/>
      <c r="AN239" s="22"/>
    </row>
    <row r="240" spans="1:40" x14ac:dyDescent="0.25">
      <c r="A240" s="22"/>
      <c r="B240" s="22"/>
      <c r="C240" s="22"/>
      <c r="D240" s="22"/>
      <c r="E240" s="22"/>
      <c r="F240" s="22"/>
      <c r="G240" s="22"/>
      <c r="H240" s="22"/>
      <c r="I240" s="22"/>
      <c r="J240" s="22"/>
      <c r="K240" s="22"/>
      <c r="L240" s="22"/>
      <c r="M240" s="22"/>
      <c r="N240" s="22"/>
      <c r="O240" s="22"/>
      <c r="P240" s="22"/>
      <c r="Q240" s="22"/>
      <c r="R240" s="22"/>
      <c r="S240" s="22"/>
      <c r="T240" s="22"/>
      <c r="U240" s="22"/>
      <c r="V240" s="22"/>
      <c r="W240" s="22"/>
      <c r="X240" s="22"/>
      <c r="Y240" s="22"/>
      <c r="Z240" s="22"/>
      <c r="AA240" s="22"/>
      <c r="AB240" s="22"/>
      <c r="AC240" s="22"/>
      <c r="AD240" s="22"/>
      <c r="AE240" s="22"/>
      <c r="AF240" s="22"/>
      <c r="AG240" s="22"/>
      <c r="AH240" s="22"/>
      <c r="AI240" s="22"/>
      <c r="AJ240" s="22"/>
      <c r="AK240" s="22"/>
      <c r="AL240" s="22"/>
      <c r="AM240" s="22"/>
      <c r="AN240" s="22"/>
    </row>
    <row r="241" spans="1:40" x14ac:dyDescent="0.25">
      <c r="A241" s="22"/>
      <c r="B241" s="22"/>
      <c r="C241" s="22"/>
      <c r="D241" s="22"/>
      <c r="E241" s="22"/>
      <c r="F241" s="22"/>
      <c r="G241" s="22"/>
      <c r="H241" s="22"/>
      <c r="I241" s="22"/>
      <c r="J241" s="22"/>
      <c r="K241" s="22"/>
      <c r="L241" s="22"/>
      <c r="M241" s="22"/>
      <c r="N241" s="22"/>
      <c r="O241" s="22"/>
      <c r="P241" s="22"/>
      <c r="Q241" s="22"/>
      <c r="R241" s="22"/>
      <c r="S241" s="22"/>
      <c r="T241" s="22"/>
      <c r="U241" s="22"/>
      <c r="V241" s="22"/>
      <c r="W241" s="22"/>
      <c r="X241" s="22"/>
      <c r="Y241" s="22"/>
      <c r="Z241" s="22"/>
      <c r="AA241" s="22"/>
      <c r="AB241" s="22"/>
      <c r="AC241" s="22"/>
      <c r="AD241" s="22"/>
      <c r="AE241" s="22"/>
      <c r="AF241" s="22"/>
      <c r="AG241" s="22"/>
      <c r="AH241" s="22"/>
      <c r="AI241" s="22"/>
      <c r="AJ241" s="22"/>
      <c r="AK241" s="22"/>
      <c r="AL241" s="22"/>
      <c r="AM241" s="22"/>
      <c r="AN241" s="22"/>
    </row>
    <row r="242" spans="1:40" x14ac:dyDescent="0.25">
      <c r="A242" s="22"/>
      <c r="B242" s="22"/>
      <c r="C242" s="22"/>
      <c r="D242" s="22"/>
      <c r="E242" s="22"/>
      <c r="F242" s="22"/>
      <c r="G242" s="22"/>
      <c r="H242" s="22"/>
      <c r="I242" s="22"/>
      <c r="J242" s="22"/>
      <c r="K242" s="22"/>
      <c r="L242" s="22"/>
      <c r="M242" s="22"/>
      <c r="N242" s="22"/>
      <c r="O242" s="22"/>
      <c r="P242" s="22"/>
      <c r="Q242" s="22"/>
      <c r="R242" s="22"/>
      <c r="S242" s="22"/>
      <c r="T242" s="22"/>
      <c r="U242" s="22"/>
      <c r="V242" s="22"/>
      <c r="W242" s="22"/>
      <c r="X242" s="22"/>
      <c r="Y242" s="22"/>
      <c r="Z242" s="22"/>
      <c r="AA242" s="22"/>
      <c r="AB242" s="22"/>
      <c r="AC242" s="22"/>
      <c r="AD242" s="22"/>
      <c r="AE242" s="22"/>
      <c r="AF242" s="22"/>
      <c r="AG242" s="22"/>
      <c r="AH242" s="22"/>
      <c r="AI242" s="22"/>
      <c r="AJ242" s="22"/>
      <c r="AK242" s="22"/>
      <c r="AL242" s="22"/>
      <c r="AM242" s="22"/>
      <c r="AN242" s="22"/>
    </row>
    <row r="243" spans="1:40" x14ac:dyDescent="0.25">
      <c r="A243" s="22"/>
      <c r="B243" s="22"/>
      <c r="C243" s="22"/>
      <c r="D243" s="22"/>
      <c r="E243" s="22"/>
      <c r="F243" s="22"/>
      <c r="G243" s="22"/>
      <c r="H243" s="22"/>
      <c r="I243" s="22"/>
      <c r="J243" s="22"/>
      <c r="K243" s="22"/>
      <c r="L243" s="22"/>
      <c r="M243" s="22"/>
      <c r="N243" s="22"/>
      <c r="O243" s="22"/>
      <c r="P243" s="22"/>
      <c r="Q243" s="22"/>
      <c r="R243" s="22"/>
      <c r="S243" s="22"/>
      <c r="T243" s="22"/>
      <c r="U243" s="22"/>
      <c r="V243" s="22"/>
      <c r="W243" s="22"/>
      <c r="X243" s="22"/>
      <c r="Y243" s="22"/>
      <c r="Z243" s="22"/>
      <c r="AA243" s="22"/>
      <c r="AB243" s="22"/>
      <c r="AC243" s="22"/>
      <c r="AD243" s="22"/>
      <c r="AE243" s="22"/>
      <c r="AF243" s="22"/>
      <c r="AG243" s="22"/>
      <c r="AH243" s="22"/>
      <c r="AI243" s="22"/>
      <c r="AJ243" s="22"/>
      <c r="AK243" s="22"/>
      <c r="AL243" s="22"/>
      <c r="AM243" s="22"/>
      <c r="AN243" s="22"/>
    </row>
    <row r="244" spans="1:40" x14ac:dyDescent="0.25">
      <c r="A244" s="22"/>
      <c r="B244" s="22"/>
      <c r="C244" s="22"/>
      <c r="D244" s="22"/>
      <c r="E244" s="22"/>
      <c r="F244" s="22"/>
      <c r="G244" s="22"/>
      <c r="H244" s="22"/>
      <c r="I244" s="22"/>
      <c r="J244" s="22"/>
      <c r="K244" s="22"/>
      <c r="L244" s="22"/>
      <c r="M244" s="22"/>
      <c r="N244" s="22"/>
      <c r="O244" s="22"/>
      <c r="P244" s="22"/>
      <c r="Q244" s="22"/>
      <c r="R244" s="22"/>
      <c r="S244" s="22"/>
      <c r="T244" s="22"/>
      <c r="U244" s="22"/>
      <c r="V244" s="22"/>
      <c r="W244" s="22"/>
      <c r="X244" s="22"/>
      <c r="Y244" s="22"/>
      <c r="Z244" s="22"/>
      <c r="AA244" s="22"/>
      <c r="AB244" s="22"/>
      <c r="AC244" s="22"/>
      <c r="AD244" s="22"/>
      <c r="AE244" s="22"/>
      <c r="AF244" s="22"/>
      <c r="AG244" s="22"/>
      <c r="AH244" s="22"/>
      <c r="AI244" s="22"/>
      <c r="AJ244" s="22"/>
      <c r="AK244" s="22"/>
      <c r="AL244" s="22"/>
      <c r="AM244" s="22"/>
      <c r="AN244" s="22"/>
    </row>
    <row r="245" spans="1:40" x14ac:dyDescent="0.25">
      <c r="A245" s="22"/>
      <c r="B245" s="22"/>
      <c r="C245" s="22"/>
      <c r="D245" s="22"/>
      <c r="E245" s="22"/>
      <c r="F245" s="22"/>
      <c r="G245" s="22"/>
      <c r="H245" s="22"/>
      <c r="I245" s="22"/>
      <c r="J245" s="22"/>
      <c r="K245" s="22"/>
      <c r="L245" s="22"/>
      <c r="M245" s="22"/>
      <c r="N245" s="22"/>
      <c r="O245" s="22"/>
      <c r="P245" s="22"/>
      <c r="Q245" s="22"/>
      <c r="R245" s="22"/>
      <c r="S245" s="22"/>
      <c r="T245" s="22"/>
      <c r="U245" s="22"/>
      <c r="V245" s="22"/>
      <c r="W245" s="22"/>
      <c r="X245" s="22"/>
      <c r="Y245" s="22"/>
      <c r="Z245" s="22"/>
      <c r="AA245" s="22"/>
      <c r="AB245" s="22"/>
      <c r="AC245" s="22"/>
      <c r="AD245" s="22"/>
      <c r="AE245" s="22"/>
      <c r="AF245" s="22"/>
      <c r="AG245" s="22"/>
      <c r="AH245" s="22"/>
      <c r="AI245" s="22"/>
      <c r="AJ245" s="22"/>
      <c r="AK245" s="22"/>
      <c r="AL245" s="22"/>
      <c r="AM245" s="22"/>
      <c r="AN245" s="22"/>
    </row>
    <row r="246" spans="1:40" x14ac:dyDescent="0.25">
      <c r="A246" s="22"/>
      <c r="B246" s="22"/>
      <c r="C246" s="22"/>
      <c r="D246" s="22"/>
      <c r="E246" s="22"/>
      <c r="F246" s="22"/>
      <c r="G246" s="22"/>
      <c r="H246" s="22"/>
      <c r="I246" s="22"/>
      <c r="J246" s="22"/>
      <c r="K246" s="22"/>
      <c r="L246" s="22"/>
      <c r="M246" s="22"/>
      <c r="N246" s="22"/>
      <c r="O246" s="22"/>
      <c r="P246" s="22"/>
      <c r="Q246" s="22"/>
      <c r="R246" s="22"/>
      <c r="S246" s="22"/>
      <c r="T246" s="22"/>
      <c r="U246" s="22"/>
      <c r="V246" s="22"/>
      <c r="W246" s="22"/>
      <c r="X246" s="22"/>
      <c r="Y246" s="22"/>
      <c r="Z246" s="22"/>
      <c r="AA246" s="22"/>
      <c r="AB246" s="22"/>
      <c r="AC246" s="22"/>
      <c r="AD246" s="22"/>
      <c r="AE246" s="22"/>
      <c r="AF246" s="22"/>
      <c r="AG246" s="22"/>
      <c r="AH246" s="22"/>
      <c r="AI246" s="22"/>
      <c r="AJ246" s="22"/>
      <c r="AK246" s="22"/>
      <c r="AL246" s="22"/>
      <c r="AM246" s="22"/>
      <c r="AN246" s="22"/>
    </row>
    <row r="247" spans="1:40" x14ac:dyDescent="0.25">
      <c r="A247" s="22"/>
      <c r="B247" s="22"/>
      <c r="C247" s="22"/>
      <c r="D247" s="22"/>
      <c r="E247" s="22"/>
      <c r="F247" s="22"/>
      <c r="G247" s="22"/>
      <c r="H247" s="22"/>
      <c r="I247" s="22"/>
      <c r="J247" s="22"/>
      <c r="K247" s="22"/>
      <c r="L247" s="22"/>
      <c r="M247" s="22"/>
      <c r="N247" s="22"/>
      <c r="O247" s="22"/>
      <c r="P247" s="22"/>
      <c r="Q247" s="22"/>
      <c r="R247" s="22"/>
      <c r="S247" s="22"/>
      <c r="T247" s="22"/>
      <c r="U247" s="22"/>
      <c r="V247" s="22"/>
      <c r="W247" s="22"/>
      <c r="X247" s="22"/>
      <c r="Y247" s="22"/>
      <c r="Z247" s="22"/>
      <c r="AA247" s="22"/>
      <c r="AB247" s="22"/>
      <c r="AC247" s="22"/>
      <c r="AD247" s="22"/>
      <c r="AE247" s="22"/>
      <c r="AF247" s="22"/>
      <c r="AG247" s="22"/>
      <c r="AH247" s="22"/>
      <c r="AI247" s="22"/>
      <c r="AJ247" s="22"/>
      <c r="AK247" s="22"/>
      <c r="AL247" s="22"/>
      <c r="AM247" s="22"/>
      <c r="AN247" s="22"/>
    </row>
    <row r="248" spans="1:40" x14ac:dyDescent="0.25">
      <c r="A248" s="22"/>
      <c r="B248" s="22"/>
      <c r="C248" s="22"/>
      <c r="D248" s="22"/>
      <c r="E248" s="22"/>
      <c r="F248" s="22"/>
      <c r="G248" s="22"/>
      <c r="H248" s="22"/>
      <c r="I248" s="22"/>
      <c r="J248" s="22"/>
      <c r="K248" s="22"/>
      <c r="L248" s="22"/>
      <c r="M248" s="22"/>
      <c r="N248" s="22"/>
      <c r="O248" s="22"/>
      <c r="P248" s="22"/>
      <c r="Q248" s="22"/>
      <c r="R248" s="22"/>
      <c r="S248" s="22"/>
      <c r="T248" s="22"/>
      <c r="U248" s="22"/>
      <c r="V248" s="22"/>
      <c r="W248" s="22"/>
      <c r="X248" s="22"/>
      <c r="Y248" s="22"/>
      <c r="Z248" s="22"/>
      <c r="AA248" s="22"/>
      <c r="AB248" s="22"/>
      <c r="AC248" s="22"/>
      <c r="AD248" s="22"/>
      <c r="AE248" s="22"/>
      <c r="AF248" s="22"/>
      <c r="AG248" s="22"/>
      <c r="AH248" s="22"/>
      <c r="AI248" s="22"/>
      <c r="AJ248" s="22"/>
      <c r="AK248" s="22"/>
      <c r="AL248" s="22"/>
      <c r="AM248" s="22"/>
      <c r="AN248" s="22"/>
    </row>
    <row r="249" spans="1:40" x14ac:dyDescent="0.25">
      <c r="A249" s="22"/>
      <c r="B249" s="22"/>
      <c r="C249" s="22"/>
      <c r="D249" s="22"/>
      <c r="E249" s="22"/>
      <c r="F249" s="22"/>
      <c r="G249" s="22"/>
      <c r="H249" s="22"/>
      <c r="I249" s="22"/>
      <c r="J249" s="22"/>
      <c r="K249" s="22"/>
      <c r="L249" s="22"/>
      <c r="M249" s="22"/>
      <c r="N249" s="22"/>
      <c r="O249" s="22"/>
      <c r="P249" s="22"/>
      <c r="Q249" s="22"/>
      <c r="R249" s="22"/>
      <c r="S249" s="22"/>
      <c r="T249" s="22"/>
      <c r="U249" s="22"/>
      <c r="V249" s="22"/>
      <c r="W249" s="22"/>
      <c r="X249" s="22"/>
      <c r="Y249" s="22"/>
      <c r="Z249" s="22"/>
      <c r="AA249" s="22"/>
      <c r="AB249" s="22"/>
      <c r="AC249" s="22"/>
      <c r="AD249" s="22"/>
      <c r="AE249" s="22"/>
      <c r="AF249" s="22"/>
      <c r="AG249" s="22"/>
      <c r="AH249" s="22"/>
      <c r="AI249" s="22"/>
      <c r="AJ249" s="22"/>
      <c r="AK249" s="22"/>
      <c r="AL249" s="22"/>
      <c r="AM249" s="22"/>
      <c r="AN249" s="22"/>
    </row>
    <row r="250" spans="1:40" x14ac:dyDescent="0.25">
      <c r="A250" s="22"/>
      <c r="B250" s="22"/>
      <c r="C250" s="22"/>
      <c r="D250" s="22"/>
      <c r="E250" s="22"/>
      <c r="F250" s="22"/>
      <c r="G250" s="22"/>
      <c r="H250" s="22"/>
      <c r="I250" s="22"/>
      <c r="J250" s="22"/>
      <c r="K250" s="22"/>
      <c r="L250" s="22"/>
      <c r="M250" s="22"/>
      <c r="N250" s="22"/>
      <c r="O250" s="22"/>
      <c r="P250" s="22"/>
      <c r="Q250" s="22"/>
      <c r="R250" s="22"/>
      <c r="S250" s="22"/>
      <c r="T250" s="22"/>
      <c r="U250" s="22"/>
      <c r="V250" s="22"/>
      <c r="W250" s="22"/>
      <c r="X250" s="22"/>
      <c r="Y250" s="22"/>
      <c r="Z250" s="22"/>
      <c r="AA250" s="22"/>
      <c r="AB250" s="22"/>
      <c r="AC250" s="22"/>
      <c r="AD250" s="22"/>
      <c r="AE250" s="22"/>
      <c r="AF250" s="22"/>
      <c r="AG250" s="22"/>
      <c r="AH250" s="22"/>
      <c r="AI250" s="22"/>
      <c r="AJ250" s="22"/>
      <c r="AK250" s="22"/>
      <c r="AL250" s="22"/>
      <c r="AM250" s="22"/>
      <c r="AN250" s="22"/>
    </row>
    <row r="251" spans="1:40" x14ac:dyDescent="0.25">
      <c r="A251" s="22"/>
      <c r="B251" s="22"/>
      <c r="C251" s="22"/>
      <c r="D251" s="22"/>
      <c r="E251" s="22"/>
      <c r="F251" s="22"/>
      <c r="G251" s="22"/>
      <c r="H251" s="22"/>
      <c r="I251" s="22"/>
      <c r="J251" s="22"/>
      <c r="K251" s="22"/>
      <c r="L251" s="22"/>
      <c r="M251" s="22"/>
      <c r="N251" s="22"/>
      <c r="O251" s="22"/>
      <c r="P251" s="22"/>
      <c r="Q251" s="22"/>
      <c r="R251" s="22"/>
      <c r="S251" s="22"/>
      <c r="T251" s="22"/>
      <c r="U251" s="22"/>
      <c r="V251" s="22"/>
      <c r="W251" s="22"/>
      <c r="X251" s="22"/>
      <c r="Y251" s="22"/>
      <c r="Z251" s="22"/>
      <c r="AA251" s="22"/>
      <c r="AB251" s="22"/>
      <c r="AC251" s="22"/>
      <c r="AD251" s="22"/>
      <c r="AE251" s="22"/>
      <c r="AF251" s="22"/>
      <c r="AG251" s="22"/>
      <c r="AH251" s="22"/>
      <c r="AI251" s="22"/>
      <c r="AJ251" s="22"/>
      <c r="AK251" s="22"/>
      <c r="AL251" s="22"/>
      <c r="AM251" s="22"/>
      <c r="AN251" s="22"/>
    </row>
    <row r="252" spans="1:40" x14ac:dyDescent="0.25">
      <c r="A252" s="22"/>
      <c r="B252" s="22"/>
      <c r="C252" s="22"/>
      <c r="D252" s="22"/>
      <c r="E252" s="22"/>
      <c r="F252" s="22"/>
      <c r="G252" s="22"/>
      <c r="H252" s="22"/>
      <c r="I252" s="22"/>
      <c r="J252" s="22"/>
      <c r="K252" s="22"/>
      <c r="L252" s="22"/>
      <c r="M252" s="22"/>
      <c r="N252" s="22"/>
      <c r="O252" s="22"/>
      <c r="P252" s="22"/>
      <c r="Q252" s="22"/>
      <c r="R252" s="22"/>
      <c r="S252" s="22"/>
      <c r="T252" s="22"/>
      <c r="U252" s="22"/>
      <c r="V252" s="22"/>
      <c r="W252" s="22"/>
      <c r="X252" s="22"/>
      <c r="Y252" s="22"/>
      <c r="Z252" s="22"/>
      <c r="AA252" s="22"/>
      <c r="AB252" s="22"/>
      <c r="AC252" s="22"/>
      <c r="AD252" s="22"/>
      <c r="AE252" s="22"/>
      <c r="AF252" s="22"/>
      <c r="AG252" s="22"/>
      <c r="AH252" s="22"/>
      <c r="AI252" s="22"/>
      <c r="AJ252" s="22"/>
      <c r="AK252" s="22"/>
      <c r="AL252" s="22"/>
      <c r="AM252" s="22"/>
      <c r="AN252" s="22"/>
    </row>
    <row r="253" spans="1:40" x14ac:dyDescent="0.25">
      <c r="A253" s="22"/>
      <c r="B253" s="22"/>
      <c r="C253" s="22"/>
      <c r="D253" s="22"/>
      <c r="E253" s="22"/>
      <c r="F253" s="22"/>
      <c r="G253" s="22"/>
      <c r="H253" s="22"/>
      <c r="I253" s="22"/>
      <c r="J253" s="22"/>
      <c r="K253" s="22"/>
      <c r="L253" s="22"/>
      <c r="M253" s="22"/>
      <c r="N253" s="22"/>
      <c r="O253" s="22"/>
      <c r="P253" s="22"/>
      <c r="Q253" s="22"/>
      <c r="R253" s="22"/>
      <c r="S253" s="22"/>
      <c r="T253" s="22"/>
      <c r="U253" s="22"/>
      <c r="V253" s="22"/>
      <c r="W253" s="22"/>
      <c r="X253" s="22"/>
      <c r="Y253" s="22"/>
      <c r="Z253" s="22"/>
      <c r="AA253" s="22"/>
      <c r="AB253" s="22"/>
      <c r="AC253" s="22"/>
      <c r="AD253" s="22"/>
      <c r="AE253" s="22"/>
      <c r="AF253" s="22"/>
      <c r="AG253" s="22"/>
      <c r="AH253" s="22"/>
      <c r="AI253" s="22"/>
      <c r="AJ253" s="22"/>
      <c r="AK253" s="22"/>
      <c r="AL253" s="22"/>
      <c r="AM253" s="22"/>
      <c r="AN253" s="22"/>
    </row>
    <row r="254" spans="1:40" x14ac:dyDescent="0.25">
      <c r="A254" s="22"/>
      <c r="B254" s="22"/>
      <c r="C254" s="22"/>
      <c r="D254" s="22"/>
      <c r="E254" s="22"/>
      <c r="F254" s="22"/>
      <c r="G254" s="22"/>
      <c r="H254" s="22"/>
      <c r="I254" s="22"/>
      <c r="J254" s="22"/>
      <c r="K254" s="22"/>
      <c r="L254" s="22"/>
      <c r="M254" s="22"/>
      <c r="N254" s="22"/>
      <c r="O254" s="22"/>
      <c r="P254" s="22"/>
      <c r="Q254" s="22"/>
      <c r="R254" s="22"/>
      <c r="S254" s="22"/>
      <c r="T254" s="22"/>
      <c r="U254" s="22"/>
      <c r="V254" s="22"/>
      <c r="W254" s="22"/>
      <c r="X254" s="22"/>
      <c r="Y254" s="22"/>
      <c r="Z254" s="22"/>
      <c r="AA254" s="22"/>
      <c r="AB254" s="22"/>
      <c r="AC254" s="22"/>
      <c r="AD254" s="22"/>
      <c r="AE254" s="22"/>
      <c r="AF254" s="22"/>
      <c r="AG254" s="22"/>
      <c r="AH254" s="22"/>
      <c r="AI254" s="22"/>
      <c r="AJ254" s="22"/>
      <c r="AK254" s="22"/>
      <c r="AL254" s="22"/>
      <c r="AM254" s="22"/>
      <c r="AN254" s="22"/>
    </row>
    <row r="255" spans="1:40" x14ac:dyDescent="0.25">
      <c r="A255" s="22"/>
      <c r="B255" s="22"/>
      <c r="C255" s="22"/>
      <c r="D255" s="22"/>
      <c r="E255" s="22"/>
      <c r="F255" s="22"/>
      <c r="G255" s="22"/>
      <c r="H255" s="22"/>
      <c r="I255" s="22"/>
      <c r="J255" s="22"/>
      <c r="K255" s="22"/>
      <c r="L255" s="22"/>
      <c r="M255" s="22"/>
      <c r="N255" s="22"/>
      <c r="O255" s="22"/>
      <c r="P255" s="22"/>
      <c r="Q255" s="22"/>
      <c r="R255" s="22"/>
      <c r="S255" s="22"/>
      <c r="T255" s="22"/>
      <c r="U255" s="22"/>
      <c r="V255" s="22"/>
      <c r="W255" s="22"/>
      <c r="X255" s="22"/>
      <c r="Y255" s="22"/>
      <c r="Z255" s="22"/>
      <c r="AA255" s="22"/>
      <c r="AB255" s="22"/>
      <c r="AC255" s="22"/>
      <c r="AD255" s="22"/>
      <c r="AE255" s="22"/>
      <c r="AF255" s="22"/>
      <c r="AG255" s="22"/>
      <c r="AH255" s="22"/>
      <c r="AI255" s="22"/>
      <c r="AJ255" s="22"/>
      <c r="AK255" s="22"/>
      <c r="AL255" s="22"/>
      <c r="AM255" s="22"/>
      <c r="AN255" s="22"/>
    </row>
    <row r="256" spans="1:40" x14ac:dyDescent="0.25">
      <c r="A256" s="22"/>
      <c r="B256" s="22"/>
      <c r="C256" s="22"/>
      <c r="D256" s="22"/>
      <c r="E256" s="22"/>
      <c r="F256" s="22"/>
      <c r="G256" s="22"/>
      <c r="H256" s="22"/>
      <c r="I256" s="22"/>
      <c r="J256" s="22"/>
      <c r="K256" s="22"/>
      <c r="L256" s="22"/>
      <c r="M256" s="22"/>
      <c r="N256" s="22"/>
      <c r="O256" s="22"/>
      <c r="P256" s="22"/>
      <c r="Q256" s="22"/>
      <c r="R256" s="22"/>
      <c r="S256" s="22"/>
      <c r="T256" s="22"/>
      <c r="U256" s="22"/>
      <c r="V256" s="22"/>
      <c r="W256" s="22"/>
      <c r="X256" s="22"/>
      <c r="Y256" s="22"/>
      <c r="Z256" s="22"/>
      <c r="AA256" s="22"/>
      <c r="AB256" s="22"/>
      <c r="AC256" s="22"/>
      <c r="AD256" s="22"/>
      <c r="AE256" s="22"/>
      <c r="AF256" s="22"/>
      <c r="AG256" s="22"/>
      <c r="AH256" s="22"/>
      <c r="AI256" s="22"/>
      <c r="AJ256" s="22"/>
      <c r="AK256" s="22"/>
      <c r="AL256" s="22"/>
      <c r="AM256" s="22"/>
      <c r="AN256" s="22"/>
    </row>
    <row r="257" spans="1:40" x14ac:dyDescent="0.25">
      <c r="A257" s="22"/>
      <c r="B257" s="22"/>
      <c r="C257" s="22"/>
      <c r="D257" s="22"/>
      <c r="E257" s="22"/>
      <c r="F257" s="22"/>
      <c r="G257" s="22"/>
      <c r="H257" s="22"/>
      <c r="I257" s="22"/>
      <c r="J257" s="22"/>
      <c r="K257" s="22"/>
      <c r="L257" s="22"/>
      <c r="M257" s="22"/>
      <c r="N257" s="22"/>
      <c r="O257" s="22"/>
      <c r="P257" s="22"/>
      <c r="Q257" s="22"/>
      <c r="R257" s="22"/>
      <c r="S257" s="22"/>
      <c r="T257" s="22"/>
      <c r="U257" s="22"/>
      <c r="V257" s="22"/>
      <c r="W257" s="22"/>
      <c r="X257" s="22"/>
      <c r="Y257" s="22"/>
      <c r="Z257" s="22"/>
      <c r="AA257" s="22"/>
      <c r="AB257" s="22"/>
      <c r="AC257" s="22"/>
      <c r="AD257" s="22"/>
      <c r="AE257" s="22"/>
      <c r="AF257" s="22"/>
      <c r="AG257" s="22"/>
      <c r="AH257" s="22"/>
      <c r="AI257" s="22"/>
      <c r="AJ257" s="22"/>
      <c r="AK257" s="22"/>
      <c r="AL257" s="22"/>
      <c r="AM257" s="22"/>
      <c r="AN257" s="22"/>
    </row>
    <row r="258" spans="1:40" x14ac:dyDescent="0.25">
      <c r="A258" s="22"/>
      <c r="B258" s="22"/>
      <c r="C258" s="22"/>
      <c r="D258" s="22"/>
      <c r="E258" s="22"/>
      <c r="F258" s="22"/>
      <c r="G258" s="22"/>
      <c r="H258" s="22"/>
      <c r="I258" s="22"/>
      <c r="J258" s="22"/>
      <c r="K258" s="22"/>
      <c r="L258" s="22"/>
      <c r="M258" s="22"/>
      <c r="N258" s="22"/>
      <c r="O258" s="22"/>
      <c r="P258" s="22"/>
      <c r="Q258" s="22"/>
      <c r="R258" s="22"/>
      <c r="S258" s="22"/>
      <c r="T258" s="22"/>
      <c r="U258" s="22"/>
      <c r="V258" s="22"/>
      <c r="W258" s="22"/>
      <c r="X258" s="22"/>
      <c r="Y258" s="22"/>
      <c r="Z258" s="22"/>
      <c r="AA258" s="22"/>
      <c r="AB258" s="22"/>
      <c r="AC258" s="22"/>
      <c r="AD258" s="22"/>
      <c r="AE258" s="22"/>
      <c r="AF258" s="22"/>
      <c r="AG258" s="22"/>
      <c r="AH258" s="22"/>
      <c r="AI258" s="22"/>
      <c r="AJ258" s="22"/>
      <c r="AK258" s="22"/>
      <c r="AL258" s="22"/>
      <c r="AM258" s="22"/>
      <c r="AN258" s="22"/>
    </row>
    <row r="259" spans="1:40" x14ac:dyDescent="0.25">
      <c r="A259" s="22"/>
      <c r="B259" s="22"/>
      <c r="C259" s="22"/>
      <c r="D259" s="22"/>
      <c r="E259" s="22"/>
      <c r="F259" s="22"/>
      <c r="G259" s="22"/>
      <c r="H259" s="22"/>
      <c r="I259" s="22"/>
      <c r="J259" s="22"/>
      <c r="K259" s="22"/>
      <c r="L259" s="22"/>
      <c r="M259" s="22"/>
      <c r="N259" s="22"/>
      <c r="O259" s="22"/>
      <c r="P259" s="22"/>
      <c r="Q259" s="22"/>
      <c r="R259" s="22"/>
      <c r="S259" s="22"/>
      <c r="T259" s="22"/>
      <c r="U259" s="22"/>
      <c r="V259" s="22"/>
      <c r="W259" s="22"/>
      <c r="X259" s="22"/>
      <c r="Y259" s="22"/>
      <c r="Z259" s="22"/>
      <c r="AA259" s="22"/>
      <c r="AB259" s="22"/>
      <c r="AC259" s="22"/>
      <c r="AD259" s="22"/>
      <c r="AE259" s="22"/>
      <c r="AF259" s="22"/>
      <c r="AG259" s="22"/>
      <c r="AH259" s="22"/>
      <c r="AI259" s="22"/>
      <c r="AJ259" s="22"/>
      <c r="AK259" s="22"/>
      <c r="AL259" s="22"/>
      <c r="AM259" s="22"/>
      <c r="AN259" s="22"/>
    </row>
    <row r="260" spans="1:40" x14ac:dyDescent="0.25">
      <c r="A260" s="22"/>
      <c r="B260" s="22"/>
      <c r="C260" s="22"/>
      <c r="D260" s="22"/>
      <c r="E260" s="22"/>
      <c r="F260" s="22"/>
      <c r="G260" s="22"/>
      <c r="H260" s="22"/>
      <c r="I260" s="22"/>
      <c r="J260" s="22"/>
      <c r="K260" s="22"/>
      <c r="L260" s="22"/>
      <c r="M260" s="22"/>
      <c r="N260" s="22"/>
      <c r="O260" s="22"/>
      <c r="P260" s="22"/>
      <c r="Q260" s="22"/>
      <c r="R260" s="22"/>
      <c r="S260" s="22"/>
      <c r="T260" s="22"/>
      <c r="U260" s="22"/>
      <c r="V260" s="22"/>
      <c r="W260" s="22"/>
      <c r="X260" s="22"/>
      <c r="Y260" s="22"/>
      <c r="Z260" s="22"/>
      <c r="AA260" s="22"/>
      <c r="AB260" s="22"/>
      <c r="AC260" s="22"/>
      <c r="AD260" s="22"/>
      <c r="AE260" s="22"/>
      <c r="AF260" s="22"/>
      <c r="AG260" s="22"/>
      <c r="AH260" s="22"/>
      <c r="AI260" s="22"/>
      <c r="AJ260" s="22"/>
      <c r="AK260" s="22"/>
      <c r="AL260" s="22"/>
      <c r="AM260" s="22"/>
      <c r="AN260" s="22"/>
    </row>
    <row r="261" spans="1:40" x14ac:dyDescent="0.25">
      <c r="A261" s="22"/>
      <c r="B261" s="22"/>
      <c r="C261" s="22"/>
      <c r="D261" s="22"/>
      <c r="E261" s="22"/>
      <c r="F261" s="22"/>
      <c r="G261" s="22"/>
      <c r="H261" s="22"/>
      <c r="I261" s="22"/>
      <c r="J261" s="22"/>
      <c r="K261" s="22"/>
      <c r="L261" s="22"/>
      <c r="M261" s="22"/>
      <c r="N261" s="22"/>
      <c r="O261" s="22"/>
      <c r="P261" s="22"/>
      <c r="Q261" s="22"/>
      <c r="R261" s="22"/>
      <c r="S261" s="22"/>
      <c r="T261" s="22"/>
      <c r="U261" s="22"/>
      <c r="V261" s="22"/>
      <c r="W261" s="22"/>
      <c r="X261" s="22"/>
      <c r="Y261" s="22"/>
      <c r="Z261" s="22"/>
      <c r="AA261" s="22"/>
      <c r="AB261" s="22"/>
      <c r="AC261" s="22"/>
      <c r="AD261" s="22"/>
      <c r="AE261" s="22"/>
      <c r="AF261" s="22"/>
      <c r="AG261" s="22"/>
      <c r="AH261" s="22"/>
      <c r="AI261" s="22"/>
      <c r="AJ261" s="22"/>
      <c r="AK261" s="22"/>
      <c r="AL261" s="22"/>
      <c r="AM261" s="22"/>
      <c r="AN261" s="22"/>
    </row>
    <row r="262" spans="1:40" x14ac:dyDescent="0.25">
      <c r="A262" s="22"/>
      <c r="B262" s="22"/>
      <c r="C262" s="22"/>
      <c r="D262" s="22"/>
      <c r="E262" s="22"/>
      <c r="F262" s="22"/>
      <c r="G262" s="22"/>
      <c r="H262" s="22"/>
      <c r="I262" s="22"/>
      <c r="J262" s="22"/>
      <c r="K262" s="22"/>
      <c r="L262" s="22"/>
      <c r="M262" s="22"/>
      <c r="N262" s="22"/>
      <c r="O262" s="22"/>
      <c r="P262" s="22"/>
      <c r="Q262" s="22"/>
      <c r="R262" s="22"/>
      <c r="S262" s="22"/>
      <c r="T262" s="22"/>
      <c r="U262" s="22"/>
      <c r="V262" s="22"/>
      <c r="W262" s="22"/>
      <c r="X262" s="22"/>
      <c r="Y262" s="22"/>
      <c r="Z262" s="22"/>
      <c r="AA262" s="22"/>
      <c r="AB262" s="22"/>
      <c r="AC262" s="22"/>
      <c r="AD262" s="22"/>
      <c r="AE262" s="22"/>
      <c r="AF262" s="22"/>
      <c r="AG262" s="22"/>
      <c r="AH262" s="22"/>
      <c r="AI262" s="22"/>
      <c r="AJ262" s="22"/>
      <c r="AK262" s="22"/>
      <c r="AL262" s="22"/>
      <c r="AM262" s="22"/>
      <c r="AN262" s="22"/>
    </row>
    <row r="263" spans="1:40" x14ac:dyDescent="0.25">
      <c r="A263" s="22"/>
      <c r="B263" s="22"/>
      <c r="C263" s="22"/>
      <c r="D263" s="22"/>
      <c r="E263" s="22"/>
      <c r="F263" s="22"/>
      <c r="G263" s="22"/>
      <c r="H263" s="22"/>
      <c r="I263" s="22"/>
      <c r="J263" s="22"/>
      <c r="K263" s="22"/>
      <c r="L263" s="22"/>
      <c r="M263" s="22"/>
      <c r="N263" s="22"/>
      <c r="O263" s="22"/>
      <c r="P263" s="22"/>
      <c r="Q263" s="22"/>
      <c r="R263" s="22"/>
      <c r="S263" s="22"/>
      <c r="T263" s="22"/>
      <c r="U263" s="22"/>
      <c r="V263" s="22"/>
      <c r="W263" s="22"/>
      <c r="X263" s="22"/>
      <c r="Y263" s="22"/>
      <c r="Z263" s="22"/>
      <c r="AA263" s="22"/>
      <c r="AB263" s="22"/>
      <c r="AC263" s="22"/>
      <c r="AD263" s="22"/>
      <c r="AE263" s="22"/>
      <c r="AF263" s="22"/>
      <c r="AG263" s="22"/>
      <c r="AH263" s="22"/>
      <c r="AI263" s="22"/>
      <c r="AJ263" s="22"/>
      <c r="AK263" s="22"/>
      <c r="AL263" s="22"/>
      <c r="AM263" s="22"/>
      <c r="AN263" s="22"/>
    </row>
    <row r="264" spans="1:40" x14ac:dyDescent="0.25">
      <c r="A264" s="22"/>
      <c r="B264" s="22"/>
      <c r="C264" s="22"/>
      <c r="D264" s="22"/>
      <c r="E264" s="22"/>
      <c r="F264" s="22"/>
      <c r="G264" s="22"/>
      <c r="H264" s="22"/>
      <c r="I264" s="22"/>
      <c r="J264" s="22"/>
      <c r="K264" s="22"/>
      <c r="L264" s="22"/>
      <c r="M264" s="22"/>
      <c r="N264" s="22"/>
      <c r="O264" s="22"/>
      <c r="P264" s="22"/>
      <c r="Q264" s="22"/>
      <c r="R264" s="22"/>
      <c r="S264" s="22"/>
      <c r="T264" s="22"/>
      <c r="U264" s="22"/>
      <c r="V264" s="22"/>
      <c r="W264" s="22"/>
      <c r="X264" s="22"/>
      <c r="Y264" s="22"/>
      <c r="Z264" s="22"/>
      <c r="AA264" s="22"/>
      <c r="AB264" s="22"/>
      <c r="AC264" s="22"/>
      <c r="AD264" s="22"/>
      <c r="AE264" s="22"/>
      <c r="AF264" s="22"/>
      <c r="AG264" s="22"/>
      <c r="AH264" s="22"/>
      <c r="AI264" s="22"/>
      <c r="AJ264" s="22"/>
      <c r="AK264" s="22"/>
      <c r="AL264" s="22"/>
      <c r="AM264" s="22"/>
      <c r="AN264" s="22"/>
    </row>
    <row r="265" spans="1:40" x14ac:dyDescent="0.25">
      <c r="A265" s="22"/>
      <c r="B265" s="22"/>
      <c r="C265" s="22"/>
      <c r="D265" s="22"/>
      <c r="E265" s="22"/>
      <c r="F265" s="22"/>
      <c r="G265" s="22"/>
      <c r="H265" s="22"/>
      <c r="I265" s="22"/>
      <c r="J265" s="22"/>
      <c r="K265" s="22"/>
      <c r="L265" s="22"/>
      <c r="M265" s="22"/>
      <c r="N265" s="22"/>
      <c r="O265" s="22"/>
      <c r="P265" s="22"/>
      <c r="Q265" s="22"/>
      <c r="R265" s="22"/>
      <c r="S265" s="22"/>
      <c r="T265" s="22"/>
      <c r="U265" s="22"/>
      <c r="V265" s="22"/>
      <c r="W265" s="22"/>
      <c r="X265" s="22"/>
      <c r="Y265" s="22"/>
      <c r="Z265" s="22"/>
      <c r="AA265" s="22"/>
      <c r="AB265" s="22"/>
      <c r="AC265" s="22"/>
      <c r="AD265" s="22"/>
      <c r="AE265" s="22"/>
      <c r="AF265" s="22"/>
      <c r="AG265" s="22"/>
      <c r="AH265" s="22"/>
      <c r="AI265" s="22"/>
      <c r="AJ265" s="22"/>
      <c r="AK265" s="22"/>
      <c r="AL265" s="22"/>
      <c r="AM265" s="22"/>
      <c r="AN265" s="22"/>
    </row>
    <row r="266" spans="1:40" x14ac:dyDescent="0.25">
      <c r="A266" s="22"/>
      <c r="B266" s="22"/>
      <c r="C266" s="22"/>
      <c r="D266" s="22"/>
      <c r="E266" s="22"/>
      <c r="F266" s="22"/>
      <c r="G266" s="22"/>
      <c r="H266" s="22"/>
      <c r="I266" s="22"/>
      <c r="J266" s="22"/>
      <c r="K266" s="22"/>
      <c r="L266" s="22"/>
      <c r="M266" s="22"/>
      <c r="N266" s="22"/>
      <c r="O266" s="22"/>
      <c r="P266" s="22"/>
      <c r="Q266" s="22"/>
      <c r="R266" s="22"/>
      <c r="S266" s="22"/>
      <c r="T266" s="22"/>
      <c r="U266" s="22"/>
      <c r="V266" s="22"/>
      <c r="W266" s="22"/>
      <c r="X266" s="22"/>
      <c r="Y266" s="22"/>
      <c r="Z266" s="22"/>
      <c r="AA266" s="22"/>
      <c r="AB266" s="22"/>
      <c r="AC266" s="22"/>
      <c r="AD266" s="22"/>
      <c r="AE266" s="22"/>
      <c r="AF266" s="22"/>
      <c r="AG266" s="22"/>
      <c r="AH266" s="22"/>
      <c r="AI266" s="22"/>
      <c r="AJ266" s="22"/>
      <c r="AK266" s="22"/>
      <c r="AL266" s="22"/>
      <c r="AM266" s="22"/>
      <c r="AN266" s="22"/>
    </row>
    <row r="267" spans="1:40" x14ac:dyDescent="0.25">
      <c r="A267" s="22"/>
      <c r="B267" s="22"/>
      <c r="C267" s="22"/>
      <c r="D267" s="22"/>
      <c r="E267" s="22"/>
      <c r="F267" s="22"/>
      <c r="G267" s="22"/>
      <c r="H267" s="22"/>
      <c r="I267" s="22"/>
      <c r="J267" s="22"/>
      <c r="K267" s="22"/>
      <c r="L267" s="22"/>
      <c r="M267" s="22"/>
      <c r="N267" s="22"/>
      <c r="O267" s="22"/>
      <c r="P267" s="22"/>
      <c r="Q267" s="22"/>
      <c r="R267" s="22"/>
      <c r="S267" s="22"/>
      <c r="T267" s="22"/>
      <c r="U267" s="22"/>
      <c r="V267" s="22"/>
      <c r="W267" s="22"/>
      <c r="X267" s="22"/>
      <c r="Y267" s="22"/>
      <c r="Z267" s="22"/>
      <c r="AA267" s="22"/>
      <c r="AB267" s="22"/>
      <c r="AC267" s="22"/>
      <c r="AD267" s="22"/>
      <c r="AE267" s="22"/>
      <c r="AF267" s="22"/>
      <c r="AG267" s="22"/>
      <c r="AH267" s="22"/>
      <c r="AI267" s="22"/>
      <c r="AJ267" s="22"/>
      <c r="AK267" s="22"/>
      <c r="AL267" s="22"/>
      <c r="AM267" s="22"/>
      <c r="AN267" s="22"/>
    </row>
    <row r="268" spans="1:40" x14ac:dyDescent="0.25">
      <c r="A268" s="22"/>
      <c r="B268" s="22"/>
      <c r="C268" s="22"/>
      <c r="D268" s="22"/>
      <c r="E268" s="22"/>
      <c r="F268" s="22"/>
      <c r="G268" s="22"/>
      <c r="H268" s="22"/>
      <c r="I268" s="22"/>
      <c r="J268" s="22"/>
      <c r="K268" s="22"/>
      <c r="L268" s="22"/>
      <c r="M268" s="22"/>
      <c r="N268" s="22"/>
      <c r="O268" s="22"/>
      <c r="P268" s="22"/>
      <c r="Q268" s="22"/>
      <c r="R268" s="22"/>
      <c r="S268" s="22"/>
      <c r="T268" s="22"/>
      <c r="U268" s="22"/>
      <c r="V268" s="22"/>
      <c r="W268" s="22"/>
      <c r="X268" s="22"/>
      <c r="Y268" s="22"/>
      <c r="Z268" s="22"/>
      <c r="AA268" s="22"/>
      <c r="AB268" s="22"/>
      <c r="AC268" s="22"/>
      <c r="AD268" s="22"/>
      <c r="AE268" s="22"/>
      <c r="AF268" s="22"/>
      <c r="AG268" s="22"/>
      <c r="AH268" s="22"/>
      <c r="AI268" s="22"/>
      <c r="AJ268" s="22"/>
      <c r="AK268" s="22"/>
      <c r="AL268" s="22"/>
      <c r="AM268" s="22"/>
      <c r="AN268" s="22"/>
    </row>
    <row r="269" spans="1:40" x14ac:dyDescent="0.25">
      <c r="A269" s="22"/>
      <c r="B269" s="22"/>
      <c r="C269" s="22"/>
      <c r="D269" s="22"/>
      <c r="E269" s="22"/>
      <c r="F269" s="22"/>
      <c r="G269" s="22"/>
      <c r="H269" s="22"/>
      <c r="I269" s="22"/>
      <c r="J269" s="22"/>
      <c r="K269" s="22"/>
      <c r="L269" s="22"/>
      <c r="M269" s="22"/>
      <c r="N269" s="22"/>
      <c r="O269" s="22"/>
      <c r="P269" s="22"/>
      <c r="Q269" s="22"/>
      <c r="R269" s="22"/>
      <c r="S269" s="22"/>
      <c r="T269" s="22"/>
      <c r="U269" s="22"/>
      <c r="V269" s="22"/>
      <c r="W269" s="22"/>
      <c r="X269" s="22"/>
      <c r="Y269" s="22"/>
      <c r="Z269" s="22"/>
      <c r="AA269" s="22"/>
      <c r="AB269" s="22"/>
      <c r="AC269" s="22"/>
      <c r="AD269" s="22"/>
      <c r="AE269" s="22"/>
      <c r="AF269" s="22"/>
      <c r="AG269" s="22"/>
      <c r="AH269" s="22"/>
      <c r="AI269" s="22"/>
      <c r="AJ269" s="22"/>
      <c r="AK269" s="22"/>
      <c r="AL269" s="22"/>
      <c r="AM269" s="22"/>
      <c r="AN269" s="22"/>
    </row>
    <row r="270" spans="1:40" x14ac:dyDescent="0.25">
      <c r="A270" s="22"/>
      <c r="B270" s="22"/>
      <c r="C270" s="22"/>
      <c r="D270" s="22"/>
      <c r="E270" s="22"/>
      <c r="F270" s="22"/>
      <c r="G270" s="22"/>
      <c r="H270" s="22"/>
      <c r="I270" s="22"/>
      <c r="J270" s="22"/>
      <c r="K270" s="22"/>
      <c r="L270" s="22"/>
      <c r="M270" s="22"/>
      <c r="N270" s="22"/>
      <c r="O270" s="22"/>
      <c r="P270" s="22"/>
      <c r="Q270" s="22"/>
      <c r="R270" s="22"/>
      <c r="S270" s="22"/>
      <c r="T270" s="22"/>
      <c r="U270" s="22"/>
      <c r="V270" s="22"/>
      <c r="W270" s="22"/>
      <c r="X270" s="22"/>
      <c r="Y270" s="22"/>
      <c r="Z270" s="22"/>
      <c r="AA270" s="22"/>
      <c r="AB270" s="22"/>
      <c r="AC270" s="22"/>
      <c r="AD270" s="22"/>
      <c r="AE270" s="22"/>
      <c r="AF270" s="22"/>
      <c r="AG270" s="22"/>
      <c r="AH270" s="22"/>
      <c r="AI270" s="22"/>
      <c r="AJ270" s="22"/>
      <c r="AK270" s="22"/>
      <c r="AL270" s="22"/>
      <c r="AM270" s="22"/>
      <c r="AN270" s="22"/>
    </row>
    <row r="271" spans="1:40" x14ac:dyDescent="0.25">
      <c r="A271" s="22"/>
      <c r="B271" s="22"/>
      <c r="C271" s="22"/>
      <c r="D271" s="22"/>
      <c r="E271" s="22"/>
      <c r="F271" s="22"/>
      <c r="G271" s="22"/>
      <c r="H271" s="22"/>
      <c r="I271" s="22"/>
      <c r="J271" s="22"/>
      <c r="K271" s="22"/>
      <c r="L271" s="22"/>
      <c r="M271" s="22"/>
      <c r="N271" s="22"/>
      <c r="O271" s="22"/>
      <c r="P271" s="22"/>
      <c r="Q271" s="22"/>
      <c r="R271" s="22"/>
      <c r="S271" s="22"/>
      <c r="T271" s="22"/>
      <c r="U271" s="22"/>
      <c r="V271" s="22"/>
      <c r="W271" s="22"/>
      <c r="X271" s="22"/>
      <c r="Y271" s="22"/>
      <c r="Z271" s="22"/>
      <c r="AA271" s="22"/>
      <c r="AB271" s="22"/>
      <c r="AC271" s="22"/>
      <c r="AD271" s="22"/>
      <c r="AE271" s="22"/>
      <c r="AF271" s="22"/>
      <c r="AG271" s="22"/>
      <c r="AH271" s="22"/>
      <c r="AI271" s="22"/>
      <c r="AJ271" s="22"/>
      <c r="AK271" s="22"/>
      <c r="AL271" s="22"/>
      <c r="AM271" s="22"/>
      <c r="AN271" s="22"/>
    </row>
    <row r="272" spans="1:40" x14ac:dyDescent="0.25">
      <c r="A272" s="22"/>
      <c r="B272" s="22"/>
      <c r="C272" s="22"/>
      <c r="D272" s="22"/>
      <c r="E272" s="22"/>
      <c r="F272" s="22"/>
      <c r="G272" s="22"/>
      <c r="H272" s="22"/>
      <c r="I272" s="22"/>
      <c r="J272" s="22"/>
      <c r="K272" s="22"/>
      <c r="L272" s="22"/>
      <c r="M272" s="22"/>
      <c r="N272" s="22"/>
      <c r="O272" s="22"/>
      <c r="P272" s="22"/>
      <c r="Q272" s="22"/>
      <c r="R272" s="22"/>
      <c r="S272" s="22"/>
      <c r="T272" s="22"/>
      <c r="U272" s="22"/>
      <c r="V272" s="22"/>
      <c r="W272" s="22"/>
      <c r="X272" s="22"/>
      <c r="Y272" s="22"/>
      <c r="Z272" s="22"/>
      <c r="AA272" s="22"/>
      <c r="AB272" s="22"/>
      <c r="AC272" s="22"/>
      <c r="AD272" s="22"/>
      <c r="AE272" s="22"/>
      <c r="AF272" s="22"/>
      <c r="AG272" s="22"/>
      <c r="AH272" s="22"/>
      <c r="AI272" s="22"/>
      <c r="AJ272" s="22"/>
      <c r="AK272" s="22"/>
      <c r="AL272" s="22"/>
      <c r="AM272" s="22"/>
      <c r="AN272" s="22"/>
    </row>
    <row r="273" spans="1:40" x14ac:dyDescent="0.25">
      <c r="A273" s="22"/>
      <c r="B273" s="22"/>
      <c r="C273" s="22"/>
      <c r="D273" s="22"/>
      <c r="E273" s="22"/>
      <c r="F273" s="22"/>
      <c r="G273" s="22"/>
      <c r="H273" s="22"/>
      <c r="I273" s="22"/>
      <c r="J273" s="22"/>
      <c r="K273" s="22"/>
      <c r="L273" s="22"/>
      <c r="M273" s="22"/>
      <c r="N273" s="22"/>
      <c r="O273" s="22"/>
      <c r="P273" s="22"/>
      <c r="Q273" s="22"/>
      <c r="R273" s="22"/>
      <c r="S273" s="22"/>
      <c r="T273" s="22"/>
      <c r="U273" s="22"/>
      <c r="V273" s="22"/>
      <c r="W273" s="22"/>
      <c r="X273" s="22"/>
      <c r="Y273" s="22"/>
      <c r="Z273" s="22"/>
      <c r="AA273" s="22"/>
      <c r="AB273" s="22"/>
      <c r="AC273" s="22"/>
      <c r="AD273" s="22"/>
      <c r="AE273" s="22"/>
      <c r="AF273" s="22"/>
      <c r="AG273" s="22"/>
      <c r="AH273" s="22"/>
      <c r="AI273" s="22"/>
      <c r="AJ273" s="22"/>
      <c r="AK273" s="22"/>
      <c r="AL273" s="22"/>
      <c r="AM273" s="22"/>
      <c r="AN273" s="22"/>
    </row>
    <row r="274" spans="1:40" x14ac:dyDescent="0.25">
      <c r="A274" s="22"/>
      <c r="B274" s="22"/>
      <c r="C274" s="22"/>
      <c r="D274" s="22"/>
      <c r="E274" s="22"/>
      <c r="F274" s="22"/>
      <c r="G274" s="22"/>
      <c r="H274" s="22"/>
      <c r="I274" s="22"/>
      <c r="J274" s="22"/>
      <c r="K274" s="22"/>
      <c r="L274" s="22"/>
      <c r="M274" s="22"/>
      <c r="N274" s="22"/>
      <c r="O274" s="22"/>
      <c r="P274" s="22"/>
      <c r="Q274" s="22"/>
      <c r="R274" s="22"/>
      <c r="S274" s="22"/>
      <c r="T274" s="22"/>
      <c r="U274" s="22"/>
      <c r="V274" s="22"/>
      <c r="W274" s="22"/>
      <c r="X274" s="22"/>
      <c r="Y274" s="22"/>
      <c r="Z274" s="22"/>
      <c r="AA274" s="22"/>
      <c r="AB274" s="22"/>
      <c r="AC274" s="22"/>
      <c r="AD274" s="22"/>
      <c r="AE274" s="22"/>
      <c r="AF274" s="22"/>
      <c r="AG274" s="22"/>
      <c r="AH274" s="22"/>
      <c r="AI274" s="22"/>
      <c r="AJ274" s="22"/>
      <c r="AK274" s="22"/>
      <c r="AL274" s="22"/>
      <c r="AM274" s="22"/>
      <c r="AN274" s="22"/>
    </row>
    <row r="275" spans="1:40" x14ac:dyDescent="0.25">
      <c r="A275" s="22"/>
      <c r="B275" s="22"/>
      <c r="C275" s="22"/>
      <c r="D275" s="22"/>
      <c r="E275" s="22"/>
      <c r="F275" s="22"/>
      <c r="G275" s="22"/>
      <c r="H275" s="22"/>
      <c r="I275" s="22"/>
      <c r="J275" s="22"/>
      <c r="K275" s="22"/>
      <c r="L275" s="22"/>
      <c r="M275" s="22"/>
      <c r="N275" s="22"/>
      <c r="O275" s="22"/>
      <c r="P275" s="22"/>
      <c r="Q275" s="22"/>
      <c r="R275" s="22"/>
      <c r="S275" s="22"/>
      <c r="T275" s="22"/>
      <c r="U275" s="22"/>
      <c r="V275" s="22"/>
      <c r="W275" s="22"/>
      <c r="X275" s="22"/>
      <c r="Y275" s="22"/>
      <c r="Z275" s="22"/>
      <c r="AA275" s="22"/>
      <c r="AB275" s="22"/>
      <c r="AC275" s="22"/>
      <c r="AD275" s="22"/>
      <c r="AE275" s="22"/>
      <c r="AF275" s="22"/>
      <c r="AG275" s="22"/>
      <c r="AH275" s="22"/>
      <c r="AI275" s="22"/>
      <c r="AJ275" s="22"/>
      <c r="AK275" s="22"/>
      <c r="AL275" s="22"/>
      <c r="AM275" s="22"/>
      <c r="AN275" s="22"/>
    </row>
    <row r="276" spans="1:40" x14ac:dyDescent="0.25">
      <c r="A276" s="22"/>
      <c r="B276" s="22"/>
      <c r="C276" s="22"/>
      <c r="D276" s="22"/>
      <c r="E276" s="22"/>
      <c r="F276" s="22"/>
      <c r="G276" s="22"/>
      <c r="H276" s="22"/>
      <c r="I276" s="22"/>
      <c r="J276" s="22"/>
      <c r="K276" s="22"/>
      <c r="L276" s="22"/>
      <c r="M276" s="22"/>
      <c r="N276" s="22"/>
      <c r="O276" s="22"/>
      <c r="P276" s="22"/>
      <c r="Q276" s="22"/>
      <c r="R276" s="22"/>
      <c r="S276" s="22"/>
      <c r="T276" s="22"/>
      <c r="U276" s="22"/>
      <c r="V276" s="22"/>
      <c r="W276" s="22"/>
      <c r="X276" s="22"/>
      <c r="Y276" s="22"/>
      <c r="Z276" s="22"/>
      <c r="AA276" s="22"/>
      <c r="AB276" s="22"/>
      <c r="AC276" s="22"/>
      <c r="AD276" s="22"/>
      <c r="AE276" s="22"/>
      <c r="AF276" s="22"/>
      <c r="AG276" s="22"/>
      <c r="AH276" s="22"/>
      <c r="AI276" s="22"/>
      <c r="AJ276" s="22"/>
      <c r="AK276" s="22"/>
      <c r="AL276" s="22"/>
      <c r="AM276" s="22"/>
      <c r="AN276" s="22"/>
    </row>
    <row r="277" spans="1:40" x14ac:dyDescent="0.25">
      <c r="A277" s="22"/>
      <c r="B277" s="22"/>
      <c r="C277" s="22"/>
      <c r="D277" s="22"/>
      <c r="E277" s="22"/>
      <c r="F277" s="22"/>
      <c r="G277" s="22"/>
      <c r="H277" s="22"/>
      <c r="I277" s="22"/>
      <c r="J277" s="22"/>
      <c r="K277" s="22"/>
      <c r="L277" s="22"/>
      <c r="M277" s="22"/>
      <c r="N277" s="22"/>
      <c r="O277" s="22"/>
      <c r="P277" s="22"/>
      <c r="Q277" s="22"/>
      <c r="R277" s="22"/>
      <c r="S277" s="22"/>
      <c r="T277" s="22"/>
      <c r="U277" s="22"/>
      <c r="V277" s="22"/>
      <c r="W277" s="22"/>
      <c r="X277" s="22"/>
      <c r="Y277" s="22"/>
      <c r="Z277" s="22"/>
      <c r="AA277" s="22"/>
      <c r="AB277" s="22"/>
      <c r="AC277" s="22"/>
      <c r="AD277" s="22"/>
      <c r="AE277" s="22"/>
      <c r="AF277" s="22"/>
      <c r="AG277" s="22"/>
      <c r="AH277" s="22"/>
      <c r="AI277" s="22"/>
      <c r="AJ277" s="22"/>
      <c r="AK277" s="22"/>
      <c r="AL277" s="22"/>
      <c r="AM277" s="22"/>
      <c r="AN277" s="22"/>
    </row>
    <row r="278" spans="1:40" x14ac:dyDescent="0.25">
      <c r="A278" s="22"/>
      <c r="B278" s="22"/>
      <c r="C278" s="22"/>
      <c r="D278" s="22"/>
      <c r="E278" s="22"/>
      <c r="F278" s="22"/>
      <c r="G278" s="22"/>
      <c r="H278" s="22"/>
      <c r="I278" s="22"/>
      <c r="J278" s="22"/>
      <c r="K278" s="22"/>
      <c r="L278" s="22"/>
      <c r="M278" s="22"/>
      <c r="N278" s="22"/>
      <c r="O278" s="22"/>
      <c r="P278" s="22"/>
      <c r="Q278" s="22"/>
      <c r="R278" s="22"/>
      <c r="S278" s="22"/>
      <c r="T278" s="22"/>
      <c r="U278" s="22"/>
      <c r="V278" s="22"/>
      <c r="W278" s="22"/>
      <c r="X278" s="22"/>
      <c r="Y278" s="22"/>
      <c r="Z278" s="22"/>
      <c r="AA278" s="22"/>
      <c r="AB278" s="22"/>
      <c r="AC278" s="22"/>
      <c r="AD278" s="22"/>
      <c r="AE278" s="22"/>
      <c r="AF278" s="22"/>
      <c r="AG278" s="22"/>
      <c r="AH278" s="22"/>
      <c r="AI278" s="22"/>
      <c r="AJ278" s="22"/>
      <c r="AK278" s="22"/>
      <c r="AL278" s="22"/>
      <c r="AM278" s="22"/>
      <c r="AN278" s="22"/>
    </row>
    <row r="279" spans="1:40" x14ac:dyDescent="0.25">
      <c r="A279" s="22"/>
      <c r="B279" s="22"/>
      <c r="C279" s="22"/>
      <c r="D279" s="22"/>
      <c r="E279" s="22"/>
      <c r="F279" s="22"/>
      <c r="G279" s="22"/>
      <c r="H279" s="22"/>
      <c r="I279" s="22"/>
      <c r="J279" s="22"/>
      <c r="K279" s="22"/>
      <c r="L279" s="22"/>
      <c r="M279" s="22"/>
      <c r="N279" s="22"/>
      <c r="O279" s="22"/>
      <c r="P279" s="22"/>
      <c r="Q279" s="22"/>
      <c r="R279" s="22"/>
      <c r="S279" s="22"/>
      <c r="T279" s="22"/>
      <c r="U279" s="22"/>
      <c r="V279" s="22"/>
      <c r="W279" s="22"/>
      <c r="X279" s="22"/>
      <c r="Y279" s="22"/>
      <c r="Z279" s="22"/>
      <c r="AA279" s="22"/>
      <c r="AB279" s="22"/>
      <c r="AC279" s="22"/>
      <c r="AD279" s="22"/>
      <c r="AE279" s="22"/>
      <c r="AF279" s="22"/>
      <c r="AG279" s="22"/>
      <c r="AH279" s="22"/>
      <c r="AI279" s="22"/>
      <c r="AJ279" s="22"/>
      <c r="AK279" s="22"/>
      <c r="AL279" s="22"/>
      <c r="AM279" s="22"/>
      <c r="AN279" s="22"/>
    </row>
    <row r="280" spans="1:40" x14ac:dyDescent="0.25">
      <c r="A280" s="22"/>
      <c r="B280" s="22"/>
      <c r="C280" s="22"/>
      <c r="D280" s="22"/>
      <c r="E280" s="22"/>
      <c r="F280" s="22"/>
      <c r="G280" s="22"/>
      <c r="H280" s="22"/>
      <c r="I280" s="22"/>
      <c r="J280" s="22"/>
      <c r="K280" s="22"/>
      <c r="L280" s="22"/>
      <c r="M280" s="22"/>
      <c r="N280" s="22"/>
      <c r="O280" s="22"/>
      <c r="P280" s="22"/>
      <c r="Q280" s="22"/>
      <c r="R280" s="22"/>
      <c r="S280" s="22"/>
      <c r="T280" s="22"/>
      <c r="U280" s="22"/>
      <c r="V280" s="22"/>
      <c r="W280" s="22"/>
      <c r="X280" s="22"/>
      <c r="Y280" s="22"/>
      <c r="Z280" s="22"/>
      <c r="AA280" s="22"/>
      <c r="AB280" s="22"/>
      <c r="AC280" s="22"/>
      <c r="AD280" s="22"/>
      <c r="AE280" s="22"/>
      <c r="AF280" s="22"/>
      <c r="AG280" s="22"/>
      <c r="AH280" s="22"/>
      <c r="AI280" s="22"/>
      <c r="AJ280" s="22"/>
      <c r="AK280" s="22"/>
      <c r="AL280" s="22"/>
      <c r="AM280" s="22"/>
      <c r="AN280" s="22"/>
    </row>
    <row r="281" spans="1:40" x14ac:dyDescent="0.25">
      <c r="A281" s="22"/>
      <c r="B281" s="22"/>
      <c r="C281" s="22"/>
      <c r="D281" s="22"/>
      <c r="E281" s="22"/>
      <c r="F281" s="22"/>
      <c r="G281" s="22"/>
      <c r="H281" s="22"/>
      <c r="I281" s="22"/>
      <c r="J281" s="22"/>
      <c r="K281" s="22"/>
      <c r="L281" s="22"/>
      <c r="M281" s="22"/>
      <c r="N281" s="22"/>
      <c r="O281" s="22"/>
      <c r="P281" s="22"/>
      <c r="Q281" s="22"/>
      <c r="R281" s="22"/>
      <c r="S281" s="22"/>
      <c r="T281" s="22"/>
      <c r="U281" s="22"/>
      <c r="V281" s="22"/>
      <c r="W281" s="22"/>
      <c r="X281" s="22"/>
      <c r="Y281" s="22"/>
      <c r="Z281" s="22"/>
      <c r="AA281" s="22"/>
      <c r="AB281" s="22"/>
      <c r="AC281" s="22"/>
      <c r="AD281" s="22"/>
      <c r="AE281" s="22"/>
      <c r="AF281" s="22"/>
      <c r="AG281" s="22"/>
      <c r="AH281" s="22"/>
      <c r="AI281" s="22"/>
      <c r="AJ281" s="22"/>
      <c r="AK281" s="22"/>
      <c r="AL281" s="22"/>
      <c r="AM281" s="22"/>
      <c r="AN281" s="22"/>
    </row>
    <row r="282" spans="1:40" x14ac:dyDescent="0.25">
      <c r="A282" s="22"/>
      <c r="B282" s="22"/>
      <c r="C282" s="22"/>
      <c r="D282" s="22"/>
      <c r="E282" s="22"/>
      <c r="F282" s="22"/>
      <c r="G282" s="22"/>
      <c r="H282" s="22"/>
      <c r="I282" s="22"/>
      <c r="J282" s="22"/>
      <c r="K282" s="22"/>
      <c r="L282" s="22"/>
      <c r="M282" s="22"/>
      <c r="N282" s="22"/>
      <c r="O282" s="22"/>
      <c r="P282" s="22"/>
      <c r="Q282" s="22"/>
      <c r="R282" s="22"/>
      <c r="S282" s="22"/>
      <c r="T282" s="22"/>
      <c r="U282" s="22"/>
      <c r="V282" s="22"/>
      <c r="W282" s="22"/>
      <c r="X282" s="22"/>
      <c r="Y282" s="22"/>
      <c r="Z282" s="22"/>
      <c r="AA282" s="22"/>
      <c r="AB282" s="22"/>
      <c r="AC282" s="22"/>
      <c r="AD282" s="22"/>
      <c r="AE282" s="22"/>
      <c r="AF282" s="22"/>
      <c r="AG282" s="22"/>
      <c r="AH282" s="22"/>
      <c r="AI282" s="22"/>
      <c r="AJ282" s="22"/>
      <c r="AK282" s="22"/>
      <c r="AL282" s="22"/>
      <c r="AM282" s="22"/>
      <c r="AN282" s="22"/>
    </row>
    <row r="283" spans="1:40" x14ac:dyDescent="0.25">
      <c r="A283" s="22"/>
      <c r="B283" s="22"/>
      <c r="C283" s="22"/>
      <c r="D283" s="22"/>
      <c r="E283" s="22"/>
      <c r="F283" s="22"/>
      <c r="G283" s="22"/>
      <c r="H283" s="22"/>
      <c r="I283" s="22"/>
      <c r="J283" s="22"/>
      <c r="K283" s="22"/>
      <c r="L283" s="22"/>
      <c r="M283" s="22"/>
      <c r="N283" s="22"/>
      <c r="O283" s="22"/>
      <c r="P283" s="22"/>
      <c r="Q283" s="22"/>
      <c r="R283" s="22"/>
      <c r="S283" s="22"/>
      <c r="T283" s="22"/>
      <c r="U283" s="22"/>
      <c r="V283" s="22"/>
      <c r="W283" s="22"/>
      <c r="X283" s="22"/>
      <c r="Y283" s="22"/>
      <c r="Z283" s="22"/>
      <c r="AA283" s="22"/>
      <c r="AB283" s="22"/>
      <c r="AC283" s="22"/>
      <c r="AD283" s="22"/>
      <c r="AE283" s="22"/>
      <c r="AF283" s="22"/>
      <c r="AG283" s="22"/>
      <c r="AH283" s="22"/>
      <c r="AI283" s="22"/>
      <c r="AJ283" s="22"/>
      <c r="AK283" s="22"/>
      <c r="AL283" s="22"/>
      <c r="AM283" s="22"/>
      <c r="AN283" s="22"/>
    </row>
    <row r="284" spans="1:40" x14ac:dyDescent="0.25">
      <c r="A284" s="22"/>
      <c r="B284" s="22"/>
      <c r="C284" s="22"/>
      <c r="D284" s="22"/>
      <c r="E284" s="22"/>
      <c r="F284" s="22"/>
      <c r="G284" s="22"/>
      <c r="H284" s="22"/>
      <c r="I284" s="22"/>
      <c r="J284" s="22"/>
      <c r="K284" s="22"/>
      <c r="L284" s="22"/>
      <c r="M284" s="22"/>
      <c r="N284" s="22"/>
      <c r="O284" s="22"/>
      <c r="P284" s="22"/>
      <c r="Q284" s="22"/>
      <c r="R284" s="22"/>
      <c r="S284" s="22"/>
      <c r="T284" s="22"/>
      <c r="U284" s="22"/>
      <c r="V284" s="22"/>
      <c r="W284" s="22"/>
      <c r="X284" s="22"/>
      <c r="Y284" s="22"/>
      <c r="Z284" s="22"/>
      <c r="AA284" s="22"/>
      <c r="AB284" s="22"/>
      <c r="AC284" s="22"/>
      <c r="AD284" s="22"/>
      <c r="AE284" s="22"/>
      <c r="AF284" s="22"/>
      <c r="AG284" s="22"/>
      <c r="AH284" s="22"/>
      <c r="AI284" s="22"/>
      <c r="AJ284" s="22"/>
      <c r="AK284" s="22"/>
      <c r="AL284" s="22"/>
      <c r="AM284" s="22"/>
      <c r="AN284" s="22"/>
    </row>
    <row r="285" spans="1:40" x14ac:dyDescent="0.25">
      <c r="A285" s="22"/>
      <c r="B285" s="22"/>
      <c r="C285" s="22"/>
      <c r="D285" s="22"/>
      <c r="E285" s="22"/>
      <c r="F285" s="22"/>
      <c r="G285" s="22"/>
      <c r="H285" s="22"/>
      <c r="I285" s="22"/>
      <c r="J285" s="22"/>
      <c r="K285" s="22"/>
      <c r="L285" s="22"/>
      <c r="M285" s="22"/>
      <c r="N285" s="22"/>
      <c r="O285" s="22"/>
      <c r="P285" s="22"/>
      <c r="Q285" s="22"/>
      <c r="R285" s="22"/>
      <c r="S285" s="22"/>
      <c r="T285" s="22"/>
      <c r="U285" s="22"/>
      <c r="V285" s="22"/>
      <c r="W285" s="22"/>
      <c r="X285" s="22"/>
      <c r="Y285" s="22"/>
      <c r="Z285" s="22"/>
      <c r="AA285" s="22"/>
      <c r="AB285" s="22"/>
      <c r="AC285" s="22"/>
      <c r="AD285" s="22"/>
      <c r="AE285" s="22"/>
      <c r="AF285" s="22"/>
      <c r="AG285" s="22"/>
      <c r="AH285" s="22"/>
      <c r="AI285" s="22"/>
      <c r="AJ285" s="22"/>
      <c r="AK285" s="22"/>
      <c r="AL285" s="22"/>
      <c r="AM285" s="22"/>
      <c r="AN285" s="22"/>
    </row>
    <row r="286" spans="1:40" x14ac:dyDescent="0.25">
      <c r="A286" s="22"/>
      <c r="B286" s="22"/>
      <c r="C286" s="22"/>
      <c r="D286" s="22"/>
      <c r="E286" s="22"/>
      <c r="F286" s="22"/>
      <c r="G286" s="22"/>
      <c r="H286" s="22"/>
      <c r="I286" s="22"/>
      <c r="J286" s="22"/>
      <c r="K286" s="22"/>
      <c r="L286" s="22"/>
      <c r="M286" s="22"/>
      <c r="N286" s="22"/>
      <c r="O286" s="22"/>
      <c r="P286" s="22"/>
      <c r="Q286" s="22"/>
      <c r="R286" s="22"/>
      <c r="S286" s="22"/>
      <c r="T286" s="22"/>
      <c r="U286" s="22"/>
      <c r="V286" s="22"/>
      <c r="W286" s="22"/>
      <c r="X286" s="22"/>
      <c r="Y286" s="22"/>
      <c r="Z286" s="22"/>
      <c r="AA286" s="22"/>
      <c r="AB286" s="22"/>
      <c r="AC286" s="22"/>
      <c r="AD286" s="22"/>
      <c r="AE286" s="22"/>
      <c r="AF286" s="22"/>
      <c r="AG286" s="22"/>
      <c r="AH286" s="22"/>
      <c r="AI286" s="22"/>
      <c r="AJ286" s="22"/>
      <c r="AK286" s="22"/>
      <c r="AL286" s="22"/>
      <c r="AM286" s="22"/>
      <c r="AN286" s="22"/>
    </row>
    <row r="287" spans="1:40" x14ac:dyDescent="0.25">
      <c r="A287" s="22"/>
      <c r="B287" s="22"/>
      <c r="C287" s="22"/>
      <c r="D287" s="22"/>
      <c r="E287" s="22"/>
      <c r="F287" s="22"/>
      <c r="G287" s="22"/>
      <c r="H287" s="22"/>
      <c r="I287" s="22"/>
      <c r="J287" s="22"/>
      <c r="K287" s="22"/>
      <c r="L287" s="22"/>
      <c r="M287" s="22"/>
      <c r="N287" s="22"/>
      <c r="O287" s="22"/>
      <c r="P287" s="22"/>
      <c r="Q287" s="22"/>
      <c r="R287" s="22"/>
      <c r="S287" s="22"/>
      <c r="T287" s="22"/>
      <c r="U287" s="22"/>
      <c r="V287" s="22"/>
      <c r="W287" s="22"/>
      <c r="X287" s="22"/>
      <c r="Y287" s="22"/>
      <c r="Z287" s="22"/>
      <c r="AA287" s="22"/>
      <c r="AB287" s="22"/>
      <c r="AC287" s="22"/>
      <c r="AD287" s="22"/>
      <c r="AE287" s="22"/>
      <c r="AF287" s="22"/>
      <c r="AG287" s="22"/>
      <c r="AH287" s="22"/>
      <c r="AI287" s="22"/>
      <c r="AJ287" s="22"/>
      <c r="AK287" s="22"/>
      <c r="AL287" s="22"/>
      <c r="AM287" s="22"/>
      <c r="AN287" s="22"/>
    </row>
    <row r="288" spans="1:40" x14ac:dyDescent="0.25">
      <c r="A288" s="22"/>
      <c r="B288" s="22"/>
      <c r="C288" s="22"/>
      <c r="D288" s="22"/>
      <c r="E288" s="22"/>
      <c r="F288" s="22"/>
      <c r="G288" s="22"/>
      <c r="H288" s="22"/>
      <c r="I288" s="22"/>
      <c r="J288" s="22"/>
      <c r="K288" s="22"/>
      <c r="L288" s="22"/>
      <c r="M288" s="22"/>
      <c r="N288" s="22"/>
      <c r="O288" s="22"/>
      <c r="P288" s="22"/>
      <c r="Q288" s="22"/>
      <c r="R288" s="22"/>
      <c r="S288" s="22"/>
      <c r="T288" s="22"/>
      <c r="U288" s="22"/>
      <c r="V288" s="22"/>
      <c r="W288" s="22"/>
      <c r="X288" s="22"/>
      <c r="Y288" s="22"/>
      <c r="Z288" s="22"/>
      <c r="AA288" s="22"/>
      <c r="AB288" s="22"/>
      <c r="AC288" s="22"/>
      <c r="AD288" s="22"/>
      <c r="AE288" s="22"/>
      <c r="AF288" s="22"/>
      <c r="AG288" s="22"/>
      <c r="AH288" s="22"/>
      <c r="AI288" s="22"/>
      <c r="AJ288" s="22"/>
      <c r="AK288" s="22"/>
      <c r="AL288" s="22"/>
      <c r="AM288" s="22"/>
      <c r="AN288" s="22"/>
    </row>
    <row r="289" spans="1:40" x14ac:dyDescent="0.25">
      <c r="A289" s="22"/>
      <c r="B289" s="22"/>
      <c r="C289" s="22"/>
      <c r="D289" s="22"/>
      <c r="E289" s="22"/>
      <c r="F289" s="22"/>
      <c r="G289" s="22"/>
      <c r="H289" s="22"/>
      <c r="I289" s="22"/>
      <c r="J289" s="22"/>
      <c r="K289" s="22"/>
      <c r="L289" s="22"/>
      <c r="M289" s="22"/>
      <c r="N289" s="22"/>
      <c r="O289" s="22"/>
      <c r="P289" s="22"/>
      <c r="Q289" s="22"/>
      <c r="R289" s="22"/>
      <c r="S289" s="22"/>
      <c r="T289" s="22"/>
      <c r="U289" s="22"/>
      <c r="V289" s="22"/>
      <c r="W289" s="22"/>
      <c r="X289" s="22"/>
      <c r="Y289" s="22"/>
      <c r="Z289" s="22"/>
      <c r="AA289" s="22"/>
      <c r="AB289" s="22"/>
      <c r="AC289" s="22"/>
      <c r="AD289" s="22"/>
      <c r="AE289" s="22"/>
      <c r="AF289" s="22"/>
      <c r="AG289" s="22"/>
      <c r="AH289" s="22"/>
      <c r="AI289" s="22"/>
      <c r="AJ289" s="22"/>
      <c r="AK289" s="22"/>
      <c r="AL289" s="22"/>
      <c r="AM289" s="22"/>
      <c r="AN289" s="22"/>
    </row>
    <row r="290" spans="1:40" x14ac:dyDescent="0.25">
      <c r="A290" s="22"/>
      <c r="B290" s="22"/>
      <c r="C290" s="22"/>
      <c r="D290" s="22"/>
      <c r="E290" s="22"/>
      <c r="F290" s="22"/>
      <c r="G290" s="22"/>
      <c r="H290" s="22"/>
      <c r="I290" s="22"/>
      <c r="J290" s="22"/>
      <c r="K290" s="22"/>
      <c r="L290" s="22"/>
      <c r="M290" s="22"/>
      <c r="N290" s="22"/>
      <c r="O290" s="22"/>
      <c r="P290" s="22"/>
      <c r="Q290" s="22"/>
      <c r="R290" s="22"/>
      <c r="S290" s="22"/>
      <c r="T290" s="22"/>
      <c r="U290" s="22"/>
      <c r="V290" s="22"/>
      <c r="W290" s="22"/>
      <c r="X290" s="22"/>
      <c r="Y290" s="22"/>
      <c r="Z290" s="22"/>
      <c r="AA290" s="22"/>
      <c r="AB290" s="22"/>
      <c r="AC290" s="22"/>
      <c r="AD290" s="22"/>
      <c r="AE290" s="22"/>
      <c r="AF290" s="22"/>
      <c r="AG290" s="22"/>
      <c r="AH290" s="22"/>
      <c r="AI290" s="22"/>
      <c r="AJ290" s="22"/>
      <c r="AK290" s="22"/>
      <c r="AL290" s="22"/>
      <c r="AM290" s="22"/>
      <c r="AN290" s="22"/>
    </row>
    <row r="291" spans="1:40" x14ac:dyDescent="0.25">
      <c r="A291" s="22"/>
      <c r="B291" s="22"/>
      <c r="C291" s="22"/>
      <c r="D291" s="22"/>
      <c r="E291" s="22"/>
      <c r="F291" s="22"/>
      <c r="G291" s="22"/>
      <c r="H291" s="22"/>
      <c r="I291" s="22"/>
      <c r="J291" s="22"/>
      <c r="K291" s="22"/>
      <c r="L291" s="22"/>
      <c r="M291" s="22"/>
      <c r="N291" s="22"/>
      <c r="O291" s="22"/>
      <c r="P291" s="22"/>
      <c r="Q291" s="22"/>
      <c r="R291" s="22"/>
      <c r="S291" s="22"/>
      <c r="T291" s="22"/>
      <c r="U291" s="22"/>
      <c r="V291" s="22"/>
      <c r="W291" s="22"/>
      <c r="X291" s="22"/>
      <c r="Y291" s="22"/>
      <c r="Z291" s="22"/>
      <c r="AA291" s="22"/>
      <c r="AB291" s="22"/>
      <c r="AC291" s="22"/>
      <c r="AD291" s="22"/>
      <c r="AE291" s="22"/>
      <c r="AF291" s="22"/>
      <c r="AG291" s="22"/>
      <c r="AH291" s="22"/>
      <c r="AI291" s="22"/>
      <c r="AJ291" s="22"/>
      <c r="AK291" s="22"/>
      <c r="AL291" s="22"/>
      <c r="AM291" s="22"/>
      <c r="AN291" s="22"/>
    </row>
    <row r="292" spans="1:40" x14ac:dyDescent="0.25">
      <c r="A292" s="22"/>
      <c r="B292" s="22"/>
      <c r="C292" s="22"/>
      <c r="D292" s="22"/>
      <c r="E292" s="22"/>
      <c r="F292" s="22"/>
      <c r="G292" s="22"/>
      <c r="H292" s="22"/>
      <c r="I292" s="22"/>
      <c r="J292" s="22"/>
      <c r="K292" s="22"/>
      <c r="L292" s="22"/>
      <c r="M292" s="22"/>
      <c r="N292" s="22"/>
      <c r="O292" s="22"/>
      <c r="P292" s="22"/>
      <c r="Q292" s="22"/>
      <c r="R292" s="22"/>
      <c r="S292" s="22"/>
      <c r="T292" s="22"/>
      <c r="U292" s="22"/>
      <c r="V292" s="22"/>
      <c r="W292" s="22"/>
      <c r="X292" s="22"/>
      <c r="Y292" s="22"/>
      <c r="Z292" s="22"/>
      <c r="AA292" s="22"/>
      <c r="AB292" s="22"/>
      <c r="AC292" s="22"/>
      <c r="AD292" s="22"/>
      <c r="AE292" s="22"/>
      <c r="AF292" s="22"/>
      <c r="AG292" s="22"/>
      <c r="AH292" s="22"/>
      <c r="AI292" s="22"/>
      <c r="AJ292" s="22"/>
      <c r="AK292" s="22"/>
      <c r="AL292" s="22"/>
      <c r="AM292" s="22"/>
      <c r="AN292" s="22"/>
    </row>
    <row r="293" spans="1:40" x14ac:dyDescent="0.25">
      <c r="A293" s="22"/>
      <c r="B293" s="22"/>
      <c r="C293" s="22"/>
      <c r="D293" s="22"/>
      <c r="E293" s="22"/>
      <c r="F293" s="22"/>
      <c r="G293" s="22"/>
      <c r="H293" s="22"/>
      <c r="I293" s="22"/>
      <c r="J293" s="22"/>
      <c r="K293" s="22"/>
      <c r="L293" s="22"/>
      <c r="M293" s="22"/>
      <c r="N293" s="22"/>
      <c r="O293" s="22"/>
      <c r="P293" s="22"/>
      <c r="Q293" s="22"/>
      <c r="R293" s="22"/>
      <c r="S293" s="22"/>
      <c r="T293" s="22"/>
      <c r="U293" s="22"/>
      <c r="V293" s="22"/>
      <c r="W293" s="22"/>
      <c r="X293" s="22"/>
      <c r="Y293" s="22"/>
      <c r="Z293" s="22"/>
      <c r="AA293" s="22"/>
      <c r="AB293" s="22"/>
      <c r="AC293" s="22"/>
      <c r="AD293" s="22"/>
      <c r="AE293" s="22"/>
      <c r="AF293" s="22"/>
      <c r="AG293" s="22"/>
      <c r="AH293" s="22"/>
      <c r="AI293" s="22"/>
      <c r="AJ293" s="22"/>
      <c r="AK293" s="22"/>
      <c r="AL293" s="22"/>
      <c r="AM293" s="22"/>
      <c r="AN293" s="22"/>
    </row>
    <row r="294" spans="1:40" x14ac:dyDescent="0.25">
      <c r="A294" s="22"/>
      <c r="B294" s="22"/>
      <c r="C294" s="22"/>
      <c r="D294" s="22"/>
      <c r="E294" s="22"/>
      <c r="F294" s="22"/>
      <c r="G294" s="22"/>
      <c r="H294" s="22"/>
      <c r="I294" s="22"/>
      <c r="J294" s="22"/>
      <c r="K294" s="22"/>
      <c r="L294" s="22"/>
      <c r="M294" s="22"/>
      <c r="N294" s="22"/>
      <c r="O294" s="22"/>
      <c r="P294" s="22"/>
      <c r="Q294" s="22"/>
      <c r="R294" s="22"/>
      <c r="S294" s="22"/>
      <c r="T294" s="22"/>
      <c r="U294" s="22"/>
      <c r="V294" s="22"/>
      <c r="W294" s="22"/>
      <c r="X294" s="22"/>
      <c r="Y294" s="22"/>
      <c r="Z294" s="22"/>
      <c r="AA294" s="22"/>
      <c r="AB294" s="22"/>
      <c r="AC294" s="22"/>
      <c r="AD294" s="22"/>
      <c r="AE294" s="22"/>
      <c r="AF294" s="22"/>
      <c r="AG294" s="22"/>
      <c r="AH294" s="22"/>
      <c r="AI294" s="22"/>
      <c r="AJ294" s="22"/>
      <c r="AK294" s="22"/>
      <c r="AL294" s="22"/>
      <c r="AM294" s="22"/>
      <c r="AN294" s="22"/>
    </row>
    <row r="295" spans="1:40" x14ac:dyDescent="0.25">
      <c r="A295" s="22"/>
      <c r="B295" s="22"/>
      <c r="C295" s="22"/>
      <c r="D295" s="22"/>
      <c r="E295" s="22"/>
      <c r="F295" s="22"/>
      <c r="G295" s="22"/>
      <c r="H295" s="22"/>
      <c r="I295" s="22"/>
      <c r="J295" s="22"/>
      <c r="K295" s="22"/>
      <c r="L295" s="22"/>
      <c r="M295" s="22"/>
      <c r="N295" s="22"/>
      <c r="O295" s="22"/>
      <c r="P295" s="22"/>
      <c r="Q295" s="22"/>
      <c r="R295" s="22"/>
      <c r="S295" s="22"/>
      <c r="T295" s="22"/>
      <c r="U295" s="22"/>
      <c r="V295" s="22"/>
      <c r="W295" s="22"/>
      <c r="X295" s="22"/>
      <c r="Y295" s="22"/>
      <c r="Z295" s="22"/>
      <c r="AA295" s="22"/>
      <c r="AB295" s="22"/>
      <c r="AC295" s="22"/>
      <c r="AD295" s="22"/>
      <c r="AE295" s="22"/>
      <c r="AF295" s="22"/>
      <c r="AG295" s="22"/>
      <c r="AH295" s="22"/>
      <c r="AI295" s="22"/>
      <c r="AJ295" s="22"/>
      <c r="AK295" s="22"/>
      <c r="AL295" s="22"/>
      <c r="AM295" s="22"/>
      <c r="AN295" s="22"/>
    </row>
    <row r="296" spans="1:40" x14ac:dyDescent="0.25">
      <c r="A296" s="22"/>
      <c r="B296" s="22"/>
      <c r="C296" s="22"/>
      <c r="D296" s="22"/>
      <c r="E296" s="22"/>
      <c r="F296" s="22"/>
      <c r="G296" s="22"/>
      <c r="H296" s="22"/>
      <c r="I296" s="22"/>
      <c r="J296" s="22"/>
      <c r="K296" s="22"/>
      <c r="L296" s="22"/>
      <c r="M296" s="22"/>
      <c r="N296" s="22"/>
      <c r="O296" s="22"/>
      <c r="P296" s="22"/>
      <c r="Q296" s="22"/>
      <c r="R296" s="22"/>
      <c r="S296" s="22"/>
      <c r="T296" s="22"/>
      <c r="U296" s="22"/>
      <c r="V296" s="22"/>
      <c r="W296" s="22"/>
      <c r="X296" s="22"/>
      <c r="Y296" s="22"/>
      <c r="Z296" s="22"/>
      <c r="AA296" s="22"/>
      <c r="AB296" s="22"/>
      <c r="AC296" s="22"/>
      <c r="AD296" s="22"/>
      <c r="AE296" s="22"/>
      <c r="AF296" s="22"/>
      <c r="AG296" s="22"/>
      <c r="AH296" s="22"/>
      <c r="AI296" s="22"/>
      <c r="AJ296" s="22"/>
      <c r="AK296" s="22"/>
      <c r="AL296" s="22"/>
      <c r="AM296" s="22"/>
      <c r="AN296" s="22"/>
    </row>
    <row r="297" spans="1:40" x14ac:dyDescent="0.25">
      <c r="A297" s="22"/>
      <c r="B297" s="22"/>
      <c r="C297" s="22"/>
      <c r="D297" s="22"/>
      <c r="E297" s="22"/>
      <c r="F297" s="22"/>
      <c r="G297" s="22"/>
      <c r="H297" s="22"/>
      <c r="I297" s="22"/>
      <c r="J297" s="22"/>
      <c r="K297" s="22"/>
      <c r="L297" s="22"/>
      <c r="M297" s="22"/>
      <c r="N297" s="22"/>
      <c r="O297" s="22"/>
      <c r="P297" s="22"/>
      <c r="Q297" s="22"/>
      <c r="R297" s="22"/>
      <c r="S297" s="22"/>
      <c r="T297" s="22"/>
      <c r="U297" s="22"/>
      <c r="V297" s="22"/>
      <c r="W297" s="22"/>
      <c r="X297" s="22"/>
      <c r="Y297" s="22"/>
      <c r="Z297" s="22"/>
      <c r="AA297" s="22"/>
      <c r="AB297" s="22"/>
      <c r="AC297" s="22"/>
      <c r="AD297" s="22"/>
      <c r="AE297" s="22"/>
      <c r="AF297" s="22"/>
      <c r="AG297" s="22"/>
      <c r="AH297" s="22"/>
      <c r="AI297" s="22"/>
      <c r="AJ297" s="22"/>
      <c r="AK297" s="22"/>
      <c r="AL297" s="22"/>
      <c r="AM297" s="22"/>
      <c r="AN297" s="22"/>
    </row>
    <row r="298" spans="1:40" x14ac:dyDescent="0.25">
      <c r="A298" s="22"/>
      <c r="B298" s="22"/>
      <c r="C298" s="22"/>
      <c r="D298" s="22"/>
      <c r="E298" s="22"/>
      <c r="F298" s="22"/>
      <c r="G298" s="22"/>
      <c r="H298" s="22"/>
      <c r="I298" s="22"/>
      <c r="J298" s="22"/>
      <c r="K298" s="22"/>
      <c r="L298" s="22"/>
      <c r="M298" s="22"/>
      <c r="N298" s="22"/>
      <c r="O298" s="22"/>
      <c r="P298" s="22"/>
      <c r="Q298" s="22"/>
      <c r="R298" s="22"/>
      <c r="S298" s="22"/>
      <c r="T298" s="22"/>
      <c r="U298" s="22"/>
      <c r="V298" s="22"/>
      <c r="W298" s="22"/>
      <c r="X298" s="22"/>
      <c r="Y298" s="22"/>
      <c r="Z298" s="22"/>
      <c r="AA298" s="22"/>
      <c r="AB298" s="22"/>
      <c r="AC298" s="22"/>
      <c r="AD298" s="22"/>
      <c r="AE298" s="22"/>
      <c r="AF298" s="22"/>
      <c r="AG298" s="22"/>
      <c r="AH298" s="22"/>
      <c r="AI298" s="22"/>
      <c r="AJ298" s="22"/>
      <c r="AK298" s="22"/>
      <c r="AL298" s="22"/>
      <c r="AM298" s="22"/>
      <c r="AN298" s="22"/>
    </row>
    <row r="299" spans="1:40" x14ac:dyDescent="0.25">
      <c r="A299" s="22"/>
      <c r="B299" s="22"/>
      <c r="C299" s="22"/>
      <c r="D299" s="22"/>
      <c r="E299" s="22"/>
      <c r="F299" s="22"/>
      <c r="G299" s="22"/>
      <c r="H299" s="22"/>
      <c r="I299" s="22"/>
      <c r="J299" s="22"/>
      <c r="K299" s="22"/>
      <c r="L299" s="22"/>
      <c r="M299" s="22"/>
      <c r="N299" s="22"/>
      <c r="O299" s="22"/>
      <c r="P299" s="22"/>
      <c r="Q299" s="22"/>
      <c r="R299" s="22"/>
      <c r="S299" s="22"/>
      <c r="T299" s="22"/>
      <c r="U299" s="22"/>
      <c r="V299" s="22"/>
      <c r="W299" s="22"/>
      <c r="X299" s="22"/>
      <c r="Y299" s="22"/>
      <c r="Z299" s="22"/>
      <c r="AA299" s="22"/>
      <c r="AB299" s="22"/>
      <c r="AC299" s="22"/>
      <c r="AD299" s="22"/>
      <c r="AE299" s="22"/>
      <c r="AF299" s="22"/>
      <c r="AG299" s="22"/>
      <c r="AH299" s="22"/>
      <c r="AI299" s="22"/>
      <c r="AJ299" s="22"/>
      <c r="AK299" s="22"/>
      <c r="AL299" s="22"/>
      <c r="AM299" s="22"/>
      <c r="AN299" s="22"/>
    </row>
    <row r="300" spans="1:40" x14ac:dyDescent="0.25">
      <c r="A300" s="22"/>
      <c r="B300" s="22"/>
      <c r="C300" s="22"/>
      <c r="D300" s="22"/>
      <c r="E300" s="22"/>
      <c r="F300" s="22"/>
      <c r="G300" s="22"/>
      <c r="H300" s="22"/>
      <c r="I300" s="22"/>
      <c r="J300" s="22"/>
      <c r="K300" s="22"/>
      <c r="L300" s="22"/>
      <c r="M300" s="22"/>
      <c r="N300" s="22"/>
      <c r="O300" s="22"/>
      <c r="P300" s="22"/>
      <c r="Q300" s="22"/>
      <c r="R300" s="22"/>
      <c r="S300" s="22"/>
      <c r="T300" s="22"/>
      <c r="U300" s="22"/>
      <c r="V300" s="22"/>
      <c r="W300" s="22"/>
      <c r="X300" s="22"/>
      <c r="Y300" s="22"/>
      <c r="Z300" s="22"/>
      <c r="AA300" s="22"/>
      <c r="AB300" s="22"/>
      <c r="AC300" s="22"/>
      <c r="AD300" s="22"/>
      <c r="AE300" s="22"/>
      <c r="AF300" s="22"/>
      <c r="AG300" s="22"/>
      <c r="AH300" s="22"/>
      <c r="AI300" s="22"/>
      <c r="AJ300" s="22"/>
      <c r="AK300" s="22"/>
      <c r="AL300" s="22"/>
      <c r="AM300" s="22"/>
      <c r="AN300" s="22"/>
    </row>
    <row r="301" spans="1:40" x14ac:dyDescent="0.25">
      <c r="A301" s="22"/>
      <c r="B301" s="22"/>
      <c r="C301" s="22"/>
      <c r="D301" s="22"/>
      <c r="E301" s="22"/>
      <c r="F301" s="22"/>
      <c r="G301" s="22"/>
      <c r="H301" s="22"/>
      <c r="I301" s="22"/>
      <c r="J301" s="22"/>
      <c r="K301" s="22"/>
      <c r="L301" s="22"/>
      <c r="M301" s="22"/>
      <c r="N301" s="22"/>
      <c r="O301" s="22"/>
      <c r="P301" s="22"/>
      <c r="Q301" s="22"/>
      <c r="R301" s="22"/>
      <c r="S301" s="22"/>
      <c r="T301" s="22"/>
      <c r="U301" s="22"/>
      <c r="V301" s="22"/>
      <c r="W301" s="22"/>
      <c r="X301" s="22"/>
      <c r="Y301" s="22"/>
      <c r="Z301" s="22"/>
      <c r="AA301" s="22"/>
      <c r="AB301" s="22"/>
      <c r="AC301" s="22"/>
      <c r="AD301" s="22"/>
      <c r="AE301" s="22"/>
      <c r="AF301" s="22"/>
      <c r="AG301" s="22"/>
      <c r="AH301" s="22"/>
      <c r="AI301" s="22"/>
      <c r="AJ301" s="22"/>
      <c r="AK301" s="22"/>
      <c r="AL301" s="22"/>
      <c r="AM301" s="22"/>
      <c r="AN301" s="22"/>
    </row>
    <row r="302" spans="1:40" x14ac:dyDescent="0.25">
      <c r="A302" s="22"/>
      <c r="B302" s="22"/>
      <c r="C302" s="22"/>
      <c r="D302" s="22"/>
      <c r="E302" s="22"/>
      <c r="F302" s="22"/>
      <c r="G302" s="22"/>
      <c r="H302" s="22"/>
      <c r="I302" s="22"/>
      <c r="J302" s="22"/>
      <c r="K302" s="22"/>
      <c r="L302" s="22"/>
      <c r="M302" s="22"/>
      <c r="N302" s="22"/>
      <c r="O302" s="22"/>
      <c r="P302" s="22"/>
      <c r="Q302" s="22"/>
      <c r="R302" s="22"/>
      <c r="S302" s="22"/>
      <c r="T302" s="22"/>
      <c r="U302" s="22"/>
      <c r="V302" s="22"/>
      <c r="W302" s="22"/>
      <c r="X302" s="22"/>
      <c r="Y302" s="22"/>
      <c r="Z302" s="22"/>
      <c r="AA302" s="22"/>
      <c r="AB302" s="22"/>
      <c r="AC302" s="22"/>
      <c r="AD302" s="22"/>
      <c r="AE302" s="22"/>
      <c r="AF302" s="22"/>
      <c r="AG302" s="22"/>
      <c r="AH302" s="22"/>
      <c r="AI302" s="22"/>
      <c r="AJ302" s="22"/>
      <c r="AK302" s="22"/>
      <c r="AL302" s="22"/>
      <c r="AM302" s="22"/>
      <c r="AN302" s="22"/>
    </row>
    <row r="303" spans="1:40" x14ac:dyDescent="0.25">
      <c r="A303" s="22"/>
      <c r="B303" s="22"/>
      <c r="C303" s="22"/>
      <c r="D303" s="22"/>
      <c r="E303" s="22"/>
      <c r="F303" s="22"/>
      <c r="G303" s="22"/>
      <c r="H303" s="22"/>
      <c r="I303" s="22"/>
      <c r="J303" s="22"/>
      <c r="K303" s="22"/>
      <c r="L303" s="22"/>
      <c r="M303" s="22"/>
      <c r="N303" s="22"/>
      <c r="O303" s="22"/>
      <c r="P303" s="22"/>
      <c r="Q303" s="22"/>
      <c r="R303" s="22"/>
      <c r="S303" s="22"/>
      <c r="T303" s="22"/>
      <c r="U303" s="22"/>
      <c r="V303" s="22"/>
      <c r="W303" s="22"/>
      <c r="X303" s="22"/>
      <c r="Y303" s="22"/>
      <c r="Z303" s="22"/>
      <c r="AA303" s="22"/>
      <c r="AB303" s="22"/>
      <c r="AC303" s="22"/>
      <c r="AD303" s="22"/>
      <c r="AE303" s="22"/>
      <c r="AF303" s="22"/>
      <c r="AG303" s="22"/>
      <c r="AH303" s="22"/>
      <c r="AI303" s="22"/>
      <c r="AJ303" s="22"/>
      <c r="AK303" s="22"/>
      <c r="AL303" s="22"/>
      <c r="AM303" s="22"/>
      <c r="AN303" s="22"/>
    </row>
    <row r="304" spans="1:40" x14ac:dyDescent="0.25">
      <c r="A304" s="22"/>
      <c r="B304" s="22"/>
      <c r="C304" s="22"/>
      <c r="D304" s="22"/>
      <c r="E304" s="22"/>
      <c r="F304" s="22"/>
      <c r="G304" s="22"/>
      <c r="H304" s="22"/>
      <c r="I304" s="22"/>
      <c r="J304" s="22"/>
      <c r="K304" s="22"/>
      <c r="L304" s="22"/>
      <c r="M304" s="22"/>
      <c r="N304" s="22"/>
      <c r="O304" s="22"/>
      <c r="P304" s="22"/>
      <c r="Q304" s="22"/>
      <c r="R304" s="22"/>
      <c r="S304" s="22"/>
      <c r="T304" s="22"/>
      <c r="U304" s="22"/>
      <c r="V304" s="22"/>
      <c r="W304" s="22"/>
      <c r="X304" s="22"/>
      <c r="Y304" s="22"/>
      <c r="Z304" s="22"/>
      <c r="AA304" s="22"/>
      <c r="AB304" s="22"/>
      <c r="AC304" s="22"/>
      <c r="AD304" s="22"/>
      <c r="AE304" s="22"/>
      <c r="AF304" s="22"/>
      <c r="AG304" s="22"/>
      <c r="AH304" s="22"/>
      <c r="AI304" s="22"/>
      <c r="AJ304" s="22"/>
      <c r="AK304" s="22"/>
      <c r="AL304" s="22"/>
      <c r="AM304" s="22"/>
      <c r="AN304" s="22"/>
    </row>
    <row r="305" spans="1:40" x14ac:dyDescent="0.25">
      <c r="A305" s="22"/>
      <c r="B305" s="22"/>
      <c r="C305" s="22"/>
      <c r="D305" s="22"/>
      <c r="E305" s="22"/>
      <c r="F305" s="22"/>
      <c r="G305" s="22"/>
      <c r="H305" s="22"/>
      <c r="I305" s="22"/>
      <c r="J305" s="22"/>
      <c r="K305" s="22"/>
      <c r="L305" s="22"/>
      <c r="M305" s="22"/>
      <c r="N305" s="22"/>
      <c r="O305" s="22"/>
      <c r="P305" s="22"/>
      <c r="Q305" s="22"/>
      <c r="R305" s="22"/>
      <c r="S305" s="22"/>
      <c r="T305" s="22"/>
      <c r="U305" s="22"/>
      <c r="V305" s="22"/>
      <c r="W305" s="22"/>
      <c r="X305" s="22"/>
      <c r="Y305" s="22"/>
      <c r="Z305" s="22"/>
      <c r="AA305" s="22"/>
      <c r="AB305" s="22"/>
      <c r="AC305" s="22"/>
      <c r="AD305" s="22"/>
      <c r="AE305" s="22"/>
      <c r="AF305" s="22"/>
      <c r="AG305" s="22"/>
      <c r="AH305" s="22"/>
      <c r="AI305" s="22"/>
      <c r="AJ305" s="22"/>
      <c r="AK305" s="22"/>
      <c r="AL305" s="22"/>
      <c r="AM305" s="22"/>
      <c r="AN305" s="22"/>
    </row>
    <row r="306" spans="1:40" x14ac:dyDescent="0.25">
      <c r="A306" s="22"/>
      <c r="B306" s="22"/>
      <c r="C306" s="22"/>
      <c r="D306" s="22"/>
      <c r="E306" s="22"/>
      <c r="F306" s="22"/>
      <c r="G306" s="22"/>
      <c r="H306" s="22"/>
      <c r="I306" s="22"/>
      <c r="J306" s="22"/>
      <c r="K306" s="22"/>
      <c r="L306" s="22"/>
      <c r="M306" s="22"/>
      <c r="N306" s="22"/>
      <c r="O306" s="22"/>
      <c r="P306" s="22"/>
      <c r="Q306" s="22"/>
      <c r="R306" s="22"/>
      <c r="S306" s="22"/>
      <c r="T306" s="22"/>
      <c r="U306" s="22"/>
      <c r="V306" s="22"/>
      <c r="W306" s="22"/>
      <c r="X306" s="22"/>
      <c r="Y306" s="22"/>
      <c r="Z306" s="22"/>
      <c r="AA306" s="22"/>
      <c r="AB306" s="22"/>
      <c r="AC306" s="22"/>
      <c r="AD306" s="22"/>
      <c r="AE306" s="22"/>
      <c r="AF306" s="22"/>
      <c r="AG306" s="22"/>
      <c r="AH306" s="22"/>
      <c r="AI306" s="22"/>
      <c r="AJ306" s="22"/>
      <c r="AK306" s="22"/>
      <c r="AL306" s="22"/>
      <c r="AM306" s="22"/>
      <c r="AN306" s="22"/>
    </row>
    <row r="307" spans="1:40" x14ac:dyDescent="0.25">
      <c r="A307" s="22"/>
      <c r="B307" s="22"/>
      <c r="C307" s="22"/>
      <c r="D307" s="22"/>
      <c r="E307" s="22"/>
      <c r="F307" s="22"/>
      <c r="G307" s="22"/>
      <c r="H307" s="22"/>
      <c r="I307" s="22"/>
      <c r="J307" s="22"/>
      <c r="K307" s="22"/>
      <c r="L307" s="22"/>
      <c r="M307" s="22"/>
      <c r="N307" s="22"/>
      <c r="O307" s="22"/>
      <c r="P307" s="22"/>
      <c r="Q307" s="22"/>
      <c r="R307" s="22"/>
      <c r="S307" s="22"/>
      <c r="T307" s="22"/>
      <c r="U307" s="22"/>
      <c r="V307" s="22"/>
      <c r="W307" s="22"/>
      <c r="X307" s="22"/>
      <c r="Y307" s="22"/>
      <c r="Z307" s="22"/>
      <c r="AA307" s="22"/>
      <c r="AB307" s="22"/>
      <c r="AC307" s="22"/>
      <c r="AD307" s="22"/>
      <c r="AE307" s="22"/>
      <c r="AF307" s="22"/>
      <c r="AG307" s="22"/>
      <c r="AH307" s="22"/>
      <c r="AI307" s="22"/>
      <c r="AJ307" s="22"/>
      <c r="AK307" s="22"/>
      <c r="AL307" s="22"/>
      <c r="AM307" s="22"/>
      <c r="AN307" s="22"/>
    </row>
    <row r="308" spans="1:40" x14ac:dyDescent="0.25">
      <c r="A308" s="22"/>
      <c r="B308" s="22"/>
      <c r="C308" s="22"/>
      <c r="D308" s="22"/>
      <c r="E308" s="22"/>
      <c r="F308" s="22"/>
      <c r="G308" s="22"/>
      <c r="H308" s="22"/>
      <c r="I308" s="22"/>
      <c r="J308" s="22"/>
      <c r="K308" s="22"/>
      <c r="L308" s="22"/>
      <c r="M308" s="22"/>
      <c r="N308" s="22"/>
      <c r="O308" s="22"/>
      <c r="P308" s="22"/>
      <c r="Q308" s="22"/>
      <c r="R308" s="22"/>
      <c r="S308" s="22"/>
      <c r="T308" s="22"/>
      <c r="U308" s="22"/>
      <c r="V308" s="22"/>
      <c r="W308" s="22"/>
      <c r="X308" s="22"/>
      <c r="Y308" s="22"/>
      <c r="Z308" s="22"/>
      <c r="AA308" s="22"/>
      <c r="AB308" s="22"/>
      <c r="AC308" s="22"/>
      <c r="AD308" s="22"/>
      <c r="AE308" s="22"/>
      <c r="AF308" s="22"/>
      <c r="AG308" s="22"/>
      <c r="AH308" s="22"/>
      <c r="AI308" s="22"/>
      <c r="AJ308" s="22"/>
      <c r="AK308" s="22"/>
      <c r="AL308" s="22"/>
      <c r="AM308" s="22"/>
      <c r="AN308" s="22"/>
    </row>
    <row r="309" spans="1:40" x14ac:dyDescent="0.25">
      <c r="A309" s="22"/>
      <c r="B309" s="22"/>
      <c r="C309" s="22"/>
      <c r="D309" s="22"/>
      <c r="E309" s="22"/>
      <c r="F309" s="22"/>
      <c r="G309" s="22"/>
      <c r="H309" s="22"/>
      <c r="I309" s="22"/>
      <c r="J309" s="22"/>
      <c r="K309" s="22"/>
      <c r="L309" s="22"/>
      <c r="M309" s="22"/>
      <c r="N309" s="22"/>
      <c r="O309" s="22"/>
      <c r="P309" s="22"/>
      <c r="Q309" s="22"/>
      <c r="R309" s="22"/>
      <c r="S309" s="22"/>
      <c r="T309" s="22"/>
      <c r="U309" s="22"/>
      <c r="V309" s="22"/>
      <c r="W309" s="22"/>
      <c r="X309" s="22"/>
      <c r="Y309" s="22"/>
      <c r="Z309" s="22"/>
      <c r="AA309" s="22"/>
      <c r="AB309" s="22"/>
      <c r="AC309" s="22"/>
      <c r="AD309" s="22"/>
      <c r="AE309" s="22"/>
      <c r="AF309" s="22"/>
      <c r="AG309" s="22"/>
      <c r="AH309" s="22"/>
      <c r="AI309" s="22"/>
      <c r="AJ309" s="22"/>
      <c r="AK309" s="22"/>
      <c r="AL309" s="22"/>
      <c r="AM309" s="22"/>
      <c r="AN309" s="22"/>
    </row>
    <row r="310" spans="1:40" x14ac:dyDescent="0.25">
      <c r="A310" s="22"/>
      <c r="B310" s="22"/>
      <c r="C310" s="22"/>
      <c r="D310" s="22"/>
      <c r="E310" s="22"/>
      <c r="F310" s="22"/>
      <c r="G310" s="22"/>
      <c r="H310" s="22"/>
      <c r="I310" s="22"/>
      <c r="J310" s="22"/>
      <c r="K310" s="22"/>
      <c r="L310" s="22"/>
      <c r="M310" s="22"/>
      <c r="N310" s="22"/>
      <c r="O310" s="22"/>
      <c r="P310" s="22"/>
      <c r="Q310" s="22"/>
      <c r="R310" s="22"/>
      <c r="S310" s="22"/>
      <c r="T310" s="22"/>
      <c r="U310" s="22"/>
      <c r="V310" s="22"/>
      <c r="W310" s="22"/>
      <c r="X310" s="22"/>
      <c r="Y310" s="22"/>
      <c r="Z310" s="22"/>
      <c r="AA310" s="22"/>
      <c r="AB310" s="22"/>
      <c r="AC310" s="22"/>
      <c r="AD310" s="22"/>
      <c r="AE310" s="22"/>
      <c r="AF310" s="22"/>
      <c r="AG310" s="22"/>
      <c r="AH310" s="22"/>
      <c r="AI310" s="22"/>
      <c r="AJ310" s="22"/>
      <c r="AK310" s="22"/>
      <c r="AL310" s="22"/>
      <c r="AM310" s="22"/>
      <c r="AN310" s="22"/>
    </row>
    <row r="311" spans="1:40" x14ac:dyDescent="0.25">
      <c r="A311" s="22"/>
      <c r="B311" s="22"/>
      <c r="C311" s="22"/>
      <c r="D311" s="22"/>
      <c r="E311" s="22"/>
      <c r="F311" s="22"/>
      <c r="G311" s="22"/>
      <c r="H311" s="22"/>
      <c r="I311" s="22"/>
      <c r="J311" s="22"/>
      <c r="K311" s="22"/>
      <c r="L311" s="22"/>
      <c r="M311" s="22"/>
      <c r="N311" s="22"/>
      <c r="O311" s="22"/>
      <c r="P311" s="22"/>
      <c r="Q311" s="22"/>
      <c r="R311" s="22"/>
      <c r="S311" s="22"/>
      <c r="T311" s="22"/>
      <c r="U311" s="22"/>
      <c r="V311" s="22"/>
      <c r="W311" s="22"/>
      <c r="X311" s="22"/>
      <c r="Y311" s="22"/>
      <c r="Z311" s="22"/>
      <c r="AA311" s="22"/>
      <c r="AB311" s="22"/>
      <c r="AC311" s="22"/>
      <c r="AD311" s="22"/>
      <c r="AE311" s="22"/>
      <c r="AF311" s="22"/>
      <c r="AG311" s="22"/>
      <c r="AH311" s="22"/>
      <c r="AI311" s="22"/>
      <c r="AJ311" s="22"/>
      <c r="AK311" s="22"/>
      <c r="AL311" s="22"/>
      <c r="AM311" s="22"/>
      <c r="AN311" s="22"/>
    </row>
    <row r="312" spans="1:40" x14ac:dyDescent="0.25">
      <c r="A312" s="22"/>
      <c r="B312" s="22"/>
      <c r="C312" s="22"/>
      <c r="D312" s="22"/>
      <c r="E312" s="22"/>
      <c r="F312" s="22"/>
      <c r="G312" s="22"/>
      <c r="H312" s="22"/>
      <c r="I312" s="22"/>
      <c r="J312" s="22"/>
      <c r="K312" s="22"/>
      <c r="L312" s="22"/>
      <c r="M312" s="22"/>
      <c r="N312" s="22"/>
      <c r="O312" s="22"/>
      <c r="P312" s="22"/>
      <c r="Q312" s="22"/>
      <c r="R312" s="22"/>
      <c r="S312" s="22"/>
      <c r="T312" s="22"/>
      <c r="U312" s="22"/>
      <c r="V312" s="22"/>
      <c r="W312" s="22"/>
      <c r="X312" s="22"/>
      <c r="Y312" s="22"/>
      <c r="Z312" s="22"/>
      <c r="AA312" s="22"/>
      <c r="AB312" s="22"/>
      <c r="AC312" s="22"/>
      <c r="AD312" s="22"/>
      <c r="AE312" s="22"/>
      <c r="AF312" s="22"/>
      <c r="AG312" s="22"/>
      <c r="AH312" s="22"/>
      <c r="AI312" s="22"/>
      <c r="AJ312" s="22"/>
      <c r="AK312" s="22"/>
      <c r="AL312" s="22"/>
      <c r="AM312" s="22"/>
      <c r="AN312" s="22"/>
    </row>
    <row r="313" spans="1:40" x14ac:dyDescent="0.25">
      <c r="A313" s="22"/>
      <c r="B313" s="22"/>
      <c r="C313" s="22"/>
      <c r="D313" s="22"/>
      <c r="E313" s="22"/>
      <c r="F313" s="22"/>
      <c r="G313" s="22"/>
      <c r="H313" s="22"/>
      <c r="I313" s="22"/>
      <c r="J313" s="22"/>
      <c r="K313" s="22"/>
      <c r="L313" s="22"/>
      <c r="M313" s="22"/>
      <c r="N313" s="22"/>
      <c r="O313" s="22"/>
      <c r="P313" s="22"/>
      <c r="Q313" s="22"/>
      <c r="R313" s="22"/>
      <c r="S313" s="22"/>
      <c r="T313" s="22"/>
      <c r="U313" s="22"/>
      <c r="V313" s="22"/>
      <c r="W313" s="22"/>
      <c r="X313" s="22"/>
      <c r="Y313" s="22"/>
      <c r="Z313" s="22"/>
      <c r="AA313" s="22"/>
      <c r="AB313" s="22"/>
      <c r="AC313" s="22"/>
      <c r="AD313" s="22"/>
      <c r="AE313" s="22"/>
      <c r="AF313" s="22"/>
      <c r="AG313" s="22"/>
      <c r="AH313" s="22"/>
      <c r="AI313" s="22"/>
      <c r="AJ313" s="22"/>
      <c r="AK313" s="22"/>
      <c r="AL313" s="22"/>
      <c r="AM313" s="22"/>
      <c r="AN313" s="22"/>
    </row>
    <row r="314" spans="1:40" x14ac:dyDescent="0.25">
      <c r="A314" s="22"/>
      <c r="B314" s="22"/>
      <c r="C314" s="22"/>
      <c r="D314" s="22"/>
      <c r="E314" s="22"/>
      <c r="F314" s="22"/>
      <c r="G314" s="22"/>
      <c r="H314" s="22"/>
      <c r="I314" s="22"/>
      <c r="J314" s="22"/>
      <c r="K314" s="22"/>
      <c r="L314" s="22"/>
      <c r="M314" s="22"/>
      <c r="N314" s="22"/>
      <c r="O314" s="22"/>
      <c r="P314" s="22"/>
      <c r="Q314" s="22"/>
      <c r="R314" s="22"/>
      <c r="S314" s="22"/>
      <c r="T314" s="22"/>
      <c r="U314" s="22"/>
      <c r="V314" s="22"/>
      <c r="W314" s="22"/>
      <c r="X314" s="22"/>
      <c r="Y314" s="22"/>
      <c r="Z314" s="22"/>
      <c r="AA314" s="22"/>
      <c r="AB314" s="22"/>
      <c r="AC314" s="22"/>
      <c r="AD314" s="22"/>
      <c r="AE314" s="22"/>
      <c r="AF314" s="22"/>
      <c r="AG314" s="22"/>
      <c r="AH314" s="22"/>
      <c r="AI314" s="22"/>
      <c r="AJ314" s="22"/>
      <c r="AK314" s="22"/>
      <c r="AL314" s="22"/>
      <c r="AM314" s="22"/>
      <c r="AN314" s="22"/>
    </row>
    <row r="315" spans="1:40" x14ac:dyDescent="0.25">
      <c r="A315" s="22"/>
      <c r="B315" s="22"/>
      <c r="C315" s="22"/>
      <c r="D315" s="22"/>
      <c r="E315" s="22"/>
      <c r="F315" s="22"/>
      <c r="G315" s="22"/>
      <c r="H315" s="22"/>
      <c r="I315" s="22"/>
      <c r="J315" s="22"/>
      <c r="K315" s="22"/>
      <c r="L315" s="22"/>
      <c r="M315" s="22"/>
      <c r="N315" s="22"/>
      <c r="O315" s="22"/>
      <c r="P315" s="22"/>
      <c r="Q315" s="22"/>
      <c r="R315" s="22"/>
      <c r="S315" s="22"/>
      <c r="T315" s="22"/>
      <c r="U315" s="22"/>
      <c r="V315" s="22"/>
      <c r="W315" s="22"/>
      <c r="X315" s="22"/>
      <c r="Y315" s="22"/>
      <c r="Z315" s="22"/>
      <c r="AA315" s="22"/>
      <c r="AB315" s="22"/>
      <c r="AC315" s="22"/>
      <c r="AD315" s="22"/>
      <c r="AE315" s="22"/>
      <c r="AF315" s="22"/>
      <c r="AG315" s="22"/>
      <c r="AH315" s="22"/>
      <c r="AI315" s="22"/>
      <c r="AJ315" s="22"/>
      <c r="AK315" s="22"/>
      <c r="AL315" s="22"/>
      <c r="AM315" s="22"/>
      <c r="AN315" s="22"/>
    </row>
    <row r="316" spans="1:40" x14ac:dyDescent="0.25">
      <c r="A316" s="22"/>
      <c r="B316" s="22"/>
      <c r="C316" s="22"/>
      <c r="D316" s="22"/>
      <c r="E316" s="22"/>
      <c r="F316" s="22"/>
      <c r="G316" s="22"/>
      <c r="H316" s="22"/>
      <c r="I316" s="22"/>
      <c r="J316" s="22"/>
      <c r="K316" s="22"/>
      <c r="L316" s="22"/>
      <c r="M316" s="22"/>
      <c r="N316" s="22"/>
      <c r="O316" s="22"/>
      <c r="P316" s="22"/>
      <c r="Q316" s="22"/>
      <c r="R316" s="22"/>
      <c r="S316" s="22"/>
      <c r="T316" s="22"/>
      <c r="U316" s="22"/>
      <c r="V316" s="22"/>
      <c r="W316" s="22"/>
      <c r="X316" s="22"/>
      <c r="Y316" s="22"/>
      <c r="Z316" s="22"/>
      <c r="AA316" s="22"/>
      <c r="AB316" s="22"/>
      <c r="AC316" s="22"/>
      <c r="AD316" s="22"/>
      <c r="AE316" s="22"/>
      <c r="AF316" s="22"/>
      <c r="AG316" s="22"/>
      <c r="AH316" s="22"/>
      <c r="AI316" s="22"/>
      <c r="AJ316" s="22"/>
      <c r="AK316" s="22"/>
      <c r="AL316" s="22"/>
      <c r="AM316" s="22"/>
      <c r="AN316" s="22"/>
    </row>
    <row r="317" spans="1:40" x14ac:dyDescent="0.25">
      <c r="A317" s="22"/>
      <c r="B317" s="22"/>
      <c r="C317" s="22"/>
      <c r="D317" s="22"/>
      <c r="E317" s="22"/>
      <c r="F317" s="22"/>
      <c r="G317" s="22"/>
      <c r="H317" s="22"/>
      <c r="I317" s="22"/>
      <c r="J317" s="22"/>
      <c r="K317" s="22"/>
      <c r="L317" s="22"/>
      <c r="M317" s="22"/>
      <c r="N317" s="22"/>
      <c r="O317" s="22"/>
      <c r="P317" s="22"/>
      <c r="Q317" s="22"/>
      <c r="R317" s="22"/>
      <c r="S317" s="22"/>
      <c r="T317" s="22"/>
      <c r="U317" s="22"/>
      <c r="V317" s="22"/>
      <c r="W317" s="22"/>
      <c r="X317" s="22"/>
      <c r="Y317" s="22"/>
      <c r="Z317" s="22"/>
      <c r="AA317" s="22"/>
      <c r="AB317" s="22"/>
      <c r="AC317" s="22"/>
      <c r="AD317" s="22"/>
      <c r="AE317" s="22"/>
      <c r="AF317" s="22"/>
      <c r="AG317" s="22"/>
      <c r="AH317" s="22"/>
      <c r="AI317" s="22"/>
      <c r="AJ317" s="22"/>
      <c r="AK317" s="22"/>
      <c r="AL317" s="22"/>
      <c r="AM317" s="22"/>
      <c r="AN317" s="22"/>
    </row>
    <row r="318" spans="1:40" x14ac:dyDescent="0.25">
      <c r="A318" s="22"/>
      <c r="B318" s="22"/>
      <c r="C318" s="22"/>
      <c r="D318" s="22"/>
      <c r="E318" s="22"/>
      <c r="F318" s="22"/>
      <c r="G318" s="22"/>
      <c r="H318" s="22"/>
      <c r="I318" s="22"/>
      <c r="J318" s="22"/>
      <c r="K318" s="22"/>
      <c r="L318" s="22"/>
      <c r="M318" s="22"/>
      <c r="N318" s="22"/>
      <c r="O318" s="22"/>
      <c r="P318" s="22"/>
      <c r="Q318" s="22"/>
      <c r="R318" s="22"/>
      <c r="S318" s="22"/>
      <c r="T318" s="22"/>
      <c r="U318" s="22"/>
      <c r="V318" s="22"/>
      <c r="W318" s="22"/>
      <c r="X318" s="22"/>
      <c r="Y318" s="22"/>
      <c r="Z318" s="22"/>
      <c r="AA318" s="22"/>
      <c r="AB318" s="22"/>
      <c r="AC318" s="22"/>
      <c r="AD318" s="22"/>
      <c r="AE318" s="22"/>
      <c r="AF318" s="22"/>
      <c r="AG318" s="22"/>
      <c r="AH318" s="22"/>
      <c r="AI318" s="22"/>
      <c r="AJ318" s="22"/>
      <c r="AK318" s="22"/>
      <c r="AL318" s="22"/>
      <c r="AM318" s="22"/>
      <c r="AN318" s="22"/>
    </row>
    <row r="319" spans="1:40" x14ac:dyDescent="0.25">
      <c r="A319" s="22"/>
      <c r="B319" s="22"/>
      <c r="C319" s="22"/>
      <c r="D319" s="22"/>
      <c r="E319" s="22"/>
      <c r="F319" s="22"/>
      <c r="G319" s="22"/>
      <c r="H319" s="22"/>
      <c r="I319" s="22"/>
      <c r="J319" s="22"/>
      <c r="K319" s="22"/>
      <c r="L319" s="22"/>
      <c r="M319" s="22"/>
      <c r="N319" s="22"/>
      <c r="O319" s="22"/>
      <c r="P319" s="22"/>
      <c r="Q319" s="22"/>
      <c r="R319" s="22"/>
      <c r="S319" s="22"/>
      <c r="T319" s="22"/>
      <c r="U319" s="22"/>
      <c r="V319" s="22"/>
      <c r="W319" s="22"/>
      <c r="X319" s="22"/>
      <c r="Y319" s="22"/>
      <c r="Z319" s="22"/>
      <c r="AA319" s="22"/>
      <c r="AB319" s="22"/>
      <c r="AC319" s="22"/>
      <c r="AD319" s="22"/>
      <c r="AE319" s="22"/>
      <c r="AF319" s="22"/>
      <c r="AG319" s="22"/>
      <c r="AH319" s="22"/>
      <c r="AI319" s="22"/>
      <c r="AJ319" s="22"/>
      <c r="AK319" s="22"/>
      <c r="AL319" s="22"/>
      <c r="AM319" s="22"/>
      <c r="AN319" s="22"/>
    </row>
    <row r="320" spans="1:40" x14ac:dyDescent="0.25">
      <c r="A320" s="22"/>
      <c r="B320" s="22"/>
      <c r="C320" s="22"/>
      <c r="D320" s="22"/>
      <c r="E320" s="22"/>
      <c r="F320" s="22"/>
      <c r="G320" s="22"/>
      <c r="H320" s="22"/>
      <c r="I320" s="22"/>
      <c r="J320" s="22"/>
      <c r="K320" s="22"/>
      <c r="L320" s="22"/>
      <c r="M320" s="22"/>
      <c r="N320" s="22"/>
      <c r="O320" s="22"/>
      <c r="P320" s="22"/>
      <c r="Q320" s="22"/>
      <c r="R320" s="22"/>
      <c r="S320" s="22"/>
      <c r="T320" s="22"/>
      <c r="U320" s="22"/>
      <c r="V320" s="22"/>
      <c r="W320" s="22"/>
      <c r="X320" s="22"/>
      <c r="Y320" s="22"/>
      <c r="Z320" s="22"/>
      <c r="AA320" s="22"/>
      <c r="AB320" s="22"/>
      <c r="AC320" s="22"/>
      <c r="AD320" s="22"/>
      <c r="AE320" s="22"/>
      <c r="AF320" s="22"/>
      <c r="AG320" s="22"/>
      <c r="AH320" s="22"/>
      <c r="AI320" s="22"/>
      <c r="AJ320" s="22"/>
      <c r="AK320" s="22"/>
      <c r="AL320" s="22"/>
      <c r="AM320" s="22"/>
      <c r="AN320" s="22"/>
    </row>
    <row r="321" spans="1:40" x14ac:dyDescent="0.25">
      <c r="A321" s="22"/>
      <c r="B321" s="22"/>
      <c r="C321" s="22"/>
      <c r="D321" s="22"/>
      <c r="E321" s="22"/>
      <c r="F321" s="22"/>
      <c r="G321" s="22"/>
      <c r="H321" s="22"/>
      <c r="I321" s="22"/>
      <c r="J321" s="22"/>
      <c r="K321" s="22"/>
      <c r="L321" s="22"/>
      <c r="M321" s="22"/>
      <c r="N321" s="22"/>
      <c r="O321" s="22"/>
      <c r="P321" s="22"/>
      <c r="Q321" s="22"/>
      <c r="R321" s="22"/>
      <c r="S321" s="22"/>
      <c r="T321" s="22"/>
      <c r="U321" s="22"/>
      <c r="V321" s="22"/>
      <c r="W321" s="22"/>
      <c r="X321" s="22"/>
      <c r="Y321" s="22"/>
      <c r="Z321" s="22"/>
      <c r="AA321" s="22"/>
      <c r="AB321" s="22"/>
      <c r="AC321" s="22"/>
      <c r="AD321" s="22"/>
      <c r="AE321" s="22"/>
      <c r="AF321" s="22"/>
      <c r="AG321" s="22"/>
      <c r="AH321" s="22"/>
      <c r="AI321" s="22"/>
      <c r="AJ321" s="22"/>
      <c r="AK321" s="22"/>
      <c r="AL321" s="22"/>
      <c r="AM321" s="22"/>
      <c r="AN321" s="22"/>
    </row>
    <row r="322" spans="1:40" x14ac:dyDescent="0.25">
      <c r="A322" s="22"/>
      <c r="B322" s="22"/>
      <c r="C322" s="22"/>
      <c r="D322" s="22"/>
      <c r="E322" s="22"/>
      <c r="F322" s="22"/>
      <c r="G322" s="22"/>
      <c r="H322" s="22"/>
      <c r="I322" s="22"/>
      <c r="J322" s="22"/>
      <c r="K322" s="22"/>
      <c r="L322" s="22"/>
      <c r="M322" s="22"/>
      <c r="N322" s="22"/>
      <c r="O322" s="22"/>
      <c r="P322" s="22"/>
      <c r="Q322" s="22"/>
      <c r="R322" s="22"/>
      <c r="S322" s="22"/>
      <c r="T322" s="22"/>
      <c r="U322" s="22"/>
      <c r="V322" s="22"/>
      <c r="W322" s="22"/>
      <c r="X322" s="22"/>
      <c r="Y322" s="22"/>
      <c r="Z322" s="22"/>
      <c r="AA322" s="22"/>
      <c r="AB322" s="22"/>
      <c r="AC322" s="22"/>
      <c r="AD322" s="22"/>
      <c r="AE322" s="22"/>
      <c r="AF322" s="22"/>
      <c r="AG322" s="22"/>
      <c r="AH322" s="22"/>
      <c r="AI322" s="22"/>
      <c r="AJ322" s="22"/>
      <c r="AK322" s="22"/>
      <c r="AL322" s="22"/>
      <c r="AM322" s="22"/>
      <c r="AN322" s="22"/>
    </row>
    <row r="323" spans="1:40" x14ac:dyDescent="0.25">
      <c r="A323" s="22"/>
      <c r="B323" s="22"/>
      <c r="C323" s="22"/>
      <c r="D323" s="22"/>
      <c r="E323" s="22"/>
      <c r="F323" s="22"/>
      <c r="G323" s="22"/>
      <c r="H323" s="22"/>
      <c r="I323" s="22"/>
      <c r="J323" s="22"/>
      <c r="K323" s="22"/>
      <c r="L323" s="22"/>
      <c r="M323" s="22"/>
      <c r="N323" s="22"/>
      <c r="O323" s="22"/>
      <c r="P323" s="22"/>
      <c r="Q323" s="22"/>
      <c r="R323" s="22"/>
      <c r="S323" s="22"/>
      <c r="T323" s="22"/>
      <c r="U323" s="22"/>
      <c r="V323" s="22"/>
      <c r="W323" s="22"/>
      <c r="X323" s="22"/>
      <c r="Y323" s="22"/>
      <c r="Z323" s="22"/>
      <c r="AA323" s="22"/>
      <c r="AB323" s="22"/>
      <c r="AC323" s="22"/>
      <c r="AD323" s="22"/>
      <c r="AE323" s="22"/>
      <c r="AF323" s="22"/>
      <c r="AG323" s="22"/>
      <c r="AH323" s="22"/>
      <c r="AI323" s="22"/>
      <c r="AJ323" s="22"/>
      <c r="AK323" s="22"/>
      <c r="AL323" s="22"/>
      <c r="AM323" s="22"/>
      <c r="AN323" s="22"/>
    </row>
    <row r="324" spans="1:40" x14ac:dyDescent="0.25">
      <c r="A324" s="22"/>
      <c r="B324" s="22"/>
      <c r="C324" s="22"/>
      <c r="D324" s="22"/>
      <c r="E324" s="22"/>
      <c r="F324" s="22"/>
      <c r="G324" s="22"/>
      <c r="H324" s="22"/>
      <c r="I324" s="22"/>
      <c r="J324" s="22"/>
      <c r="K324" s="22"/>
      <c r="L324" s="22"/>
      <c r="M324" s="22"/>
      <c r="N324" s="22"/>
      <c r="O324" s="22"/>
      <c r="P324" s="22"/>
      <c r="Q324" s="22"/>
      <c r="R324" s="22"/>
      <c r="S324" s="22"/>
      <c r="T324" s="22"/>
      <c r="U324" s="22"/>
      <c r="V324" s="22"/>
      <c r="W324" s="22"/>
      <c r="X324" s="22"/>
      <c r="Y324" s="22"/>
      <c r="Z324" s="22"/>
      <c r="AA324" s="22"/>
      <c r="AB324" s="22"/>
      <c r="AC324" s="22"/>
      <c r="AD324" s="22"/>
      <c r="AE324" s="22"/>
      <c r="AF324" s="22"/>
      <c r="AG324" s="22"/>
      <c r="AH324" s="22"/>
      <c r="AI324" s="22"/>
      <c r="AJ324" s="22"/>
      <c r="AK324" s="22"/>
      <c r="AL324" s="22"/>
      <c r="AM324" s="22"/>
      <c r="AN324" s="22"/>
    </row>
    <row r="325" spans="1:40" x14ac:dyDescent="0.25">
      <c r="A325" s="22"/>
      <c r="B325" s="22"/>
      <c r="C325" s="22"/>
      <c r="D325" s="22"/>
      <c r="E325" s="22"/>
      <c r="F325" s="22"/>
      <c r="G325" s="22"/>
      <c r="H325" s="22"/>
      <c r="I325" s="22"/>
      <c r="J325" s="22"/>
      <c r="K325" s="22"/>
      <c r="L325" s="22"/>
      <c r="M325" s="22"/>
      <c r="N325" s="22"/>
      <c r="O325" s="22"/>
      <c r="P325" s="22"/>
      <c r="Q325" s="22"/>
      <c r="R325" s="22"/>
      <c r="S325" s="22"/>
      <c r="T325" s="22"/>
      <c r="U325" s="22"/>
      <c r="V325" s="22"/>
      <c r="W325" s="22"/>
      <c r="X325" s="22"/>
      <c r="Y325" s="22"/>
      <c r="Z325" s="22"/>
      <c r="AA325" s="22"/>
      <c r="AB325" s="22"/>
      <c r="AC325" s="22"/>
      <c r="AD325" s="22"/>
      <c r="AE325" s="22"/>
      <c r="AF325" s="22"/>
      <c r="AG325" s="22"/>
      <c r="AH325" s="22"/>
      <c r="AI325" s="22"/>
      <c r="AJ325" s="22"/>
      <c r="AK325" s="22"/>
      <c r="AL325" s="22"/>
      <c r="AM325" s="22"/>
      <c r="AN325" s="22"/>
    </row>
    <row r="326" spans="1:40" x14ac:dyDescent="0.25">
      <c r="A326" s="22"/>
      <c r="B326" s="22"/>
      <c r="C326" s="22"/>
      <c r="D326" s="22"/>
      <c r="E326" s="22"/>
      <c r="F326" s="22"/>
      <c r="G326" s="22"/>
      <c r="H326" s="22"/>
      <c r="I326" s="22"/>
      <c r="J326" s="22"/>
      <c r="K326" s="22"/>
      <c r="L326" s="22"/>
      <c r="M326" s="22"/>
      <c r="N326" s="22"/>
      <c r="O326" s="22"/>
      <c r="P326" s="22"/>
      <c r="Q326" s="22"/>
      <c r="R326" s="22"/>
      <c r="S326" s="22"/>
      <c r="T326" s="22"/>
      <c r="U326" s="22"/>
      <c r="V326" s="22"/>
      <c r="W326" s="22"/>
      <c r="X326" s="22"/>
      <c r="Y326" s="22"/>
      <c r="Z326" s="22"/>
      <c r="AA326" s="22"/>
      <c r="AB326" s="22"/>
      <c r="AC326" s="22"/>
      <c r="AD326" s="22"/>
      <c r="AE326" s="22"/>
      <c r="AF326" s="22"/>
      <c r="AG326" s="22"/>
      <c r="AH326" s="22"/>
      <c r="AI326" s="22"/>
      <c r="AJ326" s="22"/>
      <c r="AK326" s="22"/>
      <c r="AL326" s="22"/>
      <c r="AM326" s="22"/>
      <c r="AN326" s="22"/>
    </row>
    <row r="327" spans="1:40" x14ac:dyDescent="0.25">
      <c r="A327" s="22"/>
      <c r="B327" s="22"/>
      <c r="C327" s="22"/>
      <c r="D327" s="22"/>
      <c r="E327" s="22"/>
      <c r="F327" s="22"/>
      <c r="G327" s="22"/>
      <c r="H327" s="22"/>
      <c r="I327" s="22"/>
      <c r="J327" s="22"/>
      <c r="K327" s="22"/>
      <c r="L327" s="22"/>
      <c r="M327" s="22"/>
      <c r="N327" s="22"/>
      <c r="O327" s="22"/>
      <c r="P327" s="22"/>
      <c r="Q327" s="22"/>
      <c r="R327" s="22"/>
      <c r="S327" s="22"/>
      <c r="T327" s="22"/>
      <c r="U327" s="22"/>
      <c r="V327" s="22"/>
      <c r="W327" s="22"/>
      <c r="X327" s="22"/>
      <c r="Y327" s="22"/>
      <c r="Z327" s="22"/>
      <c r="AA327" s="22"/>
      <c r="AB327" s="22"/>
      <c r="AC327" s="22"/>
      <c r="AD327" s="22"/>
      <c r="AE327" s="22"/>
      <c r="AF327" s="22"/>
      <c r="AG327" s="22"/>
      <c r="AH327" s="22"/>
      <c r="AI327" s="22"/>
      <c r="AJ327" s="22"/>
      <c r="AK327" s="22"/>
      <c r="AL327" s="22"/>
      <c r="AM327" s="22"/>
      <c r="AN327" s="22"/>
    </row>
    <row r="328" spans="1:40" x14ac:dyDescent="0.25">
      <c r="A328" s="22"/>
      <c r="B328" s="22"/>
      <c r="C328" s="22"/>
      <c r="D328" s="22"/>
      <c r="E328" s="22"/>
      <c r="F328" s="22"/>
      <c r="G328" s="22"/>
      <c r="H328" s="22"/>
      <c r="I328" s="22"/>
      <c r="J328" s="22"/>
      <c r="K328" s="22"/>
      <c r="L328" s="22"/>
      <c r="M328" s="22"/>
      <c r="N328" s="22"/>
      <c r="O328" s="22"/>
      <c r="P328" s="22"/>
      <c r="Q328" s="22"/>
      <c r="R328" s="22"/>
      <c r="S328" s="22"/>
      <c r="T328" s="22"/>
      <c r="U328" s="22"/>
      <c r="V328" s="22"/>
      <c r="W328" s="22"/>
      <c r="X328" s="22"/>
      <c r="Y328" s="22"/>
      <c r="Z328" s="22"/>
      <c r="AA328" s="22"/>
      <c r="AB328" s="22"/>
      <c r="AC328" s="22"/>
      <c r="AD328" s="22"/>
      <c r="AE328" s="22"/>
      <c r="AF328" s="22"/>
      <c r="AG328" s="22"/>
      <c r="AH328" s="22"/>
      <c r="AI328" s="22"/>
      <c r="AJ328" s="22"/>
      <c r="AK328" s="22"/>
      <c r="AL328" s="22"/>
      <c r="AM328" s="22"/>
      <c r="AN328" s="22"/>
    </row>
    <row r="329" spans="1:40" x14ac:dyDescent="0.25">
      <c r="A329" s="22"/>
      <c r="B329" s="22"/>
      <c r="C329" s="22"/>
      <c r="D329" s="22"/>
      <c r="E329" s="22"/>
      <c r="F329" s="22"/>
      <c r="G329" s="22"/>
      <c r="H329" s="22"/>
      <c r="I329" s="22"/>
      <c r="J329" s="22"/>
      <c r="K329" s="22"/>
      <c r="L329" s="22"/>
      <c r="M329" s="22"/>
      <c r="N329" s="22"/>
      <c r="O329" s="22"/>
      <c r="P329" s="22"/>
      <c r="Q329" s="22"/>
      <c r="R329" s="22"/>
      <c r="S329" s="22"/>
      <c r="T329" s="22"/>
      <c r="U329" s="22"/>
      <c r="V329" s="22"/>
      <c r="W329" s="22"/>
      <c r="X329" s="22"/>
      <c r="Y329" s="22"/>
      <c r="Z329" s="22"/>
      <c r="AA329" s="22"/>
      <c r="AB329" s="22"/>
      <c r="AC329" s="22"/>
      <c r="AD329" s="22"/>
      <c r="AE329" s="22"/>
      <c r="AF329" s="22"/>
      <c r="AG329" s="22"/>
      <c r="AH329" s="22"/>
      <c r="AI329" s="22"/>
      <c r="AJ329" s="22"/>
      <c r="AK329" s="22"/>
      <c r="AL329" s="22"/>
      <c r="AM329" s="22"/>
      <c r="AN329" s="22"/>
    </row>
    <row r="330" spans="1:40" x14ac:dyDescent="0.25">
      <c r="A330" s="22"/>
      <c r="B330" s="22"/>
      <c r="C330" s="22"/>
      <c r="D330" s="22"/>
      <c r="E330" s="22"/>
      <c r="F330" s="22"/>
      <c r="G330" s="22"/>
      <c r="H330" s="22"/>
      <c r="I330" s="22"/>
      <c r="J330" s="22"/>
      <c r="K330" s="22"/>
      <c r="L330" s="22"/>
      <c r="M330" s="22"/>
      <c r="N330" s="22"/>
      <c r="O330" s="22"/>
      <c r="P330" s="22"/>
      <c r="Q330" s="22"/>
      <c r="R330" s="22"/>
      <c r="S330" s="22"/>
      <c r="T330" s="22"/>
      <c r="U330" s="22"/>
      <c r="V330" s="22"/>
      <c r="W330" s="22"/>
      <c r="X330" s="22"/>
      <c r="Y330" s="22"/>
      <c r="Z330" s="22"/>
      <c r="AA330" s="22"/>
      <c r="AB330" s="22"/>
      <c r="AC330" s="22"/>
      <c r="AD330" s="22"/>
      <c r="AE330" s="22"/>
      <c r="AF330" s="22"/>
      <c r="AG330" s="22"/>
      <c r="AH330" s="22"/>
      <c r="AI330" s="22"/>
      <c r="AJ330" s="22"/>
      <c r="AK330" s="22"/>
      <c r="AL330" s="22"/>
      <c r="AM330" s="22"/>
      <c r="AN330" s="22"/>
    </row>
    <row r="331" spans="1:40" x14ac:dyDescent="0.25">
      <c r="A331" s="22"/>
      <c r="B331" s="22"/>
      <c r="C331" s="22"/>
      <c r="D331" s="22"/>
      <c r="E331" s="22"/>
      <c r="F331" s="22"/>
      <c r="G331" s="22"/>
      <c r="H331" s="22"/>
      <c r="I331" s="22"/>
      <c r="J331" s="22"/>
      <c r="K331" s="22"/>
      <c r="L331" s="22"/>
      <c r="M331" s="22"/>
      <c r="N331" s="22"/>
      <c r="O331" s="22"/>
      <c r="P331" s="22"/>
      <c r="Q331" s="22"/>
      <c r="R331" s="22"/>
      <c r="S331" s="22"/>
      <c r="T331" s="22"/>
      <c r="U331" s="22"/>
      <c r="V331" s="22"/>
      <c r="W331" s="22"/>
      <c r="X331" s="22"/>
      <c r="Y331" s="22"/>
      <c r="Z331" s="22"/>
      <c r="AA331" s="22"/>
      <c r="AB331" s="22"/>
      <c r="AC331" s="22"/>
      <c r="AD331" s="22"/>
      <c r="AE331" s="22"/>
      <c r="AF331" s="22"/>
      <c r="AG331" s="22"/>
      <c r="AH331" s="22"/>
      <c r="AI331" s="22"/>
      <c r="AJ331" s="22"/>
      <c r="AK331" s="22"/>
      <c r="AL331" s="22"/>
      <c r="AM331" s="22"/>
      <c r="AN331" s="22"/>
    </row>
    <row r="332" spans="1:40" x14ac:dyDescent="0.25">
      <c r="A332" s="22"/>
      <c r="B332" s="22"/>
      <c r="C332" s="22"/>
      <c r="D332" s="22"/>
      <c r="E332" s="22"/>
      <c r="F332" s="22"/>
      <c r="G332" s="22"/>
      <c r="H332" s="22"/>
      <c r="I332" s="22"/>
      <c r="J332" s="22"/>
      <c r="K332" s="22"/>
      <c r="L332" s="22"/>
      <c r="M332" s="22"/>
      <c r="N332" s="22"/>
      <c r="O332" s="22"/>
      <c r="P332" s="22"/>
      <c r="Q332" s="22"/>
      <c r="R332" s="22"/>
      <c r="S332" s="22"/>
      <c r="T332" s="22"/>
      <c r="U332" s="22"/>
      <c r="V332" s="22"/>
      <c r="W332" s="22"/>
      <c r="X332" s="22"/>
      <c r="Y332" s="22"/>
      <c r="Z332" s="22"/>
      <c r="AA332" s="22"/>
      <c r="AB332" s="22"/>
      <c r="AC332" s="22"/>
      <c r="AD332" s="22"/>
      <c r="AE332" s="22"/>
      <c r="AF332" s="22"/>
      <c r="AG332" s="22"/>
      <c r="AH332" s="22"/>
      <c r="AI332" s="22"/>
      <c r="AJ332" s="22"/>
      <c r="AK332" s="22"/>
      <c r="AL332" s="22"/>
      <c r="AM332" s="22"/>
      <c r="AN332" s="22"/>
    </row>
    <row r="333" spans="1:40" x14ac:dyDescent="0.25">
      <c r="A333" s="22"/>
      <c r="B333" s="22"/>
      <c r="C333" s="22"/>
      <c r="D333" s="22"/>
      <c r="E333" s="22"/>
      <c r="F333" s="22"/>
      <c r="G333" s="22"/>
      <c r="H333" s="22"/>
      <c r="I333" s="22"/>
      <c r="J333" s="22"/>
      <c r="K333" s="22"/>
      <c r="L333" s="22"/>
      <c r="M333" s="22"/>
      <c r="N333" s="22"/>
      <c r="O333" s="22"/>
      <c r="P333" s="22"/>
      <c r="Q333" s="22"/>
      <c r="R333" s="22"/>
      <c r="S333" s="22"/>
      <c r="T333" s="22"/>
      <c r="U333" s="22"/>
      <c r="V333" s="22"/>
      <c r="W333" s="22"/>
      <c r="X333" s="22"/>
      <c r="Y333" s="22"/>
      <c r="Z333" s="22"/>
      <c r="AA333" s="22"/>
      <c r="AB333" s="22"/>
      <c r="AC333" s="22"/>
      <c r="AD333" s="22"/>
      <c r="AE333" s="22"/>
      <c r="AF333" s="22"/>
      <c r="AG333" s="22"/>
      <c r="AH333" s="22"/>
      <c r="AI333" s="22"/>
      <c r="AJ333" s="22"/>
      <c r="AK333" s="22"/>
      <c r="AL333" s="22"/>
      <c r="AM333" s="22"/>
      <c r="AN333" s="22"/>
    </row>
    <row r="334" spans="1:40" x14ac:dyDescent="0.25">
      <c r="A334" s="22"/>
      <c r="B334" s="22"/>
      <c r="C334" s="22"/>
      <c r="D334" s="22"/>
      <c r="E334" s="22"/>
      <c r="F334" s="22"/>
      <c r="G334" s="22"/>
      <c r="H334" s="22"/>
      <c r="I334" s="22"/>
      <c r="J334" s="22"/>
      <c r="K334" s="22"/>
      <c r="L334" s="22"/>
      <c r="M334" s="22"/>
      <c r="N334" s="22"/>
      <c r="O334" s="22"/>
      <c r="P334" s="22"/>
      <c r="Q334" s="22"/>
      <c r="R334" s="22"/>
      <c r="S334" s="22"/>
      <c r="T334" s="22"/>
      <c r="U334" s="22"/>
      <c r="V334" s="22"/>
      <c r="W334" s="22"/>
      <c r="X334" s="22"/>
      <c r="Y334" s="22"/>
      <c r="Z334" s="22"/>
      <c r="AA334" s="22"/>
      <c r="AB334" s="22"/>
      <c r="AC334" s="22"/>
      <c r="AD334" s="22"/>
      <c r="AE334" s="22"/>
      <c r="AF334" s="22"/>
      <c r="AG334" s="22"/>
      <c r="AH334" s="22"/>
      <c r="AI334" s="22"/>
      <c r="AJ334" s="22"/>
      <c r="AK334" s="22"/>
      <c r="AL334" s="22"/>
      <c r="AM334" s="22"/>
      <c r="AN334" s="22"/>
    </row>
    <row r="335" spans="1:40" x14ac:dyDescent="0.25">
      <c r="A335" s="22"/>
      <c r="B335" s="22"/>
      <c r="C335" s="22"/>
      <c r="D335" s="22"/>
      <c r="E335" s="22"/>
      <c r="F335" s="22"/>
      <c r="G335" s="22"/>
      <c r="H335" s="22"/>
      <c r="I335" s="22"/>
      <c r="J335" s="22"/>
      <c r="K335" s="22"/>
      <c r="L335" s="22"/>
      <c r="M335" s="22"/>
      <c r="N335" s="22"/>
      <c r="O335" s="22"/>
      <c r="P335" s="22"/>
      <c r="Q335" s="22"/>
      <c r="R335" s="22"/>
      <c r="S335" s="22"/>
      <c r="T335" s="22"/>
      <c r="U335" s="22"/>
      <c r="V335" s="22"/>
      <c r="W335" s="22"/>
      <c r="X335" s="22"/>
      <c r="Y335" s="22"/>
      <c r="Z335" s="22"/>
      <c r="AA335" s="22"/>
      <c r="AB335" s="22"/>
      <c r="AC335" s="22"/>
      <c r="AD335" s="22"/>
      <c r="AE335" s="22"/>
      <c r="AF335" s="22"/>
      <c r="AG335" s="22"/>
      <c r="AH335" s="22"/>
      <c r="AI335" s="22"/>
      <c r="AJ335" s="22"/>
      <c r="AK335" s="22"/>
      <c r="AL335" s="22"/>
      <c r="AM335" s="22"/>
      <c r="AN335" s="22"/>
    </row>
    <row r="336" spans="1:40" x14ac:dyDescent="0.25">
      <c r="A336" s="22"/>
      <c r="B336" s="22"/>
      <c r="C336" s="22"/>
      <c r="D336" s="22"/>
      <c r="E336" s="22"/>
      <c r="F336" s="22"/>
      <c r="G336" s="22"/>
      <c r="H336" s="22"/>
      <c r="I336" s="22"/>
      <c r="J336" s="22"/>
      <c r="K336" s="22"/>
      <c r="L336" s="22"/>
      <c r="M336" s="22"/>
      <c r="N336" s="22"/>
      <c r="O336" s="22"/>
      <c r="P336" s="22"/>
      <c r="Q336" s="22"/>
      <c r="R336" s="22"/>
      <c r="S336" s="22"/>
      <c r="T336" s="22"/>
      <c r="U336" s="22"/>
      <c r="V336" s="22"/>
      <c r="W336" s="22"/>
      <c r="X336" s="22"/>
      <c r="Y336" s="22"/>
      <c r="Z336" s="22"/>
      <c r="AA336" s="22"/>
      <c r="AB336" s="22"/>
      <c r="AC336" s="22"/>
      <c r="AD336" s="22"/>
      <c r="AE336" s="22"/>
      <c r="AF336" s="22"/>
      <c r="AG336" s="22"/>
      <c r="AH336" s="22"/>
      <c r="AI336" s="22"/>
      <c r="AJ336" s="22"/>
      <c r="AK336" s="22"/>
      <c r="AL336" s="22"/>
      <c r="AM336" s="22"/>
      <c r="AN336" s="22"/>
    </row>
    <row r="337" spans="1:40" x14ac:dyDescent="0.25">
      <c r="A337" s="22"/>
      <c r="B337" s="22"/>
      <c r="C337" s="22"/>
      <c r="D337" s="22"/>
      <c r="E337" s="22"/>
      <c r="F337" s="22"/>
      <c r="G337" s="22"/>
      <c r="H337" s="22"/>
      <c r="I337" s="22"/>
      <c r="J337" s="22"/>
      <c r="K337" s="22"/>
      <c r="L337" s="22"/>
      <c r="M337" s="22"/>
      <c r="N337" s="22"/>
      <c r="O337" s="22"/>
      <c r="P337" s="22"/>
      <c r="Q337" s="22"/>
      <c r="R337" s="22"/>
      <c r="S337" s="22"/>
      <c r="T337" s="22"/>
      <c r="U337" s="22"/>
      <c r="V337" s="22"/>
      <c r="W337" s="22"/>
      <c r="X337" s="22"/>
      <c r="Y337" s="22"/>
      <c r="Z337" s="22"/>
      <c r="AA337" s="22"/>
      <c r="AB337" s="22"/>
      <c r="AC337" s="22"/>
      <c r="AD337" s="22"/>
      <c r="AE337" s="22"/>
      <c r="AF337" s="22"/>
      <c r="AG337" s="22"/>
      <c r="AH337" s="22"/>
      <c r="AI337" s="22"/>
      <c r="AJ337" s="22"/>
      <c r="AK337" s="22"/>
      <c r="AL337" s="22"/>
      <c r="AM337" s="22"/>
      <c r="AN337" s="22"/>
    </row>
    <row r="338" spans="1:40" x14ac:dyDescent="0.25">
      <c r="A338" s="22"/>
      <c r="B338" s="22"/>
      <c r="C338" s="22"/>
      <c r="D338" s="22"/>
      <c r="E338" s="22"/>
      <c r="F338" s="22"/>
      <c r="G338" s="22"/>
      <c r="H338" s="22"/>
      <c r="I338" s="22"/>
      <c r="J338" s="22"/>
      <c r="K338" s="22"/>
      <c r="L338" s="22"/>
      <c r="M338" s="22"/>
      <c r="N338" s="22"/>
      <c r="O338" s="22"/>
      <c r="P338" s="22"/>
      <c r="Q338" s="22"/>
      <c r="R338" s="22"/>
      <c r="S338" s="22"/>
      <c r="T338" s="22"/>
      <c r="U338" s="22"/>
      <c r="V338" s="22"/>
      <c r="W338" s="22"/>
      <c r="X338" s="22"/>
      <c r="Y338" s="22"/>
      <c r="Z338" s="22"/>
      <c r="AA338" s="22"/>
      <c r="AB338" s="22"/>
      <c r="AC338" s="22"/>
      <c r="AD338" s="22"/>
      <c r="AE338" s="22"/>
      <c r="AF338" s="22"/>
      <c r="AG338" s="22"/>
      <c r="AH338" s="22"/>
      <c r="AI338" s="22"/>
      <c r="AJ338" s="22"/>
      <c r="AK338" s="22"/>
      <c r="AL338" s="22"/>
      <c r="AM338" s="22"/>
      <c r="AN338" s="22"/>
    </row>
    <row r="339" spans="1:40" x14ac:dyDescent="0.25">
      <c r="A339" s="22"/>
      <c r="B339" s="22"/>
      <c r="C339" s="22"/>
      <c r="D339" s="22"/>
      <c r="E339" s="22"/>
      <c r="F339" s="22"/>
      <c r="G339" s="22"/>
      <c r="H339" s="22"/>
      <c r="I339" s="22"/>
      <c r="J339" s="22"/>
      <c r="K339" s="22"/>
      <c r="L339" s="22"/>
      <c r="M339" s="22"/>
      <c r="N339" s="22"/>
      <c r="O339" s="22"/>
      <c r="P339" s="22"/>
      <c r="Q339" s="22"/>
      <c r="R339" s="22"/>
      <c r="S339" s="22"/>
      <c r="T339" s="22"/>
      <c r="U339" s="22"/>
      <c r="V339" s="22"/>
      <c r="W339" s="22"/>
      <c r="X339" s="22"/>
      <c r="Y339" s="22"/>
      <c r="Z339" s="22"/>
      <c r="AA339" s="22"/>
      <c r="AB339" s="22"/>
      <c r="AC339" s="22"/>
      <c r="AD339" s="22"/>
      <c r="AE339" s="22"/>
      <c r="AF339" s="22"/>
      <c r="AG339" s="22"/>
      <c r="AH339" s="22"/>
      <c r="AI339" s="22"/>
      <c r="AJ339" s="22"/>
      <c r="AK339" s="22"/>
      <c r="AL339" s="22"/>
      <c r="AM339" s="22"/>
      <c r="AN339" s="22"/>
    </row>
    <row r="340" spans="1:40" x14ac:dyDescent="0.25">
      <c r="A340" s="22"/>
      <c r="B340" s="22"/>
      <c r="C340" s="22"/>
      <c r="D340" s="22"/>
      <c r="E340" s="22"/>
      <c r="F340" s="22"/>
      <c r="G340" s="22"/>
      <c r="H340" s="22"/>
      <c r="I340" s="22"/>
      <c r="J340" s="22"/>
      <c r="K340" s="22"/>
      <c r="L340" s="22"/>
      <c r="M340" s="22"/>
      <c r="N340" s="22"/>
      <c r="O340" s="22"/>
      <c r="P340" s="22"/>
      <c r="Q340" s="22"/>
      <c r="R340" s="22"/>
      <c r="S340" s="22"/>
      <c r="T340" s="22"/>
      <c r="U340" s="22"/>
      <c r="V340" s="22"/>
      <c r="W340" s="22"/>
      <c r="X340" s="22"/>
      <c r="Y340" s="22"/>
      <c r="Z340" s="22"/>
      <c r="AA340" s="22"/>
      <c r="AB340" s="22"/>
      <c r="AC340" s="22"/>
      <c r="AD340" s="22"/>
      <c r="AE340" s="22"/>
      <c r="AF340" s="22"/>
      <c r="AG340" s="22"/>
      <c r="AH340" s="22"/>
      <c r="AI340" s="22"/>
      <c r="AJ340" s="22"/>
      <c r="AK340" s="22"/>
      <c r="AL340" s="22"/>
      <c r="AM340" s="22"/>
      <c r="AN340" s="22"/>
    </row>
    <row r="341" spans="1:40" x14ac:dyDescent="0.25">
      <c r="A341" s="22"/>
      <c r="B341" s="22"/>
      <c r="C341" s="22"/>
      <c r="D341" s="22"/>
      <c r="E341" s="22"/>
      <c r="F341" s="22"/>
      <c r="G341" s="22"/>
      <c r="H341" s="22"/>
      <c r="I341" s="22"/>
      <c r="J341" s="22"/>
      <c r="K341" s="22"/>
      <c r="L341" s="22"/>
      <c r="M341" s="22"/>
      <c r="N341" s="22"/>
      <c r="O341" s="22"/>
      <c r="P341" s="22"/>
      <c r="Q341" s="22"/>
      <c r="R341" s="22"/>
      <c r="S341" s="22"/>
      <c r="T341" s="22"/>
      <c r="U341" s="22"/>
      <c r="V341" s="22"/>
      <c r="W341" s="22"/>
      <c r="X341" s="22"/>
      <c r="Y341" s="22"/>
      <c r="Z341" s="22"/>
      <c r="AA341" s="22"/>
      <c r="AB341" s="22"/>
      <c r="AC341" s="22"/>
      <c r="AD341" s="22"/>
      <c r="AE341" s="22"/>
      <c r="AF341" s="22"/>
      <c r="AG341" s="22"/>
      <c r="AH341" s="22"/>
      <c r="AI341" s="22"/>
      <c r="AJ341" s="22"/>
      <c r="AK341" s="22"/>
      <c r="AL341" s="22"/>
      <c r="AM341" s="22"/>
      <c r="AN341" s="22"/>
    </row>
    <row r="342" spans="1:40" x14ac:dyDescent="0.25">
      <c r="A342" s="22"/>
      <c r="B342" s="22"/>
      <c r="C342" s="22"/>
      <c r="D342" s="22"/>
      <c r="E342" s="22"/>
      <c r="F342" s="22"/>
      <c r="G342" s="22"/>
      <c r="H342" s="22"/>
      <c r="I342" s="22"/>
      <c r="J342" s="22"/>
      <c r="K342" s="22"/>
      <c r="L342" s="22"/>
      <c r="M342" s="22"/>
      <c r="N342" s="22"/>
      <c r="O342" s="22"/>
      <c r="P342" s="22"/>
      <c r="Q342" s="22"/>
      <c r="R342" s="22"/>
      <c r="S342" s="22"/>
      <c r="T342" s="22"/>
      <c r="U342" s="22"/>
      <c r="V342" s="22"/>
      <c r="W342" s="22"/>
      <c r="X342" s="22"/>
      <c r="Y342" s="22"/>
      <c r="Z342" s="22"/>
      <c r="AA342" s="22"/>
      <c r="AB342" s="22"/>
      <c r="AC342" s="22"/>
      <c r="AD342" s="22"/>
      <c r="AE342" s="22"/>
      <c r="AF342" s="22"/>
      <c r="AG342" s="22"/>
      <c r="AH342" s="22"/>
      <c r="AI342" s="22"/>
      <c r="AJ342" s="22"/>
      <c r="AK342" s="22"/>
      <c r="AL342" s="22"/>
      <c r="AM342" s="22"/>
      <c r="AN342" s="22"/>
    </row>
    <row r="343" spans="1:40" x14ac:dyDescent="0.25">
      <c r="A343" s="22"/>
      <c r="B343" s="22"/>
      <c r="C343" s="22"/>
      <c r="D343" s="22"/>
      <c r="E343" s="22"/>
      <c r="F343" s="22"/>
      <c r="G343" s="22"/>
      <c r="H343" s="22"/>
      <c r="I343" s="22"/>
      <c r="J343" s="22"/>
      <c r="K343" s="22"/>
      <c r="L343" s="22"/>
      <c r="M343" s="22"/>
      <c r="N343" s="22"/>
      <c r="O343" s="22"/>
      <c r="P343" s="22"/>
      <c r="Q343" s="22"/>
      <c r="R343" s="22"/>
      <c r="S343" s="22"/>
      <c r="T343" s="22"/>
      <c r="U343" s="22"/>
      <c r="V343" s="22"/>
      <c r="W343" s="22"/>
      <c r="X343" s="22"/>
      <c r="Y343" s="22"/>
      <c r="Z343" s="22"/>
      <c r="AA343" s="22"/>
      <c r="AB343" s="22"/>
      <c r="AC343" s="22"/>
      <c r="AD343" s="22"/>
      <c r="AE343" s="22"/>
      <c r="AF343" s="22"/>
      <c r="AG343" s="22"/>
      <c r="AH343" s="22"/>
      <c r="AI343" s="22"/>
      <c r="AJ343" s="22"/>
      <c r="AK343" s="22"/>
      <c r="AL343" s="22"/>
      <c r="AM343" s="22"/>
      <c r="AN343" s="22"/>
    </row>
    <row r="344" spans="1:40" x14ac:dyDescent="0.25">
      <c r="A344" s="22"/>
      <c r="B344" s="22"/>
      <c r="C344" s="22"/>
      <c r="D344" s="22"/>
      <c r="E344" s="22"/>
      <c r="F344" s="22"/>
      <c r="G344" s="22"/>
      <c r="H344" s="22"/>
      <c r="I344" s="22"/>
      <c r="J344" s="22"/>
      <c r="K344" s="22"/>
      <c r="L344" s="22"/>
      <c r="M344" s="22"/>
      <c r="N344" s="22"/>
      <c r="O344" s="22"/>
      <c r="P344" s="22"/>
      <c r="Q344" s="22"/>
      <c r="R344" s="22"/>
      <c r="S344" s="22"/>
      <c r="T344" s="22"/>
      <c r="U344" s="22"/>
      <c r="V344" s="22"/>
      <c r="W344" s="22"/>
      <c r="X344" s="22"/>
      <c r="Y344" s="22"/>
      <c r="Z344" s="22"/>
      <c r="AA344" s="22"/>
      <c r="AB344" s="22"/>
      <c r="AC344" s="22"/>
      <c r="AD344" s="22"/>
      <c r="AE344" s="22"/>
      <c r="AF344" s="22"/>
      <c r="AG344" s="22"/>
      <c r="AH344" s="22"/>
      <c r="AI344" s="22"/>
      <c r="AJ344" s="22"/>
      <c r="AK344" s="22"/>
      <c r="AL344" s="22"/>
      <c r="AM344" s="22"/>
      <c r="AN344" s="22"/>
    </row>
    <row r="345" spans="1:40" x14ac:dyDescent="0.25">
      <c r="A345" s="22"/>
      <c r="B345" s="22"/>
      <c r="C345" s="22"/>
      <c r="D345" s="22"/>
      <c r="E345" s="22"/>
      <c r="F345" s="22"/>
      <c r="G345" s="22"/>
      <c r="H345" s="22"/>
      <c r="I345" s="22"/>
      <c r="J345" s="22"/>
      <c r="K345" s="22"/>
      <c r="L345" s="22"/>
      <c r="M345" s="22"/>
      <c r="N345" s="22"/>
      <c r="O345" s="22"/>
      <c r="P345" s="22"/>
      <c r="Q345" s="22"/>
      <c r="R345" s="22"/>
      <c r="S345" s="22"/>
      <c r="T345" s="22"/>
      <c r="U345" s="22"/>
      <c r="V345" s="22"/>
      <c r="W345" s="22"/>
      <c r="X345" s="22"/>
      <c r="Y345" s="22"/>
      <c r="Z345" s="22"/>
      <c r="AA345" s="22"/>
      <c r="AB345" s="22"/>
      <c r="AC345" s="22"/>
      <c r="AD345" s="22"/>
      <c r="AE345" s="22"/>
      <c r="AF345" s="22"/>
      <c r="AG345" s="22"/>
      <c r="AH345" s="22"/>
      <c r="AI345" s="22"/>
      <c r="AJ345" s="22"/>
      <c r="AK345" s="22"/>
      <c r="AL345" s="22"/>
      <c r="AM345" s="22"/>
      <c r="AN345" s="22"/>
    </row>
    <row r="346" spans="1:40" x14ac:dyDescent="0.25">
      <c r="A346" s="22"/>
      <c r="B346" s="22"/>
      <c r="C346" s="22"/>
      <c r="D346" s="22"/>
      <c r="E346" s="22"/>
      <c r="F346" s="22"/>
      <c r="G346" s="22"/>
      <c r="H346" s="22"/>
      <c r="I346" s="22"/>
      <c r="J346" s="22"/>
      <c r="K346" s="22"/>
      <c r="L346" s="22"/>
      <c r="M346" s="22"/>
      <c r="N346" s="22"/>
      <c r="O346" s="22"/>
      <c r="P346" s="22"/>
      <c r="Q346" s="22"/>
      <c r="R346" s="22"/>
      <c r="S346" s="22"/>
      <c r="T346" s="22"/>
      <c r="U346" s="22"/>
      <c r="V346" s="22"/>
      <c r="W346" s="22"/>
      <c r="X346" s="22"/>
      <c r="Y346" s="22"/>
      <c r="Z346" s="22"/>
      <c r="AA346" s="22"/>
      <c r="AB346" s="22"/>
      <c r="AC346" s="22"/>
      <c r="AD346" s="22"/>
      <c r="AE346" s="22"/>
      <c r="AF346" s="22"/>
      <c r="AG346" s="22"/>
      <c r="AH346" s="22"/>
      <c r="AI346" s="22"/>
      <c r="AJ346" s="22"/>
      <c r="AK346" s="22"/>
      <c r="AL346" s="22"/>
      <c r="AM346" s="22"/>
      <c r="AN346" s="22"/>
    </row>
    <row r="347" spans="1:40" x14ac:dyDescent="0.25">
      <c r="A347" s="22"/>
      <c r="B347" s="22"/>
      <c r="C347" s="22"/>
      <c r="D347" s="22"/>
      <c r="E347" s="22"/>
      <c r="F347" s="22"/>
      <c r="G347" s="22"/>
      <c r="H347" s="22"/>
      <c r="I347" s="22"/>
      <c r="J347" s="22"/>
      <c r="K347" s="22"/>
      <c r="L347" s="22"/>
      <c r="M347" s="22"/>
      <c r="N347" s="22"/>
      <c r="O347" s="22"/>
      <c r="P347" s="22"/>
      <c r="Q347" s="22"/>
      <c r="R347" s="22"/>
      <c r="S347" s="22"/>
      <c r="T347" s="22"/>
      <c r="U347" s="22"/>
      <c r="V347" s="22"/>
      <c r="W347" s="22"/>
      <c r="X347" s="22"/>
      <c r="Y347" s="22"/>
      <c r="Z347" s="22"/>
      <c r="AA347" s="22"/>
      <c r="AB347" s="22"/>
      <c r="AC347" s="22"/>
      <c r="AD347" s="22"/>
      <c r="AE347" s="22"/>
      <c r="AF347" s="22"/>
      <c r="AG347" s="22"/>
      <c r="AH347" s="22"/>
      <c r="AI347" s="22"/>
      <c r="AJ347" s="22"/>
      <c r="AK347" s="22"/>
      <c r="AL347" s="22"/>
      <c r="AM347" s="22"/>
      <c r="AN347" s="22"/>
    </row>
    <row r="348" spans="1:40" x14ac:dyDescent="0.25">
      <c r="A348" s="22"/>
      <c r="B348" s="22"/>
      <c r="C348" s="22"/>
      <c r="D348" s="22"/>
      <c r="E348" s="22"/>
      <c r="F348" s="22"/>
      <c r="G348" s="22"/>
      <c r="H348" s="22"/>
      <c r="I348" s="22"/>
      <c r="J348" s="22"/>
      <c r="K348" s="22"/>
      <c r="L348" s="22"/>
      <c r="M348" s="22"/>
      <c r="N348" s="22"/>
      <c r="O348" s="22"/>
      <c r="P348" s="22"/>
      <c r="Q348" s="22"/>
      <c r="R348" s="22"/>
      <c r="S348" s="22"/>
      <c r="T348" s="22"/>
      <c r="U348" s="22"/>
      <c r="V348" s="22"/>
      <c r="W348" s="22"/>
      <c r="X348" s="22"/>
      <c r="Y348" s="22"/>
      <c r="Z348" s="22"/>
      <c r="AA348" s="22"/>
      <c r="AB348" s="22"/>
      <c r="AC348" s="22"/>
      <c r="AD348" s="22"/>
      <c r="AE348" s="22"/>
      <c r="AF348" s="22"/>
      <c r="AG348" s="22"/>
      <c r="AH348" s="22"/>
      <c r="AI348" s="22"/>
      <c r="AJ348" s="22"/>
      <c r="AK348" s="22"/>
      <c r="AL348" s="22"/>
      <c r="AM348" s="22"/>
      <c r="AN348" s="22"/>
    </row>
    <row r="349" spans="1:40" x14ac:dyDescent="0.25">
      <c r="A349" s="22"/>
      <c r="B349" s="22"/>
      <c r="C349" s="22"/>
      <c r="D349" s="22"/>
      <c r="E349" s="22"/>
      <c r="F349" s="22"/>
      <c r="G349" s="22"/>
      <c r="H349" s="22"/>
      <c r="I349" s="22"/>
      <c r="J349" s="22"/>
      <c r="K349" s="22"/>
      <c r="L349" s="22"/>
      <c r="M349" s="22"/>
      <c r="N349" s="22"/>
      <c r="O349" s="22"/>
      <c r="P349" s="22"/>
      <c r="Q349" s="22"/>
      <c r="R349" s="22"/>
      <c r="S349" s="22"/>
      <c r="T349" s="22"/>
      <c r="U349" s="22"/>
      <c r="V349" s="22"/>
      <c r="W349" s="22"/>
      <c r="X349" s="22"/>
      <c r="Y349" s="22"/>
      <c r="Z349" s="22"/>
      <c r="AA349" s="22"/>
      <c r="AB349" s="22"/>
      <c r="AC349" s="22"/>
      <c r="AD349" s="22"/>
      <c r="AE349" s="22"/>
      <c r="AF349" s="22"/>
      <c r="AG349" s="22"/>
      <c r="AH349" s="22"/>
      <c r="AI349" s="22"/>
      <c r="AJ349" s="22"/>
      <c r="AK349" s="22"/>
      <c r="AL349" s="22"/>
      <c r="AM349" s="22"/>
      <c r="AN349" s="22"/>
    </row>
    <row r="350" spans="1:40" x14ac:dyDescent="0.25">
      <c r="A350" s="22"/>
      <c r="B350" s="22"/>
      <c r="C350" s="22"/>
      <c r="D350" s="22"/>
      <c r="E350" s="22"/>
      <c r="F350" s="22"/>
      <c r="G350" s="22"/>
      <c r="H350" s="22"/>
      <c r="I350" s="22"/>
      <c r="J350" s="22"/>
      <c r="K350" s="22"/>
      <c r="L350" s="22"/>
      <c r="M350" s="22"/>
      <c r="N350" s="22"/>
      <c r="O350" s="22"/>
      <c r="P350" s="22"/>
      <c r="Q350" s="22"/>
      <c r="R350" s="22"/>
      <c r="S350" s="22"/>
      <c r="T350" s="22"/>
      <c r="U350" s="22"/>
      <c r="V350" s="22"/>
      <c r="W350" s="22"/>
      <c r="X350" s="22"/>
      <c r="Y350" s="22"/>
      <c r="Z350" s="22"/>
      <c r="AA350" s="22"/>
      <c r="AB350" s="22"/>
      <c r="AC350" s="22"/>
      <c r="AD350" s="22"/>
      <c r="AE350" s="22"/>
      <c r="AF350" s="22"/>
      <c r="AG350" s="22"/>
      <c r="AH350" s="22"/>
      <c r="AI350" s="22"/>
      <c r="AJ350" s="22"/>
      <c r="AK350" s="22"/>
      <c r="AL350" s="22"/>
      <c r="AM350" s="22"/>
      <c r="AN350" s="22"/>
    </row>
    <row r="351" spans="1:40" x14ac:dyDescent="0.25">
      <c r="A351" s="22"/>
      <c r="B351" s="22"/>
      <c r="C351" s="22"/>
      <c r="D351" s="22"/>
      <c r="E351" s="22"/>
      <c r="F351" s="22"/>
      <c r="G351" s="22"/>
      <c r="H351" s="22"/>
      <c r="I351" s="22"/>
      <c r="J351" s="22"/>
      <c r="K351" s="22"/>
      <c r="L351" s="22"/>
      <c r="M351" s="22"/>
      <c r="N351" s="22"/>
      <c r="O351" s="22"/>
      <c r="P351" s="22"/>
      <c r="Q351" s="22"/>
      <c r="R351" s="22"/>
      <c r="S351" s="22"/>
      <c r="T351" s="22"/>
      <c r="U351" s="22"/>
      <c r="V351" s="22"/>
      <c r="W351" s="22"/>
      <c r="X351" s="22"/>
      <c r="Y351" s="22"/>
      <c r="Z351" s="22"/>
      <c r="AA351" s="22"/>
      <c r="AB351" s="22"/>
      <c r="AC351" s="22"/>
      <c r="AD351" s="22"/>
      <c r="AE351" s="22"/>
      <c r="AF351" s="22"/>
      <c r="AG351" s="22"/>
      <c r="AH351" s="22"/>
      <c r="AI351" s="22"/>
      <c r="AJ351" s="22"/>
      <c r="AK351" s="22"/>
      <c r="AL351" s="22"/>
      <c r="AM351" s="22"/>
      <c r="AN351" s="22"/>
    </row>
    <row r="352" spans="1:40" x14ac:dyDescent="0.25">
      <c r="A352" s="22"/>
      <c r="B352" s="22"/>
      <c r="C352" s="22"/>
      <c r="D352" s="22"/>
      <c r="E352" s="22"/>
      <c r="F352" s="22"/>
      <c r="G352" s="22"/>
      <c r="H352" s="22"/>
      <c r="I352" s="22"/>
      <c r="J352" s="22"/>
      <c r="K352" s="22"/>
      <c r="L352" s="22"/>
      <c r="M352" s="22"/>
      <c r="N352" s="22"/>
      <c r="O352" s="22"/>
      <c r="P352" s="22"/>
      <c r="Q352" s="22"/>
      <c r="R352" s="22"/>
      <c r="S352" s="22"/>
      <c r="T352" s="22"/>
      <c r="U352" s="22"/>
      <c r="V352" s="22"/>
      <c r="W352" s="22"/>
      <c r="X352" s="22"/>
      <c r="Y352" s="22"/>
      <c r="Z352" s="22"/>
      <c r="AA352" s="22"/>
      <c r="AB352" s="22"/>
      <c r="AC352" s="22"/>
      <c r="AD352" s="22"/>
      <c r="AE352" s="22"/>
      <c r="AF352" s="22"/>
      <c r="AG352" s="22"/>
      <c r="AH352" s="22"/>
      <c r="AI352" s="22"/>
      <c r="AJ352" s="22"/>
      <c r="AK352" s="22"/>
      <c r="AL352" s="22"/>
      <c r="AM352" s="22"/>
      <c r="AN352" s="22"/>
    </row>
    <row r="353" spans="1:40" x14ac:dyDescent="0.25">
      <c r="A353" s="22"/>
      <c r="B353" s="22"/>
      <c r="C353" s="22"/>
      <c r="D353" s="22"/>
      <c r="E353" s="22"/>
      <c r="F353" s="22"/>
      <c r="G353" s="22"/>
      <c r="H353" s="22"/>
      <c r="I353" s="22"/>
      <c r="J353" s="22"/>
      <c r="K353" s="22"/>
      <c r="L353" s="22"/>
      <c r="M353" s="22"/>
      <c r="N353" s="22"/>
      <c r="O353" s="22"/>
      <c r="P353" s="22"/>
      <c r="Q353" s="22"/>
      <c r="R353" s="22"/>
      <c r="S353" s="22"/>
      <c r="T353" s="22"/>
      <c r="U353" s="22"/>
      <c r="V353" s="22"/>
      <c r="W353" s="22"/>
      <c r="X353" s="22"/>
      <c r="Y353" s="22"/>
      <c r="Z353" s="22"/>
      <c r="AA353" s="22"/>
      <c r="AB353" s="22"/>
      <c r="AC353" s="22"/>
      <c r="AD353" s="22"/>
      <c r="AE353" s="22"/>
      <c r="AF353" s="22"/>
      <c r="AG353" s="22"/>
      <c r="AH353" s="22"/>
      <c r="AI353" s="22"/>
      <c r="AJ353" s="22"/>
      <c r="AK353" s="22"/>
      <c r="AL353" s="22"/>
      <c r="AM353" s="22"/>
      <c r="AN353" s="22"/>
    </row>
    <row r="354" spans="1:40" x14ac:dyDescent="0.25">
      <c r="A354" s="22"/>
      <c r="B354" s="22"/>
      <c r="C354" s="22"/>
      <c r="D354" s="22"/>
      <c r="E354" s="22"/>
      <c r="F354" s="22"/>
      <c r="G354" s="22"/>
      <c r="H354" s="22"/>
      <c r="I354" s="22"/>
      <c r="J354" s="22"/>
      <c r="K354" s="22"/>
      <c r="L354" s="22"/>
      <c r="M354" s="22"/>
      <c r="N354" s="22"/>
      <c r="O354" s="22"/>
      <c r="P354" s="22"/>
      <c r="Q354" s="22"/>
      <c r="R354" s="22"/>
      <c r="S354" s="22"/>
      <c r="T354" s="22"/>
      <c r="U354" s="22"/>
      <c r="V354" s="22"/>
      <c r="W354" s="22"/>
      <c r="X354" s="22"/>
      <c r="Y354" s="22"/>
      <c r="Z354" s="22"/>
      <c r="AA354" s="22"/>
      <c r="AB354" s="22"/>
      <c r="AC354" s="22"/>
      <c r="AD354" s="22"/>
      <c r="AE354" s="22"/>
      <c r="AF354" s="22"/>
      <c r="AG354" s="22"/>
      <c r="AH354" s="22"/>
      <c r="AI354" s="22"/>
      <c r="AJ354" s="22"/>
      <c r="AK354" s="22"/>
      <c r="AL354" s="22"/>
      <c r="AM354" s="22"/>
      <c r="AN354" s="22"/>
    </row>
    <row r="355" spans="1:40" x14ac:dyDescent="0.25">
      <c r="A355" s="22"/>
      <c r="B355" s="22"/>
      <c r="C355" s="22"/>
      <c r="D355" s="22"/>
      <c r="E355" s="22"/>
      <c r="F355" s="22"/>
      <c r="G355" s="22"/>
      <c r="H355" s="22"/>
      <c r="I355" s="22"/>
      <c r="J355" s="22"/>
      <c r="K355" s="22"/>
      <c r="L355" s="22"/>
      <c r="M355" s="22"/>
      <c r="N355" s="22"/>
      <c r="O355" s="22"/>
      <c r="P355" s="22"/>
      <c r="Q355" s="22"/>
      <c r="R355" s="22"/>
      <c r="S355" s="22"/>
      <c r="T355" s="22"/>
      <c r="U355" s="22"/>
      <c r="V355" s="22"/>
      <c r="W355" s="22"/>
      <c r="X355" s="22"/>
      <c r="Y355" s="22"/>
      <c r="Z355" s="22"/>
      <c r="AA355" s="22"/>
      <c r="AB355" s="22"/>
      <c r="AC355" s="22"/>
      <c r="AD355" s="22"/>
      <c r="AE355" s="22"/>
      <c r="AF355" s="22"/>
      <c r="AG355" s="22"/>
      <c r="AH355" s="22"/>
      <c r="AI355" s="22"/>
      <c r="AJ355" s="22"/>
      <c r="AK355" s="22"/>
      <c r="AL355" s="22"/>
      <c r="AM355" s="22"/>
      <c r="AN355" s="22"/>
    </row>
    <row r="356" spans="1:40" x14ac:dyDescent="0.25">
      <c r="A356" s="22"/>
      <c r="B356" s="22"/>
      <c r="C356" s="22"/>
      <c r="D356" s="22"/>
      <c r="E356" s="22"/>
      <c r="F356" s="22"/>
      <c r="G356" s="22"/>
      <c r="H356" s="22"/>
      <c r="I356" s="22"/>
      <c r="J356" s="22"/>
      <c r="K356" s="22"/>
      <c r="L356" s="22"/>
      <c r="M356" s="22"/>
      <c r="N356" s="22"/>
      <c r="O356" s="22"/>
      <c r="P356" s="22"/>
      <c r="Q356" s="22"/>
      <c r="R356" s="22"/>
      <c r="S356" s="22"/>
      <c r="T356" s="22"/>
      <c r="U356" s="22"/>
      <c r="V356" s="22"/>
      <c r="W356" s="22"/>
      <c r="X356" s="22"/>
      <c r="Y356" s="22"/>
      <c r="Z356" s="22"/>
      <c r="AA356" s="22"/>
      <c r="AB356" s="22"/>
      <c r="AC356" s="22"/>
      <c r="AD356" s="22"/>
      <c r="AE356" s="22"/>
      <c r="AF356" s="22"/>
      <c r="AG356" s="22"/>
      <c r="AH356" s="22"/>
      <c r="AI356" s="22"/>
      <c r="AJ356" s="22"/>
      <c r="AK356" s="22"/>
      <c r="AL356" s="22"/>
      <c r="AM356" s="22"/>
      <c r="AN356" s="22"/>
    </row>
    <row r="357" spans="1:40" x14ac:dyDescent="0.25">
      <c r="A357" s="22"/>
      <c r="B357" s="22"/>
      <c r="C357" s="22"/>
      <c r="D357" s="22"/>
      <c r="E357" s="22"/>
      <c r="F357" s="22"/>
      <c r="G357" s="22"/>
      <c r="H357" s="22"/>
      <c r="I357" s="22"/>
      <c r="J357" s="22"/>
      <c r="K357" s="22"/>
      <c r="L357" s="22"/>
      <c r="M357" s="22"/>
      <c r="N357" s="22"/>
      <c r="O357" s="22"/>
      <c r="P357" s="22"/>
      <c r="Q357" s="22"/>
      <c r="R357" s="22"/>
      <c r="S357" s="22"/>
      <c r="T357" s="22"/>
      <c r="U357" s="22"/>
      <c r="V357" s="22"/>
      <c r="W357" s="22"/>
      <c r="X357" s="22"/>
      <c r="Y357" s="22"/>
      <c r="Z357" s="22"/>
      <c r="AA357" s="22"/>
      <c r="AB357" s="22"/>
      <c r="AC357" s="22"/>
      <c r="AD357" s="22"/>
      <c r="AE357" s="22"/>
      <c r="AF357" s="22"/>
      <c r="AG357" s="22"/>
      <c r="AH357" s="22"/>
      <c r="AI357" s="22"/>
      <c r="AJ357" s="22"/>
      <c r="AK357" s="22"/>
      <c r="AL357" s="22"/>
      <c r="AM357" s="22"/>
      <c r="AN357" s="22"/>
    </row>
    <row r="358" spans="1:40" x14ac:dyDescent="0.25">
      <c r="A358" s="22"/>
      <c r="B358" s="22"/>
      <c r="C358" s="22"/>
      <c r="D358" s="22"/>
      <c r="E358" s="22"/>
      <c r="F358" s="22"/>
      <c r="G358" s="22"/>
      <c r="H358" s="22"/>
      <c r="I358" s="22"/>
      <c r="J358" s="22"/>
      <c r="K358" s="22"/>
      <c r="L358" s="22"/>
      <c r="M358" s="22"/>
      <c r="N358" s="22"/>
      <c r="O358" s="22"/>
      <c r="P358" s="22"/>
      <c r="Q358" s="22"/>
      <c r="R358" s="22"/>
      <c r="S358" s="22"/>
      <c r="T358" s="22"/>
      <c r="U358" s="22"/>
      <c r="V358" s="22"/>
      <c r="W358" s="22"/>
      <c r="X358" s="22"/>
      <c r="Y358" s="22"/>
      <c r="Z358" s="22"/>
      <c r="AA358" s="22"/>
      <c r="AB358" s="22"/>
      <c r="AC358" s="22"/>
      <c r="AD358" s="22"/>
      <c r="AE358" s="22"/>
      <c r="AF358" s="22"/>
      <c r="AG358" s="22"/>
      <c r="AH358" s="22"/>
      <c r="AI358" s="22"/>
      <c r="AJ358" s="22"/>
      <c r="AK358" s="22"/>
      <c r="AL358" s="22"/>
      <c r="AM358" s="22"/>
      <c r="AN358" s="22"/>
    </row>
    <row r="359" spans="1:40" x14ac:dyDescent="0.25">
      <c r="A359" s="22"/>
      <c r="B359" s="22"/>
      <c r="C359" s="22"/>
      <c r="D359" s="22"/>
      <c r="E359" s="22"/>
      <c r="F359" s="22"/>
      <c r="G359" s="22"/>
      <c r="H359" s="22"/>
      <c r="I359" s="22"/>
      <c r="J359" s="22"/>
      <c r="K359" s="22"/>
      <c r="L359" s="22"/>
      <c r="M359" s="22"/>
      <c r="N359" s="22"/>
      <c r="O359" s="22"/>
      <c r="P359" s="22"/>
      <c r="Q359" s="22"/>
      <c r="R359" s="22"/>
      <c r="S359" s="22"/>
      <c r="T359" s="22"/>
      <c r="U359" s="22"/>
      <c r="V359" s="22"/>
      <c r="W359" s="22"/>
      <c r="X359" s="22"/>
      <c r="Y359" s="22"/>
      <c r="Z359" s="22"/>
      <c r="AA359" s="22"/>
      <c r="AB359" s="22"/>
      <c r="AC359" s="22"/>
      <c r="AD359" s="22"/>
      <c r="AE359" s="22"/>
      <c r="AF359" s="22"/>
      <c r="AG359" s="22"/>
      <c r="AH359" s="22"/>
      <c r="AI359" s="22"/>
      <c r="AJ359" s="22"/>
      <c r="AK359" s="22"/>
      <c r="AL359" s="22"/>
      <c r="AM359" s="22"/>
      <c r="AN359" s="22"/>
    </row>
    <row r="360" spans="1:40" x14ac:dyDescent="0.25">
      <c r="A360" s="22"/>
      <c r="B360" s="22"/>
      <c r="C360" s="22"/>
      <c r="D360" s="22"/>
      <c r="E360" s="22"/>
      <c r="F360" s="22"/>
      <c r="G360" s="22"/>
      <c r="H360" s="22"/>
      <c r="I360" s="22"/>
      <c r="J360" s="22"/>
      <c r="K360" s="22"/>
      <c r="L360" s="22"/>
      <c r="M360" s="22"/>
      <c r="N360" s="22"/>
      <c r="O360" s="22"/>
      <c r="P360" s="22"/>
      <c r="Q360" s="22"/>
      <c r="R360" s="22"/>
      <c r="S360" s="22"/>
      <c r="T360" s="22"/>
      <c r="U360" s="22"/>
      <c r="V360" s="22"/>
      <c r="W360" s="22"/>
      <c r="X360" s="22"/>
      <c r="Y360" s="22"/>
      <c r="Z360" s="22"/>
      <c r="AA360" s="22"/>
      <c r="AB360" s="22"/>
      <c r="AC360" s="22"/>
      <c r="AD360" s="22"/>
      <c r="AE360" s="22"/>
      <c r="AF360" s="22"/>
      <c r="AG360" s="22"/>
      <c r="AH360" s="22"/>
      <c r="AI360" s="22"/>
      <c r="AJ360" s="22"/>
      <c r="AK360" s="22"/>
      <c r="AL360" s="22"/>
      <c r="AM360" s="22"/>
      <c r="AN360" s="22"/>
    </row>
    <row r="361" spans="1:40" x14ac:dyDescent="0.25">
      <c r="A361" s="22"/>
      <c r="B361" s="22"/>
      <c r="C361" s="22"/>
      <c r="D361" s="22"/>
      <c r="E361" s="22"/>
      <c r="F361" s="22"/>
      <c r="G361" s="22"/>
      <c r="H361" s="22"/>
      <c r="I361" s="22"/>
      <c r="J361" s="22"/>
      <c r="K361" s="22"/>
      <c r="L361" s="22"/>
      <c r="M361" s="22"/>
      <c r="N361" s="22"/>
      <c r="O361" s="22"/>
      <c r="P361" s="22"/>
      <c r="Q361" s="22"/>
      <c r="R361" s="22"/>
      <c r="S361" s="22"/>
      <c r="T361" s="22"/>
      <c r="U361" s="22"/>
      <c r="V361" s="22"/>
      <c r="W361" s="22"/>
      <c r="X361" s="22"/>
      <c r="Y361" s="22"/>
      <c r="Z361" s="22"/>
      <c r="AA361" s="22"/>
      <c r="AB361" s="22"/>
      <c r="AC361" s="22"/>
      <c r="AD361" s="22"/>
      <c r="AE361" s="22"/>
      <c r="AF361" s="22"/>
      <c r="AG361" s="22"/>
      <c r="AH361" s="22"/>
      <c r="AI361" s="22"/>
      <c r="AJ361" s="22"/>
      <c r="AK361" s="22"/>
      <c r="AL361" s="22"/>
      <c r="AM361" s="22"/>
      <c r="AN361" s="22"/>
    </row>
    <row r="362" spans="1:40" x14ac:dyDescent="0.25">
      <c r="A362" s="22"/>
      <c r="B362" s="22"/>
      <c r="C362" s="22"/>
      <c r="D362" s="22"/>
      <c r="E362" s="22"/>
      <c r="F362" s="22"/>
      <c r="G362" s="22"/>
      <c r="H362" s="22"/>
      <c r="I362" s="22"/>
      <c r="J362" s="22"/>
      <c r="K362" s="22"/>
      <c r="L362" s="22"/>
      <c r="M362" s="22"/>
      <c r="N362" s="22"/>
      <c r="O362" s="22"/>
      <c r="P362" s="22"/>
      <c r="Q362" s="22"/>
      <c r="R362" s="22"/>
      <c r="S362" s="22"/>
      <c r="T362" s="22"/>
      <c r="U362" s="22"/>
      <c r="V362" s="22"/>
      <c r="W362" s="22"/>
      <c r="X362" s="22"/>
      <c r="Y362" s="22"/>
      <c r="Z362" s="22"/>
      <c r="AA362" s="22"/>
      <c r="AB362" s="22"/>
      <c r="AC362" s="22"/>
      <c r="AD362" s="22"/>
      <c r="AE362" s="22"/>
      <c r="AF362" s="22"/>
      <c r="AG362" s="22"/>
      <c r="AH362" s="22"/>
      <c r="AI362" s="22"/>
      <c r="AJ362" s="22"/>
      <c r="AK362" s="22"/>
      <c r="AL362" s="22"/>
      <c r="AM362" s="22"/>
      <c r="AN362" s="22"/>
    </row>
    <row r="363" spans="1:40" x14ac:dyDescent="0.25">
      <c r="A363" s="22"/>
      <c r="B363" s="22"/>
      <c r="C363" s="22"/>
      <c r="D363" s="22"/>
      <c r="E363" s="22"/>
      <c r="F363" s="22"/>
      <c r="G363" s="22"/>
      <c r="H363" s="22"/>
      <c r="I363" s="22"/>
      <c r="J363" s="22"/>
      <c r="K363" s="22"/>
      <c r="L363" s="22"/>
      <c r="M363" s="22"/>
      <c r="N363" s="22"/>
      <c r="O363" s="22"/>
      <c r="P363" s="22"/>
      <c r="Q363" s="22"/>
      <c r="R363" s="22"/>
      <c r="S363" s="22"/>
      <c r="T363" s="22"/>
      <c r="U363" s="22"/>
      <c r="V363" s="22"/>
      <c r="W363" s="22"/>
      <c r="X363" s="22"/>
      <c r="Y363" s="22"/>
      <c r="Z363" s="22"/>
      <c r="AA363" s="22"/>
      <c r="AB363" s="22"/>
      <c r="AC363" s="22"/>
      <c r="AD363" s="22"/>
      <c r="AE363" s="22"/>
      <c r="AF363" s="22"/>
      <c r="AG363" s="22"/>
      <c r="AH363" s="22"/>
      <c r="AI363" s="22"/>
      <c r="AJ363" s="22"/>
      <c r="AK363" s="22"/>
      <c r="AL363" s="22"/>
      <c r="AM363" s="22"/>
      <c r="AN363" s="22"/>
    </row>
    <row r="364" spans="1:40" x14ac:dyDescent="0.25">
      <c r="A364" s="22"/>
      <c r="B364" s="22"/>
      <c r="C364" s="22"/>
      <c r="D364" s="22"/>
      <c r="E364" s="22"/>
      <c r="F364" s="22"/>
      <c r="G364" s="22"/>
      <c r="H364" s="22"/>
      <c r="I364" s="22"/>
      <c r="J364" s="22"/>
      <c r="K364" s="22"/>
      <c r="L364" s="22"/>
      <c r="M364" s="22"/>
      <c r="N364" s="22"/>
      <c r="O364" s="22"/>
      <c r="P364" s="22"/>
      <c r="Q364" s="22"/>
      <c r="R364" s="22"/>
      <c r="S364" s="22"/>
      <c r="T364" s="22"/>
      <c r="U364" s="22"/>
      <c r="V364" s="22"/>
      <c r="W364" s="22"/>
      <c r="X364" s="22"/>
      <c r="Y364" s="22"/>
      <c r="Z364" s="22"/>
      <c r="AA364" s="22"/>
      <c r="AB364" s="22"/>
      <c r="AC364" s="22"/>
      <c r="AD364" s="22"/>
      <c r="AE364" s="22"/>
      <c r="AF364" s="22"/>
      <c r="AG364" s="22"/>
      <c r="AH364" s="22"/>
      <c r="AI364" s="22"/>
      <c r="AJ364" s="22"/>
      <c r="AK364" s="22"/>
      <c r="AL364" s="22"/>
      <c r="AM364" s="22"/>
      <c r="AN364" s="22"/>
    </row>
    <row r="365" spans="1:40" x14ac:dyDescent="0.25">
      <c r="A365" s="22"/>
      <c r="B365" s="22"/>
      <c r="C365" s="22"/>
      <c r="D365" s="22"/>
      <c r="E365" s="22"/>
      <c r="F365" s="22"/>
      <c r="G365" s="22"/>
      <c r="H365" s="22"/>
      <c r="I365" s="22"/>
      <c r="J365" s="22"/>
      <c r="K365" s="22"/>
      <c r="L365" s="22"/>
      <c r="M365" s="22"/>
      <c r="N365" s="22"/>
      <c r="O365" s="22"/>
      <c r="P365" s="22"/>
      <c r="Q365" s="22"/>
      <c r="R365" s="22"/>
      <c r="S365" s="22"/>
      <c r="T365" s="22"/>
      <c r="U365" s="22"/>
      <c r="V365" s="22"/>
      <c r="W365" s="22"/>
      <c r="X365" s="22"/>
      <c r="Y365" s="22"/>
      <c r="Z365" s="22"/>
      <c r="AA365" s="22"/>
      <c r="AB365" s="22"/>
      <c r="AC365" s="22"/>
      <c r="AD365" s="22"/>
      <c r="AE365" s="22"/>
      <c r="AF365" s="22"/>
      <c r="AG365" s="22"/>
      <c r="AH365" s="22"/>
      <c r="AI365" s="22"/>
      <c r="AJ365" s="22"/>
      <c r="AK365" s="22"/>
      <c r="AL365" s="22"/>
      <c r="AM365" s="22"/>
      <c r="AN365" s="22"/>
    </row>
    <row r="366" spans="1:40" x14ac:dyDescent="0.25">
      <c r="A366" s="22"/>
      <c r="B366" s="22"/>
      <c r="C366" s="22"/>
      <c r="D366" s="22"/>
      <c r="E366" s="22"/>
      <c r="F366" s="22"/>
      <c r="G366" s="22"/>
      <c r="H366" s="22"/>
      <c r="I366" s="22"/>
      <c r="J366" s="22"/>
      <c r="K366" s="22"/>
      <c r="L366" s="22"/>
      <c r="M366" s="22"/>
      <c r="N366" s="22"/>
      <c r="O366" s="22"/>
      <c r="P366" s="22"/>
      <c r="Q366" s="22"/>
      <c r="R366" s="22"/>
      <c r="S366" s="22"/>
      <c r="T366" s="22"/>
      <c r="U366" s="22"/>
      <c r="V366" s="22"/>
      <c r="W366" s="22"/>
      <c r="X366" s="22"/>
      <c r="Y366" s="22"/>
      <c r="Z366" s="22"/>
      <c r="AA366" s="22"/>
      <c r="AB366" s="22"/>
      <c r="AC366" s="22"/>
      <c r="AD366" s="22"/>
      <c r="AE366" s="22"/>
      <c r="AF366" s="22"/>
      <c r="AG366" s="22"/>
      <c r="AH366" s="22"/>
      <c r="AI366" s="22"/>
      <c r="AJ366" s="22"/>
      <c r="AK366" s="22"/>
      <c r="AL366" s="22"/>
      <c r="AM366" s="22"/>
      <c r="AN366" s="22"/>
    </row>
    <row r="367" spans="1:40" x14ac:dyDescent="0.25">
      <c r="A367" s="22"/>
      <c r="B367" s="22"/>
      <c r="C367" s="22"/>
      <c r="D367" s="22"/>
      <c r="E367" s="22"/>
      <c r="F367" s="22"/>
      <c r="G367" s="22"/>
      <c r="H367" s="22"/>
      <c r="I367" s="22"/>
      <c r="J367" s="22"/>
      <c r="K367" s="22"/>
      <c r="L367" s="22"/>
      <c r="M367" s="22"/>
      <c r="N367" s="22"/>
      <c r="O367" s="22"/>
      <c r="P367" s="22"/>
      <c r="Q367" s="22"/>
      <c r="R367" s="22"/>
      <c r="S367" s="22"/>
      <c r="T367" s="22"/>
      <c r="U367" s="22"/>
      <c r="V367" s="22"/>
      <c r="W367" s="22"/>
      <c r="X367" s="22"/>
      <c r="Y367" s="22"/>
      <c r="Z367" s="22"/>
      <c r="AA367" s="22"/>
      <c r="AB367" s="22"/>
      <c r="AC367" s="22"/>
      <c r="AD367" s="22"/>
      <c r="AE367" s="22"/>
      <c r="AF367" s="22"/>
      <c r="AG367" s="22"/>
      <c r="AH367" s="22"/>
      <c r="AI367" s="22"/>
      <c r="AJ367" s="22"/>
      <c r="AK367" s="22"/>
      <c r="AL367" s="22"/>
      <c r="AM367" s="22"/>
      <c r="AN367" s="22"/>
    </row>
    <row r="368" spans="1:40" x14ac:dyDescent="0.25">
      <c r="A368" s="22"/>
      <c r="B368" s="22"/>
      <c r="C368" s="22"/>
      <c r="D368" s="22"/>
      <c r="E368" s="22"/>
      <c r="F368" s="22"/>
      <c r="G368" s="22"/>
      <c r="H368" s="22"/>
      <c r="I368" s="22"/>
      <c r="J368" s="22"/>
      <c r="K368" s="22"/>
      <c r="L368" s="22"/>
      <c r="M368" s="22"/>
      <c r="N368" s="22"/>
      <c r="O368" s="22"/>
      <c r="P368" s="22"/>
      <c r="Q368" s="22"/>
      <c r="R368" s="22"/>
      <c r="S368" s="22"/>
      <c r="T368" s="22"/>
      <c r="U368" s="22"/>
      <c r="V368" s="22"/>
      <c r="W368" s="22"/>
      <c r="X368" s="22"/>
      <c r="Y368" s="22"/>
      <c r="Z368" s="22"/>
      <c r="AA368" s="22"/>
      <c r="AB368" s="22"/>
      <c r="AC368" s="22"/>
      <c r="AD368" s="22"/>
      <c r="AE368" s="22"/>
      <c r="AF368" s="22"/>
      <c r="AG368" s="22"/>
      <c r="AH368" s="22"/>
      <c r="AI368" s="22"/>
      <c r="AJ368" s="22"/>
      <c r="AK368" s="22"/>
      <c r="AL368" s="22"/>
      <c r="AM368" s="22"/>
      <c r="AN368" s="22"/>
    </row>
    <row r="369" spans="1:40" x14ac:dyDescent="0.25">
      <c r="A369" s="22"/>
      <c r="B369" s="22"/>
      <c r="C369" s="22"/>
      <c r="D369" s="22"/>
      <c r="E369" s="22"/>
      <c r="F369" s="22"/>
      <c r="G369" s="22"/>
      <c r="H369" s="22"/>
      <c r="I369" s="22"/>
      <c r="J369" s="22"/>
      <c r="K369" s="22"/>
      <c r="L369" s="22"/>
      <c r="M369" s="22"/>
      <c r="N369" s="22"/>
      <c r="O369" s="22"/>
      <c r="P369" s="22"/>
      <c r="Q369" s="22"/>
      <c r="R369" s="22"/>
      <c r="S369" s="22"/>
      <c r="T369" s="22"/>
      <c r="U369" s="22"/>
      <c r="V369" s="22"/>
      <c r="W369" s="22"/>
      <c r="X369" s="22"/>
      <c r="Y369" s="22"/>
      <c r="Z369" s="22"/>
      <c r="AA369" s="22"/>
      <c r="AB369" s="22"/>
      <c r="AC369" s="22"/>
      <c r="AD369" s="22"/>
      <c r="AE369" s="22"/>
      <c r="AF369" s="22"/>
      <c r="AG369" s="22"/>
      <c r="AH369" s="22"/>
      <c r="AI369" s="22"/>
      <c r="AJ369" s="22"/>
      <c r="AK369" s="22"/>
      <c r="AL369" s="22"/>
      <c r="AM369" s="22"/>
      <c r="AN369" s="22"/>
    </row>
    <row r="370" spans="1:40" x14ac:dyDescent="0.25">
      <c r="A370" s="22"/>
      <c r="B370" s="22"/>
      <c r="C370" s="22"/>
      <c r="D370" s="22"/>
      <c r="E370" s="22"/>
      <c r="F370" s="22"/>
      <c r="G370" s="22"/>
      <c r="H370" s="22"/>
      <c r="I370" s="22"/>
      <c r="J370" s="22"/>
      <c r="K370" s="22"/>
      <c r="L370" s="22"/>
      <c r="M370" s="22"/>
      <c r="N370" s="22"/>
      <c r="O370" s="22"/>
      <c r="P370" s="22"/>
      <c r="Q370" s="22"/>
      <c r="R370" s="22"/>
      <c r="S370" s="22"/>
      <c r="T370" s="22"/>
      <c r="U370" s="22"/>
      <c r="V370" s="22"/>
      <c r="W370" s="22"/>
      <c r="X370" s="22"/>
      <c r="Y370" s="22"/>
      <c r="Z370" s="22"/>
      <c r="AA370" s="22"/>
      <c r="AB370" s="22"/>
      <c r="AC370" s="22"/>
      <c r="AD370" s="22"/>
      <c r="AE370" s="22"/>
      <c r="AF370" s="22"/>
      <c r="AG370" s="22"/>
      <c r="AH370" s="22"/>
      <c r="AI370" s="22"/>
      <c r="AJ370" s="22"/>
      <c r="AK370" s="22"/>
      <c r="AL370" s="22"/>
      <c r="AM370" s="22"/>
      <c r="AN370" s="22"/>
    </row>
    <row r="371" spans="1:40" x14ac:dyDescent="0.25">
      <c r="A371" s="22"/>
      <c r="B371" s="22"/>
      <c r="C371" s="22"/>
      <c r="D371" s="22"/>
      <c r="E371" s="22"/>
      <c r="F371" s="22"/>
      <c r="G371" s="22"/>
      <c r="H371" s="22"/>
      <c r="I371" s="22"/>
      <c r="J371" s="22"/>
      <c r="K371" s="22"/>
      <c r="L371" s="22"/>
      <c r="M371" s="22"/>
      <c r="N371" s="22"/>
      <c r="O371" s="22"/>
      <c r="P371" s="22"/>
      <c r="Q371" s="22"/>
      <c r="R371" s="22"/>
      <c r="S371" s="22"/>
      <c r="T371" s="22"/>
      <c r="U371" s="22"/>
      <c r="V371" s="22"/>
      <c r="W371" s="22"/>
      <c r="X371" s="22"/>
      <c r="Y371" s="22"/>
      <c r="Z371" s="22"/>
      <c r="AA371" s="22"/>
      <c r="AB371" s="22"/>
      <c r="AC371" s="22"/>
      <c r="AD371" s="22"/>
      <c r="AE371" s="22"/>
      <c r="AF371" s="22"/>
      <c r="AG371" s="22"/>
      <c r="AH371" s="22"/>
      <c r="AI371" s="22"/>
      <c r="AJ371" s="22"/>
      <c r="AK371" s="22"/>
      <c r="AL371" s="22"/>
      <c r="AM371" s="22"/>
      <c r="AN371" s="22"/>
    </row>
  </sheetData>
  <dataValidations count="1">
    <dataValidation type="list" allowBlank="1" showInputMessage="1" showErrorMessage="1" sqref="B2:C2">
      <formula1>INDIRECT("Месяцы[Месяцы]")</formula1>
    </dataValidation>
  </dataValidations>
  <pageMargins left="0.7" right="0.7" top="0.75" bottom="0.75" header="0.3" footer="0.3"/>
  <pageSetup paperSize="9" orientation="portrait" horizontalDpi="0" verticalDpi="0" r:id="rId2"/>
  <drawing r:id="rId3"/>
  <tableParts count="3">
    <tablePart r:id="rId4"/>
    <tablePart r:id="rId5"/>
    <tablePart r:id="rId6"/>
  </tableParts>
  <extLst>
    <ext xmlns:x14="http://schemas.microsoft.com/office/spreadsheetml/2009/9/main" uri="{A8765BA9-456A-4dab-B4F3-ACF838C121DE}">
      <x14:slicerList>
        <x14:slicer r:id="rId7"/>
      </x14:slicerList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8"/>
  <dimension ref="A1:BB455"/>
  <sheetViews>
    <sheetView zoomScale="70" zoomScaleNormal="70" workbookViewId="0">
      <pane ySplit="8" topLeftCell="A9" activePane="bottomLeft" state="frozen"/>
      <selection pane="bottomLeft" activeCell="B2" sqref="B2"/>
    </sheetView>
  </sheetViews>
  <sheetFormatPr defaultColWidth="9.140625" defaultRowHeight="15.75" x14ac:dyDescent="0.25"/>
  <cols>
    <col min="1" max="1" width="22.5703125" style="18" bestFit="1" customWidth="1"/>
    <col min="2" max="2" width="24.85546875" style="18" customWidth="1"/>
    <col min="3" max="3" width="15.42578125" style="18" customWidth="1"/>
    <col min="4" max="4" width="7.85546875" style="18" customWidth="1"/>
    <col min="5" max="5" width="7.28515625" style="18" bestFit="1" customWidth="1"/>
    <col min="6" max="7" width="9.28515625" style="18" bestFit="1" customWidth="1"/>
    <col min="8" max="8" width="8.85546875" style="18" bestFit="1" customWidth="1"/>
    <col min="9" max="9" width="7.28515625" style="18" bestFit="1" customWidth="1"/>
    <col min="10" max="10" width="4.5703125" style="18" bestFit="1" customWidth="1"/>
    <col min="11" max="11" width="4.28515625" style="18" customWidth="1"/>
    <col min="12" max="12" width="7.28515625" style="18" bestFit="1" customWidth="1"/>
    <col min="13" max="14" width="4.28515625" style="18" customWidth="1"/>
    <col min="15" max="15" width="7.28515625" style="18" bestFit="1" customWidth="1"/>
    <col min="16" max="16" width="10.28515625" style="18" bestFit="1" customWidth="1"/>
    <col min="17" max="17" width="4.28515625" style="18" customWidth="1"/>
    <col min="18" max="18" width="7.28515625" style="18" bestFit="1" customWidth="1"/>
    <col min="19" max="20" width="4.28515625" style="18" customWidth="1"/>
    <col min="21" max="22" width="7.28515625" style="18" bestFit="1" customWidth="1"/>
    <col min="23" max="24" width="4.28515625" style="18" customWidth="1"/>
    <col min="25" max="26" width="7.28515625" style="18" bestFit="1" customWidth="1"/>
    <col min="27" max="29" width="4.28515625" style="18" customWidth="1"/>
    <col min="30" max="30" width="7.28515625" style="18" bestFit="1" customWidth="1"/>
    <col min="31" max="31" width="4.28515625" style="18" customWidth="1"/>
    <col min="32" max="32" width="7.28515625" style="18" bestFit="1" customWidth="1"/>
    <col min="33" max="33" width="4.28515625" style="18" customWidth="1"/>
    <col min="34" max="34" width="7.28515625" style="18" bestFit="1" customWidth="1"/>
    <col min="35" max="35" width="13.42578125" style="18" bestFit="1" customWidth="1"/>
    <col min="36" max="36" width="10.28515625" style="18" bestFit="1" customWidth="1"/>
    <col min="37" max="37" width="7.28515625" style="18" bestFit="1" customWidth="1"/>
    <col min="38" max="38" width="10.28515625" style="18" bestFit="1" customWidth="1"/>
    <col min="39" max="39" width="13.42578125" style="18" bestFit="1" customWidth="1"/>
    <col min="40" max="40" width="10.28515625" style="18" bestFit="1" customWidth="1"/>
    <col min="41" max="41" width="4.28515625" style="18" customWidth="1"/>
    <col min="42" max="42" width="7.28515625" style="18" bestFit="1" customWidth="1"/>
    <col min="43" max="44" width="4.28515625" style="18" customWidth="1"/>
    <col min="45" max="45" width="7.28515625" style="18" bestFit="1" customWidth="1"/>
    <col min="46" max="46" width="10.28515625" style="18" bestFit="1" customWidth="1"/>
    <col min="47" max="48" width="7.28515625" style="18" bestFit="1" customWidth="1"/>
    <col min="49" max="50" width="10.28515625" style="18" bestFit="1" customWidth="1"/>
    <col min="51" max="51" width="7.28515625" style="18" bestFit="1" customWidth="1"/>
    <col min="52" max="52" width="10.28515625" style="18" bestFit="1" customWidth="1"/>
    <col min="53" max="53" width="13.42578125" style="18" bestFit="1" customWidth="1"/>
    <col min="54" max="54" width="10.28515625" style="18" bestFit="1" customWidth="1"/>
    <col min="55" max="16384" width="9.140625" style="18"/>
  </cols>
  <sheetData>
    <row r="1" spans="1:54" ht="22.5" x14ac:dyDescent="0.3">
      <c r="A1" s="16" t="s">
        <v>2</v>
      </c>
      <c r="B1" s="16" t="s">
        <v>36</v>
      </c>
      <c r="C1" s="23"/>
    </row>
    <row r="2" spans="1:54" ht="22.5" x14ac:dyDescent="0.3">
      <c r="A2" s="16" t="s">
        <v>3</v>
      </c>
      <c r="C2" s="24"/>
    </row>
    <row r="4" spans="1:54" x14ac:dyDescent="0.25">
      <c r="A4" s="20" t="s">
        <v>2</v>
      </c>
      <c r="B4" s="20" t="s">
        <v>24</v>
      </c>
      <c r="C4" s="20" t="s">
        <v>25</v>
      </c>
      <c r="D4" s="21" t="s">
        <v>26</v>
      </c>
      <c r="F4" s="39" t="s">
        <v>43</v>
      </c>
      <c r="G4" s="18" t="s">
        <v>42</v>
      </c>
      <c r="H4" s="18" t="s">
        <v>40</v>
      </c>
      <c r="I4" s="18" t="s">
        <v>25</v>
      </c>
      <c r="J4" s="18" t="s">
        <v>26</v>
      </c>
    </row>
    <row r="5" spans="1:54" x14ac:dyDescent="0.25">
      <c r="A5" s="20" t="s">
        <v>27</v>
      </c>
      <c r="B5" s="20">
        <v>0</v>
      </c>
      <c r="C5" s="20">
        <v>0</v>
      </c>
      <c r="D5" s="21">
        <v>0</v>
      </c>
      <c r="F5" s="39">
        <f>SUM(ГодИтоги[Всего])</f>
        <v>0</v>
      </c>
      <c r="G5" s="18">
        <f>GETPIVOTDATA("Значения услуг",$A$7,"Услуги","Итого")</f>
        <v>0</v>
      </c>
      <c r="H5" s="18">
        <f>ГодВсего[б/пл.]+ГодВсего[пл.]</f>
        <v>0</v>
      </c>
      <c r="I5" s="18">
        <f>SUM(ГодИтоги[б/пл.])</f>
        <v>0</v>
      </c>
      <c r="J5" s="18">
        <f>SUM(ГодИтоги[пл.])</f>
        <v>0</v>
      </c>
    </row>
    <row r="7" spans="1:54" x14ac:dyDescent="0.25">
      <c r="A7" s="25" t="s">
        <v>35</v>
      </c>
      <c r="B7" s="25"/>
      <c r="C7" s="26" t="s">
        <v>2</v>
      </c>
      <c r="D7" s="26"/>
      <c r="E7" s="26"/>
      <c r="F7" s="26"/>
      <c r="G7" s="26"/>
      <c r="H7" s="26"/>
      <c r="I7" s="26"/>
      <c r="J7" s="26"/>
      <c r="K7" s="26"/>
      <c r="L7" s="26"/>
      <c r="M7" s="26"/>
      <c r="N7" s="26"/>
      <c r="O7" s="26"/>
      <c r="P7" s="26"/>
      <c r="Q7" s="26"/>
      <c r="R7" s="26"/>
      <c r="S7" s="26"/>
      <c r="T7" s="26"/>
      <c r="U7" s="26"/>
      <c r="V7" s="26"/>
      <c r="W7" s="26"/>
      <c r="X7" s="26"/>
      <c r="Y7" s="26"/>
      <c r="Z7" s="26"/>
      <c r="AA7" s="26"/>
      <c r="AB7" s="26"/>
      <c r="AC7" s="26"/>
      <c r="AD7" s="26"/>
      <c r="AE7" s="26"/>
      <c r="AF7" s="26"/>
      <c r="AG7" s="26"/>
      <c r="AH7" s="26"/>
      <c r="AI7" s="26"/>
      <c r="AJ7" s="26"/>
      <c r="AK7" s="26"/>
      <c r="AL7" s="26"/>
      <c r="AM7" s="26"/>
      <c r="AN7" s="26"/>
      <c r="AO7" s="26"/>
      <c r="AP7" s="26"/>
      <c r="AQ7" s="26"/>
      <c r="AR7" s="26"/>
      <c r="AS7" s="26"/>
      <c r="AT7" s="26"/>
      <c r="AU7" s="26"/>
      <c r="AV7" s="26"/>
      <c r="AW7" s="26"/>
      <c r="AX7" s="26"/>
      <c r="AY7" s="26"/>
      <c r="AZ7" s="26"/>
      <c r="BA7" s="26"/>
      <c r="BB7" s="26"/>
    </row>
    <row r="8" spans="1:54" ht="182.45" customHeight="1" x14ac:dyDescent="0.25">
      <c r="A8" s="27" t="s">
        <v>29</v>
      </c>
      <c r="B8" s="27" t="s">
        <v>31</v>
      </c>
      <c r="C8" s="28" t="s">
        <v>33</v>
      </c>
      <c r="D8" s="26" t="s">
        <v>32</v>
      </c>
      <c r="E8" s="29" t="s">
        <v>34</v>
      </c>
      <c r="F8" s="28" t="s">
        <v>49</v>
      </c>
      <c r="G8" s="28" t="s">
        <v>50</v>
      </c>
      <c r="H8" s="28" t="s">
        <v>51</v>
      </c>
      <c r="I8" s="28" t="s">
        <v>52</v>
      </c>
      <c r="J8" s="28" t="s">
        <v>53</v>
      </c>
      <c r="K8" s="28" t="s">
        <v>54</v>
      </c>
      <c r="L8" s="28" t="s">
        <v>93</v>
      </c>
      <c r="M8" s="28" t="s">
        <v>55</v>
      </c>
      <c r="N8" s="28" t="s">
        <v>94</v>
      </c>
      <c r="O8" s="28" t="s">
        <v>56</v>
      </c>
      <c r="P8" s="28" t="s">
        <v>57</v>
      </c>
      <c r="Q8" s="28" t="s">
        <v>59</v>
      </c>
      <c r="R8" s="28" t="s">
        <v>95</v>
      </c>
      <c r="S8" s="28" t="s">
        <v>60</v>
      </c>
      <c r="T8" s="28" t="s">
        <v>61</v>
      </c>
      <c r="U8" s="28" t="s">
        <v>62</v>
      </c>
      <c r="V8" s="28" t="s">
        <v>63</v>
      </c>
      <c r="W8" s="28" t="s">
        <v>64</v>
      </c>
      <c r="X8" s="28" t="s">
        <v>65</v>
      </c>
      <c r="Y8" s="28" t="s">
        <v>66</v>
      </c>
      <c r="Z8" s="28" t="s">
        <v>67</v>
      </c>
      <c r="AA8" s="28" t="s">
        <v>68</v>
      </c>
      <c r="AB8" s="28" t="s">
        <v>69</v>
      </c>
      <c r="AC8" s="28" t="s">
        <v>70</v>
      </c>
      <c r="AD8" s="28" t="s">
        <v>71</v>
      </c>
      <c r="AE8" s="28" t="s">
        <v>48</v>
      </c>
      <c r="AF8" s="28" t="s">
        <v>72</v>
      </c>
      <c r="AG8" s="28" t="s">
        <v>47</v>
      </c>
      <c r="AH8" s="28" t="s">
        <v>73</v>
      </c>
      <c r="AI8" s="28" t="s">
        <v>58</v>
      </c>
      <c r="AJ8" s="28" t="s">
        <v>74</v>
      </c>
      <c r="AK8" s="28" t="s">
        <v>75</v>
      </c>
      <c r="AL8" s="28" t="s">
        <v>76</v>
      </c>
      <c r="AM8" s="28" t="s">
        <v>77</v>
      </c>
      <c r="AN8" s="28" t="s">
        <v>78</v>
      </c>
      <c r="AO8" s="28" t="s">
        <v>79</v>
      </c>
      <c r="AP8" s="28" t="s">
        <v>80</v>
      </c>
      <c r="AQ8" s="28" t="s">
        <v>81</v>
      </c>
      <c r="AR8" s="28" t="s">
        <v>82</v>
      </c>
      <c r="AS8" s="28" t="s">
        <v>83</v>
      </c>
      <c r="AT8" s="28" t="s">
        <v>84</v>
      </c>
      <c r="AU8" s="28" t="s">
        <v>85</v>
      </c>
      <c r="AV8" s="28" t="s">
        <v>86</v>
      </c>
      <c r="AW8" s="28" t="s">
        <v>87</v>
      </c>
      <c r="AX8" s="28" t="s">
        <v>88</v>
      </c>
      <c r="AY8" s="28" t="s">
        <v>89</v>
      </c>
      <c r="AZ8" s="28" t="s">
        <v>90</v>
      </c>
      <c r="BA8" s="28" t="s">
        <v>91</v>
      </c>
      <c r="BB8" s="28" t="s">
        <v>92</v>
      </c>
    </row>
    <row r="9" spans="1:54" x14ac:dyDescent="0.25">
      <c r="A9" s="27" t="s">
        <v>44</v>
      </c>
      <c r="B9" s="26"/>
      <c r="C9" s="30">
        <v>1</v>
      </c>
      <c r="D9" s="30">
        <v>0</v>
      </c>
      <c r="E9" s="31">
        <v>0</v>
      </c>
      <c r="F9" s="30">
        <v>0</v>
      </c>
      <c r="G9" s="30">
        <v>0</v>
      </c>
      <c r="H9" s="30">
        <v>0</v>
      </c>
      <c r="I9" s="30">
        <v>0</v>
      </c>
      <c r="J9" s="30">
        <v>0</v>
      </c>
      <c r="K9" s="30">
        <v>0</v>
      </c>
      <c r="L9" s="30">
        <v>0</v>
      </c>
      <c r="M9" s="30">
        <v>0</v>
      </c>
      <c r="N9" s="30">
        <v>0</v>
      </c>
      <c r="O9" s="30">
        <v>0</v>
      </c>
      <c r="P9" s="30">
        <v>0</v>
      </c>
      <c r="Q9" s="30">
        <v>0</v>
      </c>
      <c r="R9" s="30">
        <v>0</v>
      </c>
      <c r="S9" s="30">
        <v>0</v>
      </c>
      <c r="T9" s="30">
        <v>0</v>
      </c>
      <c r="U9" s="30">
        <v>0</v>
      </c>
      <c r="V9" s="30">
        <v>0</v>
      </c>
      <c r="W9" s="30">
        <v>0</v>
      </c>
      <c r="X9" s="30">
        <v>0</v>
      </c>
      <c r="Y9" s="30">
        <v>0</v>
      </c>
      <c r="Z9" s="30">
        <v>0</v>
      </c>
      <c r="AA9" s="30">
        <v>0</v>
      </c>
      <c r="AB9" s="30">
        <v>0</v>
      </c>
      <c r="AC9" s="30">
        <v>0</v>
      </c>
      <c r="AD9" s="30">
        <v>0</v>
      </c>
      <c r="AE9" s="30">
        <v>0</v>
      </c>
      <c r="AF9" s="30">
        <v>0</v>
      </c>
      <c r="AG9" s="30">
        <v>0</v>
      </c>
      <c r="AH9" s="30">
        <v>0</v>
      </c>
      <c r="AI9" s="30">
        <v>0</v>
      </c>
      <c r="AJ9" s="30">
        <v>0</v>
      </c>
      <c r="AK9" s="30">
        <v>0</v>
      </c>
      <c r="AL9" s="30">
        <v>0</v>
      </c>
      <c r="AM9" s="30">
        <v>0</v>
      </c>
      <c r="AN9" s="30">
        <v>0</v>
      </c>
      <c r="AO9" s="30">
        <v>0</v>
      </c>
      <c r="AP9" s="30">
        <v>0</v>
      </c>
      <c r="AQ9" s="30">
        <v>0</v>
      </c>
      <c r="AR9" s="30">
        <v>0</v>
      </c>
      <c r="AS9" s="30">
        <v>0</v>
      </c>
      <c r="AT9" s="30">
        <v>0</v>
      </c>
      <c r="AU9" s="30">
        <v>0</v>
      </c>
      <c r="AV9" s="30">
        <v>0</v>
      </c>
      <c r="AW9" s="30">
        <v>0</v>
      </c>
      <c r="AX9" s="30">
        <v>0</v>
      </c>
      <c r="AY9" s="30">
        <v>0</v>
      </c>
      <c r="AZ9" s="30">
        <v>0</v>
      </c>
      <c r="BA9" s="30">
        <v>0</v>
      </c>
      <c r="BB9" s="30">
        <v>0</v>
      </c>
    </row>
    <row r="10" spans="1:54" x14ac:dyDescent="0.25">
      <c r="A10" s="27" t="s">
        <v>30</v>
      </c>
      <c r="B10" s="27"/>
      <c r="C10" s="30">
        <v>1</v>
      </c>
      <c r="D10" s="30">
        <v>0</v>
      </c>
      <c r="E10" s="31">
        <v>0</v>
      </c>
      <c r="F10" s="30">
        <v>0</v>
      </c>
      <c r="G10" s="30">
        <v>0</v>
      </c>
      <c r="H10" s="30">
        <v>0</v>
      </c>
      <c r="I10" s="30">
        <v>0</v>
      </c>
      <c r="J10" s="30">
        <v>0</v>
      </c>
      <c r="K10" s="30">
        <v>0</v>
      </c>
      <c r="L10" s="30">
        <v>0</v>
      </c>
      <c r="M10" s="30">
        <v>0</v>
      </c>
      <c r="N10" s="30">
        <v>0</v>
      </c>
      <c r="O10" s="30">
        <v>0</v>
      </c>
      <c r="P10" s="30">
        <v>0</v>
      </c>
      <c r="Q10" s="30">
        <v>0</v>
      </c>
      <c r="R10" s="30">
        <v>0</v>
      </c>
      <c r="S10" s="30">
        <v>0</v>
      </c>
      <c r="T10" s="30">
        <v>0</v>
      </c>
      <c r="U10" s="30">
        <v>0</v>
      </c>
      <c r="V10" s="30">
        <v>0</v>
      </c>
      <c r="W10" s="30">
        <v>0</v>
      </c>
      <c r="X10" s="30">
        <v>0</v>
      </c>
      <c r="Y10" s="30">
        <v>0</v>
      </c>
      <c r="Z10" s="30">
        <v>0</v>
      </c>
      <c r="AA10" s="30">
        <v>0</v>
      </c>
      <c r="AB10" s="30">
        <v>0</v>
      </c>
      <c r="AC10" s="30">
        <v>0</v>
      </c>
      <c r="AD10" s="30">
        <v>0</v>
      </c>
      <c r="AE10" s="30">
        <v>0</v>
      </c>
      <c r="AF10" s="30">
        <v>0</v>
      </c>
      <c r="AG10" s="30">
        <v>0</v>
      </c>
      <c r="AH10" s="30">
        <v>0</v>
      </c>
      <c r="AI10" s="30">
        <v>0</v>
      </c>
      <c r="AJ10" s="30">
        <v>0</v>
      </c>
      <c r="AK10" s="30">
        <v>0</v>
      </c>
      <c r="AL10" s="30">
        <v>0</v>
      </c>
      <c r="AM10" s="30">
        <v>0</v>
      </c>
      <c r="AN10" s="30">
        <v>0</v>
      </c>
      <c r="AO10" s="30">
        <v>0</v>
      </c>
      <c r="AP10" s="30">
        <v>0</v>
      </c>
      <c r="AQ10" s="30">
        <v>0</v>
      </c>
      <c r="AR10" s="30">
        <v>0</v>
      </c>
      <c r="AS10" s="30">
        <v>0</v>
      </c>
      <c r="AT10" s="30">
        <v>0</v>
      </c>
      <c r="AU10" s="30">
        <v>0</v>
      </c>
      <c r="AV10" s="30">
        <v>0</v>
      </c>
      <c r="AW10" s="30">
        <v>0</v>
      </c>
      <c r="AX10" s="30">
        <v>0</v>
      </c>
      <c r="AY10" s="30">
        <v>0</v>
      </c>
      <c r="AZ10" s="30">
        <v>0</v>
      </c>
      <c r="BA10" s="30">
        <v>0</v>
      </c>
      <c r="BB10" s="30">
        <v>0</v>
      </c>
    </row>
    <row r="11" spans="1:54" x14ac:dyDescent="0.25">
      <c r="A11" s="22"/>
      <c r="B11" s="22"/>
      <c r="C11" s="22"/>
      <c r="D11" s="22"/>
      <c r="E11" s="22"/>
      <c r="F11" s="22"/>
      <c r="G11" s="22"/>
      <c r="H11" s="22"/>
      <c r="I11" s="22"/>
      <c r="J11" s="22"/>
      <c r="K11" s="22"/>
      <c r="L11" s="22"/>
      <c r="M11" s="22"/>
      <c r="N11" s="22"/>
      <c r="O11" s="22"/>
      <c r="P11" s="22"/>
      <c r="Q11" s="22"/>
      <c r="R11" s="22"/>
      <c r="S11" s="22"/>
      <c r="T11" s="22"/>
      <c r="U11" s="22"/>
      <c r="V11" s="22"/>
      <c r="W11" s="22"/>
      <c r="X11" s="22"/>
      <c r="Y11" s="22"/>
      <c r="Z11" s="22"/>
      <c r="AA11" s="22"/>
      <c r="AB11" s="22"/>
      <c r="AC11" s="22"/>
      <c r="AD11" s="22"/>
      <c r="AE11" s="22"/>
      <c r="AF11" s="22"/>
      <c r="AG11" s="22"/>
      <c r="AH11" s="22"/>
      <c r="AI11" s="22"/>
      <c r="AJ11" s="22"/>
      <c r="AK11" s="22"/>
      <c r="AL11" s="22"/>
      <c r="AM11" s="22"/>
      <c r="AN11" s="22"/>
    </row>
    <row r="12" spans="1:54" x14ac:dyDescent="0.25">
      <c r="A12" s="22"/>
      <c r="B12" s="22"/>
      <c r="C12" s="22"/>
      <c r="D12" s="22"/>
      <c r="E12" s="22"/>
      <c r="F12" s="22"/>
      <c r="G12" s="22"/>
      <c r="H12" s="22"/>
      <c r="I12" s="22"/>
      <c r="J12" s="22"/>
      <c r="K12" s="22"/>
      <c r="L12" s="22"/>
      <c r="M12" s="22"/>
      <c r="N12" s="22"/>
      <c r="O12" s="22"/>
      <c r="P12" s="22"/>
      <c r="Q12" s="22"/>
      <c r="R12" s="22"/>
      <c r="S12" s="22"/>
      <c r="T12" s="22"/>
      <c r="U12" s="22"/>
      <c r="V12" s="22"/>
      <c r="W12" s="22"/>
      <c r="X12" s="22"/>
      <c r="Y12" s="22"/>
      <c r="Z12" s="22"/>
      <c r="AA12" s="22"/>
      <c r="AB12" s="22"/>
      <c r="AC12" s="22"/>
      <c r="AD12" s="22"/>
      <c r="AE12" s="22"/>
      <c r="AF12" s="22"/>
      <c r="AG12" s="22"/>
      <c r="AH12" s="22"/>
      <c r="AI12" s="22"/>
      <c r="AJ12" s="22"/>
      <c r="AK12" s="22"/>
      <c r="AL12" s="22"/>
      <c r="AM12" s="22"/>
      <c r="AN12" s="22"/>
    </row>
    <row r="13" spans="1:54" x14ac:dyDescent="0.25">
      <c r="A13" s="22"/>
      <c r="B13" s="22"/>
      <c r="C13" s="22"/>
      <c r="D13" s="22"/>
      <c r="E13" s="22"/>
      <c r="F13" s="22"/>
      <c r="G13" s="22"/>
      <c r="H13" s="22"/>
      <c r="I13" s="22"/>
      <c r="J13" s="22"/>
      <c r="K13" s="22"/>
      <c r="L13" s="22"/>
      <c r="M13" s="22"/>
      <c r="N13" s="22"/>
      <c r="O13" s="22"/>
      <c r="P13" s="22"/>
      <c r="Q13" s="22"/>
      <c r="R13" s="22"/>
      <c r="S13" s="22"/>
      <c r="T13" s="22"/>
      <c r="U13" s="22"/>
      <c r="V13" s="22"/>
      <c r="W13" s="22"/>
      <c r="X13" s="22"/>
      <c r="Y13" s="22"/>
      <c r="Z13" s="22"/>
      <c r="AA13" s="22"/>
      <c r="AB13" s="22"/>
      <c r="AC13" s="22"/>
      <c r="AD13" s="22"/>
      <c r="AE13" s="22"/>
      <c r="AF13" s="22"/>
      <c r="AG13" s="22"/>
      <c r="AH13" s="22"/>
      <c r="AI13" s="22"/>
      <c r="AJ13" s="22"/>
      <c r="AK13" s="22"/>
      <c r="AL13" s="22"/>
      <c r="AM13" s="22"/>
      <c r="AN13" s="22"/>
    </row>
    <row r="14" spans="1:54" x14ac:dyDescent="0.25">
      <c r="A14" s="22"/>
      <c r="B14" s="22"/>
      <c r="C14" s="22"/>
      <c r="D14" s="22"/>
      <c r="E14" s="22"/>
      <c r="F14" s="22"/>
      <c r="G14" s="22"/>
      <c r="H14" s="22"/>
      <c r="I14" s="22"/>
      <c r="J14" s="22"/>
      <c r="K14" s="22"/>
      <c r="L14" s="22"/>
      <c r="M14" s="22"/>
      <c r="N14" s="22"/>
      <c r="O14" s="22"/>
      <c r="P14" s="22"/>
      <c r="Q14" s="22"/>
      <c r="R14" s="22"/>
      <c r="S14" s="22"/>
      <c r="T14" s="22"/>
      <c r="U14" s="22"/>
      <c r="V14" s="22"/>
      <c r="W14" s="22"/>
      <c r="X14" s="22"/>
      <c r="Y14" s="22"/>
      <c r="Z14" s="22"/>
      <c r="AA14" s="22"/>
      <c r="AB14" s="22"/>
      <c r="AC14" s="22"/>
      <c r="AD14" s="22"/>
      <c r="AE14" s="22"/>
      <c r="AF14" s="22"/>
      <c r="AG14" s="22"/>
      <c r="AH14" s="22"/>
      <c r="AI14" s="22"/>
      <c r="AJ14" s="22"/>
      <c r="AK14" s="22"/>
      <c r="AL14" s="22"/>
      <c r="AM14" s="22"/>
      <c r="AN14" s="22"/>
    </row>
    <row r="15" spans="1:54" x14ac:dyDescent="0.25">
      <c r="A15" s="22"/>
      <c r="B15" s="22"/>
      <c r="C15" s="22"/>
      <c r="D15" s="22"/>
      <c r="E15" s="22"/>
      <c r="F15" s="22"/>
      <c r="G15" s="22"/>
      <c r="H15" s="22"/>
      <c r="I15" s="22"/>
      <c r="J15" s="22"/>
      <c r="K15" s="22"/>
      <c r="L15" s="22"/>
      <c r="M15" s="22"/>
      <c r="N15" s="22"/>
      <c r="O15" s="22"/>
      <c r="P15" s="22"/>
      <c r="Q15" s="22"/>
      <c r="R15" s="22"/>
      <c r="S15" s="22"/>
      <c r="T15" s="22"/>
      <c r="U15" s="22"/>
      <c r="V15" s="22"/>
      <c r="W15" s="22"/>
      <c r="X15" s="22"/>
      <c r="Y15" s="22"/>
      <c r="Z15" s="22"/>
      <c r="AA15" s="22"/>
      <c r="AB15" s="22"/>
      <c r="AC15" s="22"/>
      <c r="AD15" s="22"/>
      <c r="AE15" s="22"/>
      <c r="AF15" s="22"/>
      <c r="AG15" s="22"/>
      <c r="AH15" s="22"/>
      <c r="AI15" s="22"/>
      <c r="AJ15" s="22"/>
      <c r="AK15" s="22"/>
      <c r="AL15" s="22"/>
      <c r="AM15" s="22"/>
      <c r="AN15" s="22"/>
    </row>
    <row r="16" spans="1:54" x14ac:dyDescent="0.25">
      <c r="A16" s="22"/>
      <c r="B16" s="22"/>
      <c r="C16" s="22"/>
      <c r="D16" s="22"/>
      <c r="E16" s="22"/>
      <c r="F16" s="22"/>
      <c r="G16" s="22"/>
      <c r="H16" s="22"/>
      <c r="I16" s="22"/>
      <c r="J16" s="22"/>
      <c r="K16" s="22"/>
      <c r="L16" s="22"/>
      <c r="M16" s="22"/>
      <c r="N16" s="22"/>
      <c r="O16" s="22"/>
      <c r="P16" s="22"/>
      <c r="Q16" s="22"/>
      <c r="R16" s="22"/>
      <c r="S16" s="22"/>
      <c r="T16" s="22"/>
      <c r="U16" s="22"/>
      <c r="V16" s="22"/>
      <c r="W16" s="22"/>
      <c r="X16" s="22"/>
      <c r="Y16" s="22"/>
      <c r="Z16" s="22"/>
      <c r="AA16" s="22"/>
      <c r="AB16" s="22"/>
      <c r="AC16" s="22"/>
      <c r="AD16" s="22"/>
      <c r="AE16" s="22"/>
      <c r="AF16" s="22"/>
      <c r="AG16" s="22"/>
      <c r="AH16" s="22"/>
      <c r="AI16" s="22"/>
      <c r="AJ16" s="22"/>
      <c r="AK16" s="22"/>
      <c r="AL16" s="22"/>
      <c r="AM16" s="22"/>
      <c r="AN16" s="22"/>
    </row>
    <row r="17" spans="1:40" x14ac:dyDescent="0.25">
      <c r="A17" s="22"/>
      <c r="B17" s="22"/>
      <c r="C17" s="22"/>
      <c r="D17" s="22"/>
      <c r="E17" s="22"/>
      <c r="F17" s="22"/>
      <c r="G17" s="22"/>
      <c r="H17" s="22"/>
      <c r="I17" s="22"/>
      <c r="J17" s="22"/>
      <c r="K17" s="22"/>
      <c r="L17" s="22"/>
      <c r="M17" s="22"/>
      <c r="N17" s="22"/>
      <c r="O17" s="22"/>
      <c r="P17" s="22"/>
      <c r="Q17" s="22"/>
      <c r="R17" s="22"/>
      <c r="S17" s="22"/>
      <c r="T17" s="22"/>
      <c r="U17" s="22"/>
      <c r="V17" s="22"/>
      <c r="W17" s="22"/>
      <c r="X17" s="22"/>
      <c r="Y17" s="22"/>
      <c r="Z17" s="22"/>
      <c r="AA17" s="22"/>
      <c r="AB17" s="22"/>
      <c r="AC17" s="22"/>
      <c r="AD17" s="22"/>
      <c r="AE17" s="22"/>
      <c r="AF17" s="22"/>
      <c r="AG17" s="22"/>
      <c r="AH17" s="22"/>
      <c r="AI17" s="22"/>
      <c r="AJ17" s="22"/>
      <c r="AK17" s="22"/>
      <c r="AL17" s="22"/>
      <c r="AM17" s="22"/>
      <c r="AN17" s="22"/>
    </row>
    <row r="18" spans="1:40" x14ac:dyDescent="0.25">
      <c r="A18" s="22"/>
      <c r="B18" s="22"/>
      <c r="C18" s="22"/>
      <c r="D18" s="22"/>
      <c r="E18" s="22"/>
      <c r="F18" s="22"/>
      <c r="G18" s="22"/>
      <c r="H18" s="22"/>
      <c r="I18" s="22"/>
      <c r="J18" s="22"/>
      <c r="K18" s="22"/>
      <c r="L18" s="22"/>
      <c r="M18" s="22"/>
      <c r="N18" s="22"/>
      <c r="O18" s="22"/>
      <c r="P18" s="22"/>
      <c r="Q18" s="22"/>
      <c r="R18" s="22"/>
      <c r="S18" s="22"/>
      <c r="T18" s="22"/>
      <c r="U18" s="22"/>
      <c r="V18" s="22"/>
      <c r="W18" s="22"/>
      <c r="X18" s="22"/>
      <c r="Y18" s="22"/>
      <c r="Z18" s="22"/>
      <c r="AA18" s="22"/>
      <c r="AB18" s="22"/>
      <c r="AC18" s="22"/>
      <c r="AD18" s="22"/>
      <c r="AE18" s="22"/>
      <c r="AF18" s="22"/>
      <c r="AG18" s="22"/>
      <c r="AH18" s="22"/>
      <c r="AI18" s="22"/>
      <c r="AJ18" s="22"/>
      <c r="AK18" s="22"/>
      <c r="AL18" s="22"/>
      <c r="AM18" s="22"/>
      <c r="AN18" s="22"/>
    </row>
    <row r="19" spans="1:40" x14ac:dyDescent="0.25">
      <c r="A19" s="22"/>
      <c r="B19" s="22"/>
      <c r="C19" s="22"/>
      <c r="D19" s="22"/>
      <c r="E19" s="22"/>
      <c r="F19" s="22"/>
      <c r="G19" s="22"/>
      <c r="H19" s="22"/>
      <c r="I19" s="22"/>
      <c r="J19" s="22"/>
      <c r="K19" s="22"/>
      <c r="L19" s="22"/>
      <c r="M19" s="22"/>
      <c r="N19" s="22"/>
      <c r="O19" s="22"/>
      <c r="P19" s="22"/>
      <c r="Q19" s="22"/>
      <c r="R19" s="22"/>
      <c r="S19" s="22"/>
      <c r="T19" s="22"/>
      <c r="U19" s="22"/>
      <c r="V19" s="22"/>
      <c r="W19" s="22"/>
      <c r="X19" s="22"/>
      <c r="Y19" s="22"/>
      <c r="Z19" s="22"/>
      <c r="AA19" s="22"/>
      <c r="AB19" s="22"/>
      <c r="AC19" s="22"/>
      <c r="AD19" s="22"/>
      <c r="AE19" s="22"/>
      <c r="AF19" s="22"/>
      <c r="AG19" s="22"/>
      <c r="AH19" s="22"/>
      <c r="AI19" s="22"/>
      <c r="AJ19" s="22"/>
      <c r="AK19" s="22"/>
      <c r="AL19" s="22"/>
      <c r="AM19" s="22"/>
      <c r="AN19" s="22"/>
    </row>
    <row r="20" spans="1:40" x14ac:dyDescent="0.25">
      <c r="A20" s="22"/>
      <c r="B20" s="22"/>
      <c r="C20" s="22"/>
      <c r="D20" s="22"/>
      <c r="E20" s="22"/>
      <c r="F20" s="22"/>
      <c r="G20" s="22"/>
      <c r="H20" s="22"/>
      <c r="I20" s="22"/>
      <c r="J20" s="22"/>
      <c r="K20" s="22"/>
      <c r="L20" s="22"/>
      <c r="M20" s="22"/>
      <c r="N20" s="22"/>
      <c r="O20" s="22"/>
      <c r="P20" s="22"/>
      <c r="Q20" s="22"/>
      <c r="R20" s="22"/>
      <c r="S20" s="22"/>
      <c r="T20" s="22"/>
      <c r="U20" s="22"/>
      <c r="V20" s="22"/>
      <c r="W20" s="22"/>
      <c r="X20" s="22"/>
      <c r="Y20" s="22"/>
      <c r="Z20" s="22"/>
      <c r="AA20" s="22"/>
      <c r="AB20" s="22"/>
      <c r="AC20" s="22"/>
      <c r="AD20" s="22"/>
      <c r="AE20" s="22"/>
      <c r="AF20" s="22"/>
      <c r="AG20" s="22"/>
      <c r="AH20" s="22"/>
      <c r="AI20" s="22"/>
      <c r="AJ20" s="22"/>
      <c r="AK20" s="22"/>
      <c r="AL20" s="22"/>
      <c r="AM20" s="22"/>
      <c r="AN20" s="22"/>
    </row>
    <row r="21" spans="1:40" x14ac:dyDescent="0.25">
      <c r="A21" s="22"/>
      <c r="B21" s="22"/>
      <c r="C21" s="22"/>
      <c r="D21" s="22"/>
      <c r="E21" s="22"/>
      <c r="F21" s="22"/>
      <c r="G21" s="22"/>
      <c r="H21" s="22"/>
      <c r="I21" s="22"/>
      <c r="J21" s="22"/>
      <c r="K21" s="22"/>
      <c r="L21" s="22"/>
      <c r="M21" s="22"/>
      <c r="N21" s="22"/>
      <c r="O21" s="22"/>
      <c r="P21" s="22"/>
      <c r="Q21" s="22"/>
      <c r="R21" s="22"/>
      <c r="S21" s="22"/>
      <c r="T21" s="22"/>
      <c r="U21" s="22"/>
      <c r="V21" s="22"/>
      <c r="W21" s="22"/>
      <c r="X21" s="22"/>
      <c r="Y21" s="22"/>
      <c r="Z21" s="22"/>
      <c r="AA21" s="22"/>
      <c r="AB21" s="22"/>
      <c r="AC21" s="22"/>
      <c r="AD21" s="22"/>
      <c r="AE21" s="22"/>
      <c r="AF21" s="22"/>
      <c r="AG21" s="22"/>
      <c r="AH21" s="22"/>
      <c r="AI21" s="22"/>
      <c r="AJ21" s="22"/>
      <c r="AK21" s="22"/>
      <c r="AL21" s="22"/>
      <c r="AM21" s="22"/>
      <c r="AN21" s="22"/>
    </row>
    <row r="22" spans="1:40" x14ac:dyDescent="0.25">
      <c r="A22" s="22"/>
      <c r="B22" s="22"/>
      <c r="C22" s="22"/>
      <c r="D22" s="22"/>
      <c r="E22" s="22"/>
      <c r="F22" s="22"/>
      <c r="G22" s="22"/>
      <c r="H22" s="22"/>
      <c r="I22" s="22"/>
      <c r="J22" s="22"/>
      <c r="K22" s="22"/>
      <c r="L22" s="22"/>
      <c r="M22" s="22"/>
      <c r="N22" s="22"/>
      <c r="O22" s="22"/>
      <c r="P22" s="22"/>
      <c r="Q22" s="22"/>
      <c r="R22" s="22"/>
      <c r="S22" s="22"/>
      <c r="T22" s="22"/>
      <c r="U22" s="22"/>
      <c r="V22" s="22"/>
      <c r="W22" s="22"/>
      <c r="X22" s="22"/>
      <c r="Y22" s="22"/>
      <c r="Z22" s="22"/>
      <c r="AA22" s="22"/>
      <c r="AB22" s="22"/>
      <c r="AC22" s="22"/>
      <c r="AD22" s="22"/>
      <c r="AE22" s="22"/>
      <c r="AF22" s="22"/>
      <c r="AG22" s="22"/>
      <c r="AH22" s="22"/>
      <c r="AI22" s="22"/>
      <c r="AJ22" s="22"/>
      <c r="AK22" s="22"/>
      <c r="AL22" s="22"/>
      <c r="AM22" s="22"/>
      <c r="AN22" s="22"/>
    </row>
    <row r="23" spans="1:40" x14ac:dyDescent="0.25">
      <c r="A23" s="22"/>
      <c r="B23" s="22"/>
      <c r="C23" s="22"/>
      <c r="D23" s="22"/>
      <c r="E23" s="22"/>
      <c r="F23" s="22"/>
      <c r="G23" s="22"/>
      <c r="H23" s="22"/>
      <c r="I23" s="22"/>
      <c r="J23" s="22"/>
      <c r="K23" s="22"/>
      <c r="L23" s="22"/>
      <c r="M23" s="22"/>
      <c r="N23" s="22"/>
      <c r="O23" s="22"/>
      <c r="P23" s="22"/>
      <c r="Q23" s="22"/>
      <c r="R23" s="22"/>
      <c r="S23" s="22"/>
      <c r="T23" s="22"/>
      <c r="U23" s="22"/>
      <c r="V23" s="22"/>
      <c r="W23" s="22"/>
      <c r="X23" s="22"/>
      <c r="Y23" s="22"/>
      <c r="Z23" s="22"/>
      <c r="AA23" s="22"/>
      <c r="AB23" s="22"/>
      <c r="AC23" s="22"/>
      <c r="AD23" s="22"/>
      <c r="AE23" s="22"/>
      <c r="AF23" s="22"/>
      <c r="AG23" s="22"/>
      <c r="AH23" s="22"/>
      <c r="AI23" s="22"/>
      <c r="AJ23" s="22"/>
      <c r="AK23" s="22"/>
      <c r="AL23" s="22"/>
      <c r="AM23" s="22"/>
      <c r="AN23" s="22"/>
    </row>
    <row r="24" spans="1:40" x14ac:dyDescent="0.25">
      <c r="A24" s="22"/>
      <c r="B24" s="22"/>
      <c r="C24" s="22"/>
      <c r="D24" s="22"/>
      <c r="E24" s="22"/>
      <c r="F24" s="22"/>
      <c r="G24" s="22"/>
      <c r="H24" s="22"/>
      <c r="I24" s="22"/>
      <c r="J24" s="22"/>
      <c r="K24" s="22"/>
      <c r="L24" s="22"/>
      <c r="M24" s="22"/>
      <c r="N24" s="22"/>
      <c r="O24" s="22"/>
      <c r="P24" s="22"/>
      <c r="Q24" s="22"/>
      <c r="R24" s="22"/>
      <c r="S24" s="22"/>
      <c r="T24" s="22"/>
      <c r="U24" s="22"/>
      <c r="V24" s="22"/>
      <c r="W24" s="22"/>
      <c r="X24" s="22"/>
      <c r="Y24" s="22"/>
      <c r="Z24" s="22"/>
      <c r="AA24" s="22"/>
      <c r="AB24" s="22"/>
      <c r="AC24" s="22"/>
      <c r="AD24" s="22"/>
      <c r="AE24" s="22"/>
      <c r="AF24" s="22"/>
      <c r="AG24" s="22"/>
      <c r="AH24" s="22"/>
      <c r="AI24" s="22"/>
      <c r="AJ24" s="22"/>
      <c r="AK24" s="22"/>
      <c r="AL24" s="22"/>
      <c r="AM24" s="22"/>
      <c r="AN24" s="22"/>
    </row>
    <row r="25" spans="1:40" x14ac:dyDescent="0.25">
      <c r="A25" s="22"/>
      <c r="B25" s="22"/>
      <c r="C25" s="22"/>
      <c r="D25" s="22"/>
      <c r="E25" s="22"/>
      <c r="F25" s="22"/>
      <c r="G25" s="22"/>
      <c r="H25" s="22"/>
      <c r="I25" s="22"/>
      <c r="J25" s="22"/>
      <c r="K25" s="22"/>
      <c r="L25" s="22"/>
      <c r="M25" s="22"/>
      <c r="N25" s="22"/>
      <c r="O25" s="22"/>
      <c r="P25" s="22"/>
      <c r="Q25" s="22"/>
      <c r="R25" s="22"/>
      <c r="S25" s="22"/>
      <c r="T25" s="22"/>
      <c r="U25" s="22"/>
      <c r="V25" s="22"/>
      <c r="W25" s="22"/>
      <c r="X25" s="22"/>
      <c r="Y25" s="22"/>
      <c r="Z25" s="22"/>
      <c r="AA25" s="22"/>
      <c r="AB25" s="22"/>
      <c r="AC25" s="22"/>
      <c r="AD25" s="22"/>
      <c r="AE25" s="22"/>
      <c r="AF25" s="22"/>
      <c r="AG25" s="22"/>
      <c r="AH25" s="22"/>
      <c r="AI25" s="22"/>
      <c r="AJ25" s="22"/>
      <c r="AK25" s="22"/>
      <c r="AL25" s="22"/>
      <c r="AM25" s="22"/>
      <c r="AN25" s="22"/>
    </row>
    <row r="26" spans="1:40" x14ac:dyDescent="0.25">
      <c r="A26" s="22"/>
      <c r="B26" s="22"/>
      <c r="C26" s="22"/>
      <c r="D26" s="22"/>
      <c r="E26" s="22"/>
      <c r="F26" s="22"/>
      <c r="G26" s="22"/>
      <c r="H26" s="22"/>
      <c r="I26" s="22"/>
      <c r="J26" s="22"/>
      <c r="K26" s="22"/>
      <c r="L26" s="22"/>
      <c r="M26" s="22"/>
      <c r="N26" s="22"/>
      <c r="O26" s="22"/>
      <c r="P26" s="22"/>
      <c r="Q26" s="22"/>
      <c r="R26" s="22"/>
      <c r="S26" s="22"/>
      <c r="T26" s="22"/>
      <c r="U26" s="22"/>
      <c r="V26" s="22"/>
      <c r="W26" s="22"/>
      <c r="X26" s="22"/>
      <c r="Y26" s="22"/>
      <c r="Z26" s="22"/>
      <c r="AA26" s="22"/>
      <c r="AB26" s="22"/>
      <c r="AC26" s="22"/>
      <c r="AD26" s="22"/>
      <c r="AE26" s="22"/>
      <c r="AF26" s="22"/>
      <c r="AG26" s="22"/>
      <c r="AH26" s="22"/>
      <c r="AI26" s="22"/>
      <c r="AJ26" s="22"/>
      <c r="AK26" s="22"/>
      <c r="AL26" s="22"/>
      <c r="AM26" s="22"/>
      <c r="AN26" s="22"/>
    </row>
    <row r="27" spans="1:40" x14ac:dyDescent="0.25">
      <c r="A27" s="22"/>
      <c r="B27" s="22"/>
      <c r="C27" s="22"/>
      <c r="D27" s="22"/>
      <c r="E27" s="22"/>
      <c r="F27" s="22"/>
      <c r="G27" s="22"/>
      <c r="H27" s="22"/>
      <c r="I27" s="22"/>
      <c r="J27" s="22"/>
      <c r="K27" s="22"/>
      <c r="L27" s="22"/>
      <c r="M27" s="22"/>
      <c r="N27" s="22"/>
      <c r="O27" s="22"/>
      <c r="P27" s="22"/>
      <c r="Q27" s="22"/>
      <c r="R27" s="22"/>
      <c r="S27" s="22"/>
      <c r="T27" s="22"/>
      <c r="U27" s="22"/>
      <c r="V27" s="22"/>
      <c r="W27" s="22"/>
      <c r="X27" s="22"/>
      <c r="Y27" s="22"/>
      <c r="Z27" s="22"/>
      <c r="AA27" s="22"/>
      <c r="AB27" s="22"/>
      <c r="AC27" s="22"/>
      <c r="AD27" s="22"/>
      <c r="AE27" s="22"/>
      <c r="AF27" s="22"/>
      <c r="AG27" s="22"/>
      <c r="AH27" s="22"/>
      <c r="AI27" s="22"/>
      <c r="AJ27" s="22"/>
      <c r="AK27" s="22"/>
      <c r="AL27" s="22"/>
      <c r="AM27" s="22"/>
      <c r="AN27" s="22"/>
    </row>
    <row r="28" spans="1:40" x14ac:dyDescent="0.25">
      <c r="A28" s="22"/>
      <c r="B28" s="22"/>
      <c r="C28" s="22"/>
      <c r="D28" s="22"/>
      <c r="E28" s="22"/>
      <c r="F28" s="22"/>
      <c r="G28" s="22"/>
      <c r="H28" s="22"/>
      <c r="I28" s="22"/>
      <c r="J28" s="22"/>
      <c r="K28" s="22"/>
      <c r="L28" s="22"/>
      <c r="M28" s="22"/>
      <c r="N28" s="22"/>
      <c r="O28" s="22"/>
      <c r="P28" s="22"/>
      <c r="Q28" s="22"/>
      <c r="R28" s="22"/>
      <c r="S28" s="22"/>
      <c r="T28" s="22"/>
      <c r="U28" s="22"/>
      <c r="V28" s="22"/>
      <c r="W28" s="22"/>
      <c r="X28" s="22"/>
      <c r="Y28" s="22"/>
      <c r="Z28" s="22"/>
      <c r="AA28" s="22"/>
      <c r="AB28" s="22"/>
      <c r="AC28" s="22"/>
      <c r="AD28" s="22"/>
      <c r="AE28" s="22"/>
      <c r="AF28" s="22"/>
      <c r="AG28" s="22"/>
      <c r="AH28" s="22"/>
      <c r="AI28" s="22"/>
      <c r="AJ28" s="22"/>
      <c r="AK28" s="22"/>
      <c r="AL28" s="22"/>
      <c r="AM28" s="22"/>
      <c r="AN28" s="22"/>
    </row>
    <row r="29" spans="1:40" x14ac:dyDescent="0.25">
      <c r="A29" s="22"/>
      <c r="B29" s="22"/>
      <c r="C29" s="22"/>
      <c r="D29" s="22"/>
      <c r="E29" s="22"/>
      <c r="F29" s="22"/>
      <c r="G29" s="22"/>
      <c r="H29" s="22"/>
      <c r="I29" s="22"/>
      <c r="J29" s="22"/>
      <c r="K29" s="22"/>
      <c r="L29" s="22"/>
      <c r="M29" s="22"/>
      <c r="N29" s="22"/>
      <c r="O29" s="22"/>
      <c r="P29" s="22"/>
      <c r="Q29" s="22"/>
      <c r="R29" s="22"/>
      <c r="S29" s="22"/>
      <c r="T29" s="22"/>
      <c r="U29" s="22"/>
      <c r="V29" s="22"/>
      <c r="W29" s="22"/>
      <c r="X29" s="22"/>
      <c r="Y29" s="22"/>
      <c r="Z29" s="22"/>
      <c r="AA29" s="22"/>
      <c r="AB29" s="22"/>
      <c r="AC29" s="22"/>
      <c r="AD29" s="22"/>
      <c r="AE29" s="22"/>
      <c r="AF29" s="22"/>
      <c r="AG29" s="22"/>
      <c r="AH29" s="22"/>
      <c r="AI29" s="22"/>
      <c r="AJ29" s="22"/>
      <c r="AK29" s="22"/>
      <c r="AL29" s="22"/>
      <c r="AM29" s="22"/>
      <c r="AN29" s="22"/>
    </row>
    <row r="30" spans="1:40" x14ac:dyDescent="0.25">
      <c r="A30" s="22"/>
      <c r="B30" s="22"/>
      <c r="C30" s="22"/>
      <c r="D30" s="22"/>
      <c r="E30" s="22"/>
      <c r="F30" s="22"/>
      <c r="G30" s="22"/>
      <c r="H30" s="22"/>
      <c r="I30" s="22"/>
      <c r="J30" s="22"/>
      <c r="K30" s="22"/>
      <c r="L30" s="22"/>
      <c r="M30" s="22"/>
      <c r="N30" s="22"/>
      <c r="O30" s="22"/>
      <c r="P30" s="22"/>
      <c r="Q30" s="22"/>
      <c r="R30" s="22"/>
      <c r="S30" s="22"/>
      <c r="T30" s="22"/>
      <c r="U30" s="22"/>
      <c r="V30" s="22"/>
      <c r="W30" s="22"/>
      <c r="X30" s="22"/>
      <c r="Y30" s="22"/>
      <c r="Z30" s="22"/>
      <c r="AA30" s="22"/>
      <c r="AB30" s="22"/>
      <c r="AC30" s="22"/>
      <c r="AD30" s="22"/>
      <c r="AE30" s="22"/>
      <c r="AF30" s="22"/>
      <c r="AG30" s="22"/>
      <c r="AH30" s="22"/>
      <c r="AI30" s="22"/>
      <c r="AJ30" s="22"/>
      <c r="AK30" s="22"/>
      <c r="AL30" s="22"/>
      <c r="AM30" s="22"/>
      <c r="AN30" s="22"/>
    </row>
    <row r="31" spans="1:40" x14ac:dyDescent="0.25">
      <c r="A31" s="22"/>
      <c r="B31" s="22"/>
      <c r="C31" s="22"/>
      <c r="D31" s="22"/>
      <c r="E31" s="22"/>
      <c r="F31" s="22"/>
      <c r="G31" s="22"/>
      <c r="H31" s="22"/>
      <c r="I31" s="22"/>
      <c r="J31" s="22"/>
      <c r="K31" s="22"/>
      <c r="L31" s="22"/>
      <c r="M31" s="22"/>
      <c r="N31" s="22"/>
      <c r="O31" s="22"/>
      <c r="P31" s="22"/>
      <c r="Q31" s="22"/>
      <c r="R31" s="22"/>
      <c r="S31" s="22"/>
      <c r="T31" s="22"/>
      <c r="U31" s="22"/>
      <c r="V31" s="22"/>
      <c r="W31" s="22"/>
      <c r="X31" s="22"/>
      <c r="Y31" s="22"/>
      <c r="Z31" s="22"/>
      <c r="AA31" s="22"/>
      <c r="AB31" s="22"/>
      <c r="AC31" s="22"/>
      <c r="AD31" s="22"/>
      <c r="AE31" s="22"/>
      <c r="AF31" s="22"/>
      <c r="AG31" s="22"/>
      <c r="AH31" s="22"/>
      <c r="AI31" s="22"/>
      <c r="AJ31" s="22"/>
      <c r="AK31" s="22"/>
      <c r="AL31" s="22"/>
      <c r="AM31" s="22"/>
      <c r="AN31" s="22"/>
    </row>
    <row r="32" spans="1:40" x14ac:dyDescent="0.25">
      <c r="A32" s="22"/>
      <c r="B32" s="22"/>
      <c r="C32" s="22"/>
      <c r="D32" s="22"/>
      <c r="E32" s="22"/>
      <c r="F32" s="22"/>
      <c r="G32" s="22"/>
      <c r="H32" s="22"/>
      <c r="I32" s="22"/>
      <c r="J32" s="22"/>
      <c r="K32" s="22"/>
      <c r="L32" s="22"/>
      <c r="M32" s="22"/>
      <c r="N32" s="22"/>
      <c r="O32" s="22"/>
      <c r="P32" s="22"/>
      <c r="Q32" s="22"/>
      <c r="R32" s="22"/>
      <c r="S32" s="22"/>
      <c r="T32" s="22"/>
      <c r="U32" s="22"/>
      <c r="V32" s="22"/>
      <c r="W32" s="22"/>
      <c r="X32" s="22"/>
      <c r="Y32" s="22"/>
      <c r="Z32" s="22"/>
      <c r="AA32" s="22"/>
      <c r="AB32" s="22"/>
      <c r="AC32" s="22"/>
      <c r="AD32" s="22"/>
      <c r="AE32" s="22"/>
      <c r="AF32" s="22"/>
      <c r="AG32" s="22"/>
      <c r="AH32" s="22"/>
      <c r="AI32" s="22"/>
      <c r="AJ32" s="22"/>
      <c r="AK32" s="22"/>
      <c r="AL32" s="22"/>
      <c r="AM32" s="22"/>
      <c r="AN32" s="22"/>
    </row>
    <row r="33" spans="1:40" x14ac:dyDescent="0.25">
      <c r="A33" s="22"/>
      <c r="B33" s="22"/>
      <c r="C33" s="22"/>
      <c r="D33" s="22"/>
      <c r="E33" s="22"/>
      <c r="F33" s="22"/>
      <c r="G33" s="22"/>
      <c r="H33" s="22"/>
      <c r="I33" s="22"/>
      <c r="J33" s="22"/>
      <c r="K33" s="22"/>
      <c r="L33" s="22"/>
      <c r="M33" s="22"/>
      <c r="N33" s="22"/>
      <c r="O33" s="22"/>
      <c r="P33" s="22"/>
      <c r="Q33" s="22"/>
      <c r="R33" s="22"/>
      <c r="S33" s="22"/>
      <c r="T33" s="22"/>
      <c r="U33" s="22"/>
      <c r="V33" s="22"/>
      <c r="W33" s="22"/>
      <c r="X33" s="22"/>
      <c r="Y33" s="22"/>
      <c r="Z33" s="22"/>
      <c r="AA33" s="22"/>
      <c r="AB33" s="22"/>
      <c r="AC33" s="22"/>
      <c r="AD33" s="22"/>
      <c r="AE33" s="22"/>
      <c r="AF33" s="22"/>
      <c r="AG33" s="22"/>
      <c r="AH33" s="22"/>
      <c r="AI33" s="22"/>
      <c r="AJ33" s="22"/>
      <c r="AK33" s="22"/>
      <c r="AL33" s="22"/>
      <c r="AM33" s="22"/>
      <c r="AN33" s="22"/>
    </row>
    <row r="34" spans="1:40" x14ac:dyDescent="0.25">
      <c r="A34" s="22"/>
      <c r="B34" s="22"/>
      <c r="C34" s="22"/>
      <c r="D34" s="22"/>
      <c r="E34" s="22"/>
      <c r="F34" s="22"/>
      <c r="G34" s="22"/>
      <c r="H34" s="22"/>
      <c r="I34" s="22"/>
      <c r="J34" s="22"/>
      <c r="K34" s="22"/>
      <c r="L34" s="22"/>
      <c r="M34" s="22"/>
      <c r="N34" s="22"/>
      <c r="O34" s="22"/>
      <c r="P34" s="22"/>
      <c r="Q34" s="22"/>
      <c r="R34" s="22"/>
      <c r="S34" s="22"/>
      <c r="T34" s="22"/>
      <c r="U34" s="22"/>
      <c r="V34" s="22"/>
      <c r="W34" s="22"/>
      <c r="X34" s="22"/>
      <c r="Y34" s="22"/>
      <c r="Z34" s="22"/>
      <c r="AA34" s="22"/>
      <c r="AB34" s="22"/>
      <c r="AC34" s="22"/>
      <c r="AD34" s="22"/>
      <c r="AE34" s="22"/>
      <c r="AF34" s="22"/>
      <c r="AG34" s="22"/>
      <c r="AH34" s="22"/>
      <c r="AI34" s="22"/>
      <c r="AJ34" s="22"/>
      <c r="AK34" s="22"/>
      <c r="AL34" s="22"/>
      <c r="AM34" s="22"/>
      <c r="AN34" s="22"/>
    </row>
    <row r="35" spans="1:40" x14ac:dyDescent="0.25">
      <c r="A35" s="22"/>
      <c r="B35" s="22"/>
      <c r="C35" s="22"/>
      <c r="D35" s="22"/>
      <c r="E35" s="22"/>
      <c r="F35" s="22"/>
      <c r="G35" s="22"/>
      <c r="H35" s="22"/>
      <c r="I35" s="22"/>
      <c r="J35" s="22"/>
      <c r="K35" s="22"/>
      <c r="L35" s="22"/>
      <c r="M35" s="22"/>
      <c r="N35" s="22"/>
      <c r="O35" s="22"/>
      <c r="P35" s="22"/>
      <c r="Q35" s="22"/>
      <c r="R35" s="22"/>
      <c r="S35" s="22"/>
      <c r="T35" s="22"/>
      <c r="U35" s="22"/>
      <c r="V35" s="22"/>
      <c r="W35" s="22"/>
      <c r="X35" s="22"/>
      <c r="Y35" s="22"/>
      <c r="Z35" s="22"/>
      <c r="AA35" s="22"/>
      <c r="AB35" s="22"/>
      <c r="AC35" s="22"/>
      <c r="AD35" s="22"/>
      <c r="AE35" s="22"/>
      <c r="AF35" s="22"/>
      <c r="AG35" s="22"/>
      <c r="AH35" s="22"/>
      <c r="AI35" s="22"/>
      <c r="AJ35" s="22"/>
      <c r="AK35" s="22"/>
      <c r="AL35" s="22"/>
      <c r="AM35" s="22"/>
      <c r="AN35" s="22"/>
    </row>
    <row r="36" spans="1:40" x14ac:dyDescent="0.25">
      <c r="A36" s="22"/>
      <c r="B36" s="22"/>
      <c r="C36" s="22"/>
      <c r="D36" s="22"/>
      <c r="E36" s="22"/>
      <c r="F36" s="22"/>
      <c r="G36" s="22"/>
      <c r="H36" s="22"/>
      <c r="I36" s="22"/>
      <c r="J36" s="22"/>
      <c r="K36" s="22"/>
      <c r="L36" s="22"/>
      <c r="M36" s="22"/>
      <c r="N36" s="22"/>
      <c r="O36" s="22"/>
      <c r="P36" s="22"/>
      <c r="Q36" s="22"/>
      <c r="R36" s="22"/>
      <c r="S36" s="22"/>
      <c r="T36" s="22"/>
      <c r="U36" s="22"/>
      <c r="V36" s="22"/>
      <c r="W36" s="22"/>
      <c r="X36" s="22"/>
      <c r="Y36" s="22"/>
      <c r="Z36" s="22"/>
      <c r="AA36" s="22"/>
      <c r="AB36" s="22"/>
      <c r="AC36" s="22"/>
      <c r="AD36" s="22"/>
      <c r="AE36" s="22"/>
      <c r="AF36" s="22"/>
      <c r="AG36" s="22"/>
      <c r="AH36" s="22"/>
      <c r="AI36" s="22"/>
      <c r="AJ36" s="22"/>
      <c r="AK36" s="22"/>
      <c r="AL36" s="22"/>
      <c r="AM36" s="22"/>
      <c r="AN36" s="22"/>
    </row>
    <row r="37" spans="1:40" x14ac:dyDescent="0.25">
      <c r="A37" s="22"/>
      <c r="B37" s="22"/>
      <c r="C37" s="22"/>
      <c r="D37" s="22"/>
      <c r="E37" s="22"/>
      <c r="F37" s="22"/>
      <c r="G37" s="22"/>
      <c r="H37" s="22"/>
      <c r="I37" s="22"/>
      <c r="J37" s="22"/>
      <c r="K37" s="22"/>
      <c r="L37" s="22"/>
      <c r="M37" s="22"/>
      <c r="N37" s="22"/>
      <c r="O37" s="22"/>
      <c r="P37" s="22"/>
      <c r="Q37" s="22"/>
      <c r="R37" s="22"/>
      <c r="S37" s="22"/>
      <c r="T37" s="22"/>
      <c r="U37" s="22"/>
      <c r="V37" s="22"/>
      <c r="W37" s="22"/>
      <c r="X37" s="22"/>
      <c r="Y37" s="22"/>
      <c r="Z37" s="22"/>
      <c r="AA37" s="22"/>
      <c r="AB37" s="22"/>
      <c r="AC37" s="22"/>
      <c r="AD37" s="22"/>
      <c r="AE37" s="22"/>
      <c r="AF37" s="22"/>
      <c r="AG37" s="22"/>
      <c r="AH37" s="22"/>
      <c r="AI37" s="22"/>
      <c r="AJ37" s="22"/>
      <c r="AK37" s="22"/>
      <c r="AL37" s="22"/>
      <c r="AM37" s="22"/>
      <c r="AN37" s="22"/>
    </row>
    <row r="38" spans="1:40" x14ac:dyDescent="0.25">
      <c r="A38" s="22"/>
      <c r="B38" s="22"/>
      <c r="C38" s="22"/>
      <c r="D38" s="22"/>
      <c r="E38" s="22"/>
      <c r="F38" s="22"/>
      <c r="G38" s="22"/>
      <c r="H38" s="22"/>
      <c r="I38" s="22"/>
      <c r="J38" s="22"/>
      <c r="K38" s="22"/>
      <c r="L38" s="22"/>
      <c r="M38" s="22"/>
      <c r="N38" s="22"/>
      <c r="O38" s="22"/>
      <c r="P38" s="22"/>
      <c r="Q38" s="22"/>
      <c r="R38" s="22"/>
      <c r="S38" s="22"/>
      <c r="T38" s="22"/>
      <c r="U38" s="22"/>
      <c r="V38" s="22"/>
      <c r="W38" s="22"/>
      <c r="X38" s="22"/>
      <c r="Y38" s="22"/>
      <c r="Z38" s="22"/>
      <c r="AA38" s="22"/>
      <c r="AB38" s="22"/>
      <c r="AC38" s="22"/>
      <c r="AD38" s="22"/>
      <c r="AE38" s="22"/>
      <c r="AF38" s="22"/>
      <c r="AG38" s="22"/>
      <c r="AH38" s="22"/>
      <c r="AI38" s="22"/>
      <c r="AJ38" s="22"/>
      <c r="AK38" s="22"/>
      <c r="AL38" s="22"/>
      <c r="AM38" s="22"/>
      <c r="AN38" s="22"/>
    </row>
    <row r="39" spans="1:40" x14ac:dyDescent="0.25">
      <c r="A39" s="22"/>
      <c r="B39" s="22"/>
      <c r="C39" s="22"/>
      <c r="D39" s="22"/>
      <c r="E39" s="22"/>
      <c r="F39" s="22"/>
      <c r="G39" s="22"/>
      <c r="H39" s="22"/>
      <c r="I39" s="22"/>
      <c r="J39" s="22"/>
      <c r="K39" s="22"/>
      <c r="L39" s="22"/>
      <c r="M39" s="22"/>
      <c r="N39" s="22"/>
      <c r="O39" s="22"/>
      <c r="P39" s="22"/>
      <c r="Q39" s="22"/>
      <c r="R39" s="22"/>
      <c r="S39" s="22"/>
      <c r="T39" s="22"/>
      <c r="U39" s="22"/>
      <c r="V39" s="22"/>
      <c r="W39" s="22"/>
      <c r="X39" s="22"/>
      <c r="Y39" s="22"/>
      <c r="Z39" s="22"/>
      <c r="AA39" s="22"/>
      <c r="AB39" s="22"/>
      <c r="AC39" s="22"/>
      <c r="AD39" s="22"/>
      <c r="AE39" s="22"/>
      <c r="AF39" s="22"/>
      <c r="AG39" s="22"/>
      <c r="AH39" s="22"/>
      <c r="AI39" s="22"/>
      <c r="AJ39" s="22"/>
      <c r="AK39" s="22"/>
      <c r="AL39" s="22"/>
      <c r="AM39" s="22"/>
      <c r="AN39" s="22"/>
    </row>
    <row r="40" spans="1:40" x14ac:dyDescent="0.25">
      <c r="A40" s="22"/>
      <c r="B40" s="22"/>
      <c r="C40" s="22"/>
      <c r="D40" s="22"/>
      <c r="E40" s="22"/>
      <c r="F40" s="22"/>
      <c r="G40" s="22"/>
      <c r="H40" s="22"/>
      <c r="I40" s="22"/>
      <c r="J40" s="22"/>
      <c r="K40" s="22"/>
      <c r="L40" s="22"/>
      <c r="M40" s="22"/>
      <c r="N40" s="22"/>
      <c r="O40" s="22"/>
      <c r="P40" s="22"/>
      <c r="Q40" s="22"/>
      <c r="R40" s="22"/>
      <c r="S40" s="22"/>
      <c r="T40" s="22"/>
      <c r="U40" s="22"/>
      <c r="V40" s="22"/>
      <c r="W40" s="22"/>
      <c r="X40" s="22"/>
      <c r="Y40" s="22"/>
      <c r="Z40" s="22"/>
      <c r="AA40" s="22"/>
      <c r="AB40" s="22"/>
      <c r="AC40" s="22"/>
      <c r="AD40" s="22"/>
      <c r="AE40" s="22"/>
      <c r="AF40" s="22"/>
      <c r="AG40" s="22"/>
      <c r="AH40" s="22"/>
      <c r="AI40" s="22"/>
      <c r="AJ40" s="22"/>
      <c r="AK40" s="22"/>
      <c r="AL40" s="22"/>
      <c r="AM40" s="22"/>
      <c r="AN40" s="22"/>
    </row>
    <row r="41" spans="1:40" x14ac:dyDescent="0.25">
      <c r="A41" s="22"/>
      <c r="B41" s="22"/>
      <c r="C41" s="22"/>
      <c r="D41" s="22"/>
      <c r="E41" s="22"/>
      <c r="F41" s="22"/>
      <c r="G41" s="22"/>
      <c r="H41" s="22"/>
      <c r="I41" s="22"/>
      <c r="J41" s="22"/>
      <c r="K41" s="22"/>
      <c r="L41" s="22"/>
      <c r="M41" s="22"/>
      <c r="N41" s="22"/>
      <c r="O41" s="22"/>
      <c r="P41" s="22"/>
      <c r="Q41" s="22"/>
      <c r="R41" s="22"/>
      <c r="S41" s="22"/>
      <c r="T41" s="22"/>
      <c r="U41" s="22"/>
      <c r="V41" s="22"/>
      <c r="W41" s="22"/>
      <c r="X41" s="22"/>
      <c r="Y41" s="22"/>
      <c r="Z41" s="22"/>
      <c r="AA41" s="22"/>
      <c r="AB41" s="22"/>
      <c r="AC41" s="22"/>
      <c r="AD41" s="22"/>
      <c r="AE41" s="22"/>
      <c r="AF41" s="22"/>
      <c r="AG41" s="22"/>
      <c r="AH41" s="22"/>
      <c r="AI41" s="22"/>
      <c r="AJ41" s="22"/>
      <c r="AK41" s="22"/>
      <c r="AL41" s="22"/>
      <c r="AM41" s="22"/>
      <c r="AN41" s="22"/>
    </row>
    <row r="42" spans="1:40" x14ac:dyDescent="0.25">
      <c r="A42" s="22"/>
      <c r="B42" s="22"/>
      <c r="C42" s="22"/>
      <c r="D42" s="22"/>
      <c r="E42" s="22"/>
      <c r="F42" s="22"/>
      <c r="G42" s="22"/>
      <c r="H42" s="22"/>
      <c r="I42" s="22"/>
      <c r="J42" s="22"/>
      <c r="K42" s="22"/>
      <c r="L42" s="22"/>
      <c r="M42" s="22"/>
      <c r="N42" s="22"/>
      <c r="O42" s="22"/>
      <c r="P42" s="22"/>
      <c r="Q42" s="22"/>
      <c r="R42" s="22"/>
      <c r="S42" s="22"/>
      <c r="T42" s="22"/>
      <c r="U42" s="22"/>
      <c r="V42" s="22"/>
      <c r="W42" s="22"/>
      <c r="X42" s="22"/>
      <c r="Y42" s="22"/>
      <c r="Z42" s="22"/>
      <c r="AA42" s="22"/>
      <c r="AB42" s="22"/>
      <c r="AC42" s="22"/>
      <c r="AD42" s="22"/>
      <c r="AE42" s="22"/>
      <c r="AF42" s="22"/>
      <c r="AG42" s="22"/>
      <c r="AH42" s="22"/>
      <c r="AI42" s="22"/>
      <c r="AJ42" s="22"/>
      <c r="AK42" s="22"/>
      <c r="AL42" s="22"/>
      <c r="AM42" s="22"/>
      <c r="AN42" s="22"/>
    </row>
    <row r="43" spans="1:40" x14ac:dyDescent="0.25">
      <c r="A43" s="22"/>
      <c r="B43" s="22"/>
      <c r="C43" s="22"/>
      <c r="D43" s="22"/>
      <c r="E43" s="22"/>
      <c r="F43" s="22"/>
      <c r="G43" s="22"/>
      <c r="H43" s="22"/>
      <c r="I43" s="22"/>
      <c r="J43" s="22"/>
      <c r="K43" s="22"/>
      <c r="L43" s="22"/>
      <c r="M43" s="22"/>
      <c r="N43" s="22"/>
      <c r="O43" s="22"/>
      <c r="P43" s="22"/>
      <c r="Q43" s="22"/>
      <c r="R43" s="22"/>
      <c r="S43" s="22"/>
      <c r="T43" s="22"/>
      <c r="U43" s="22"/>
      <c r="V43" s="22"/>
      <c r="W43" s="22"/>
      <c r="X43" s="22"/>
      <c r="Y43" s="22"/>
      <c r="Z43" s="22"/>
      <c r="AA43" s="22"/>
      <c r="AB43" s="22"/>
      <c r="AC43" s="22"/>
      <c r="AD43" s="22"/>
      <c r="AE43" s="22"/>
      <c r="AF43" s="22"/>
      <c r="AG43" s="22"/>
      <c r="AH43" s="22"/>
      <c r="AI43" s="22"/>
      <c r="AJ43" s="22"/>
      <c r="AK43" s="22"/>
      <c r="AL43" s="22"/>
      <c r="AM43" s="22"/>
      <c r="AN43" s="22"/>
    </row>
    <row r="44" spans="1:40" x14ac:dyDescent="0.25">
      <c r="A44" s="22"/>
      <c r="B44" s="22"/>
      <c r="C44" s="22"/>
      <c r="D44" s="22"/>
      <c r="E44" s="22"/>
      <c r="F44" s="22"/>
      <c r="G44" s="22"/>
      <c r="H44" s="22"/>
      <c r="I44" s="22"/>
      <c r="J44" s="22"/>
      <c r="K44" s="22"/>
      <c r="L44" s="22"/>
      <c r="M44" s="22"/>
      <c r="N44" s="22"/>
      <c r="O44" s="22"/>
      <c r="P44" s="22"/>
      <c r="Q44" s="22"/>
      <c r="R44" s="22"/>
      <c r="S44" s="22"/>
      <c r="T44" s="22"/>
      <c r="U44" s="22"/>
      <c r="V44" s="22"/>
      <c r="W44" s="22"/>
      <c r="X44" s="22"/>
      <c r="Y44" s="22"/>
      <c r="Z44" s="22"/>
      <c r="AA44" s="22"/>
      <c r="AB44" s="22"/>
      <c r="AC44" s="22"/>
      <c r="AD44" s="22"/>
      <c r="AE44" s="22"/>
      <c r="AF44" s="22"/>
      <c r="AG44" s="22"/>
      <c r="AH44" s="22"/>
      <c r="AI44" s="22"/>
      <c r="AJ44" s="22"/>
      <c r="AK44" s="22"/>
      <c r="AL44" s="22"/>
      <c r="AM44" s="22"/>
      <c r="AN44" s="22"/>
    </row>
    <row r="45" spans="1:40" x14ac:dyDescent="0.25">
      <c r="A45" s="22"/>
      <c r="B45" s="22"/>
      <c r="C45" s="22"/>
      <c r="D45" s="22"/>
      <c r="E45" s="22"/>
      <c r="F45" s="22"/>
      <c r="G45" s="22"/>
      <c r="H45" s="22"/>
      <c r="I45" s="22"/>
      <c r="J45" s="22"/>
      <c r="K45" s="22"/>
      <c r="L45" s="22"/>
      <c r="M45" s="22"/>
      <c r="N45" s="22"/>
      <c r="O45" s="22"/>
      <c r="P45" s="22"/>
      <c r="Q45" s="22"/>
      <c r="R45" s="22"/>
      <c r="S45" s="22"/>
      <c r="T45" s="22"/>
      <c r="U45" s="22"/>
      <c r="V45" s="22"/>
      <c r="W45" s="22"/>
      <c r="X45" s="22"/>
      <c r="Y45" s="22"/>
      <c r="Z45" s="22"/>
      <c r="AA45" s="22"/>
      <c r="AB45" s="22"/>
      <c r="AC45" s="22"/>
      <c r="AD45" s="22"/>
      <c r="AE45" s="22"/>
      <c r="AF45" s="22"/>
      <c r="AG45" s="22"/>
      <c r="AH45" s="22"/>
      <c r="AI45" s="22"/>
      <c r="AJ45" s="22"/>
      <c r="AK45" s="22"/>
      <c r="AL45" s="22"/>
      <c r="AM45" s="22"/>
      <c r="AN45" s="22"/>
    </row>
    <row r="46" spans="1:40" x14ac:dyDescent="0.25">
      <c r="A46" s="22"/>
      <c r="B46" s="22"/>
      <c r="C46" s="22"/>
      <c r="D46" s="22"/>
      <c r="E46" s="22"/>
      <c r="F46" s="22"/>
      <c r="G46" s="22"/>
      <c r="H46" s="22"/>
      <c r="I46" s="22"/>
      <c r="J46" s="22"/>
      <c r="K46" s="22"/>
      <c r="L46" s="22"/>
      <c r="M46" s="22"/>
      <c r="N46" s="22"/>
      <c r="O46" s="22"/>
      <c r="P46" s="22"/>
      <c r="Q46" s="22"/>
      <c r="R46" s="22"/>
      <c r="S46" s="22"/>
      <c r="T46" s="22"/>
      <c r="U46" s="22"/>
      <c r="V46" s="22"/>
      <c r="W46" s="22"/>
      <c r="X46" s="22"/>
      <c r="Y46" s="22"/>
      <c r="Z46" s="22"/>
      <c r="AA46" s="22"/>
      <c r="AB46" s="22"/>
      <c r="AC46" s="22"/>
      <c r="AD46" s="22"/>
      <c r="AE46" s="22"/>
      <c r="AF46" s="22"/>
      <c r="AG46" s="22"/>
      <c r="AH46" s="22"/>
      <c r="AI46" s="22"/>
      <c r="AJ46" s="22"/>
      <c r="AK46" s="22"/>
      <c r="AL46" s="22"/>
      <c r="AM46" s="22"/>
      <c r="AN46" s="22"/>
    </row>
    <row r="47" spans="1:40" x14ac:dyDescent="0.25">
      <c r="A47" s="22"/>
      <c r="B47" s="22"/>
      <c r="C47" s="22"/>
      <c r="D47" s="22"/>
      <c r="E47" s="22"/>
      <c r="F47" s="22"/>
      <c r="G47" s="22"/>
      <c r="H47" s="22"/>
      <c r="I47" s="22"/>
      <c r="J47" s="22"/>
      <c r="K47" s="22"/>
      <c r="L47" s="22"/>
      <c r="M47" s="22"/>
      <c r="N47" s="22"/>
      <c r="O47" s="22"/>
      <c r="P47" s="22"/>
      <c r="Q47" s="22"/>
      <c r="R47" s="22"/>
      <c r="S47" s="22"/>
      <c r="T47" s="22"/>
      <c r="U47" s="22"/>
      <c r="V47" s="22"/>
      <c r="W47" s="22"/>
      <c r="X47" s="22"/>
      <c r="Y47" s="22"/>
      <c r="Z47" s="22"/>
      <c r="AA47" s="22"/>
      <c r="AB47" s="22"/>
      <c r="AC47" s="22"/>
      <c r="AD47" s="22"/>
      <c r="AE47" s="22"/>
      <c r="AF47" s="22"/>
      <c r="AG47" s="22"/>
      <c r="AH47" s="22"/>
      <c r="AI47" s="22"/>
      <c r="AJ47" s="22"/>
      <c r="AK47" s="22"/>
      <c r="AL47" s="22"/>
      <c r="AM47" s="22"/>
      <c r="AN47" s="22"/>
    </row>
    <row r="48" spans="1:40" x14ac:dyDescent="0.25">
      <c r="A48" s="22"/>
      <c r="B48" s="22"/>
      <c r="C48" s="22"/>
      <c r="D48" s="22"/>
      <c r="E48" s="22"/>
      <c r="F48" s="22"/>
      <c r="G48" s="22"/>
      <c r="H48" s="22"/>
      <c r="I48" s="22"/>
      <c r="J48" s="22"/>
      <c r="K48" s="22"/>
      <c r="L48" s="22"/>
      <c r="M48" s="22"/>
      <c r="N48" s="22"/>
      <c r="O48" s="22"/>
      <c r="P48" s="22"/>
      <c r="Q48" s="22"/>
      <c r="R48" s="22"/>
      <c r="S48" s="22"/>
      <c r="T48" s="22"/>
      <c r="U48" s="22"/>
      <c r="V48" s="22"/>
      <c r="W48" s="22"/>
      <c r="X48" s="22"/>
      <c r="Y48" s="22"/>
      <c r="Z48" s="22"/>
      <c r="AA48" s="22"/>
      <c r="AB48" s="22"/>
      <c r="AC48" s="22"/>
      <c r="AD48" s="22"/>
      <c r="AE48" s="22"/>
      <c r="AF48" s="22"/>
      <c r="AG48" s="22"/>
      <c r="AH48" s="22"/>
      <c r="AI48" s="22"/>
      <c r="AJ48" s="22"/>
      <c r="AK48" s="22"/>
      <c r="AL48" s="22"/>
      <c r="AM48" s="22"/>
      <c r="AN48" s="22"/>
    </row>
    <row r="49" spans="1:40" x14ac:dyDescent="0.25">
      <c r="A49" s="22"/>
      <c r="B49" s="22"/>
      <c r="C49" s="22"/>
      <c r="D49" s="22"/>
      <c r="E49" s="22"/>
      <c r="F49" s="22"/>
      <c r="G49" s="22"/>
      <c r="H49" s="22"/>
      <c r="I49" s="22"/>
      <c r="J49" s="22"/>
      <c r="K49" s="22"/>
      <c r="L49" s="22"/>
      <c r="M49" s="22"/>
      <c r="N49" s="22"/>
      <c r="O49" s="22"/>
      <c r="P49" s="22"/>
      <c r="Q49" s="22"/>
      <c r="R49" s="22"/>
      <c r="S49" s="22"/>
      <c r="T49" s="22"/>
      <c r="U49" s="22"/>
      <c r="V49" s="22"/>
      <c r="W49" s="22"/>
      <c r="X49" s="22"/>
      <c r="Y49" s="22"/>
      <c r="Z49" s="22"/>
      <c r="AA49" s="22"/>
      <c r="AB49" s="22"/>
      <c r="AC49" s="22"/>
      <c r="AD49" s="22"/>
      <c r="AE49" s="22"/>
      <c r="AF49" s="22"/>
      <c r="AG49" s="22"/>
      <c r="AH49" s="22"/>
      <c r="AI49" s="22"/>
      <c r="AJ49" s="22"/>
      <c r="AK49" s="22"/>
      <c r="AL49" s="22"/>
      <c r="AM49" s="22"/>
      <c r="AN49" s="22"/>
    </row>
    <row r="50" spans="1:40" x14ac:dyDescent="0.25">
      <c r="A50" s="22"/>
      <c r="B50" s="22"/>
      <c r="C50" s="22"/>
      <c r="D50" s="22"/>
      <c r="E50" s="22"/>
      <c r="F50" s="22"/>
      <c r="G50" s="22"/>
      <c r="H50" s="22"/>
      <c r="I50" s="22"/>
      <c r="J50" s="22"/>
      <c r="K50" s="22"/>
      <c r="L50" s="22"/>
      <c r="M50" s="22"/>
      <c r="N50" s="22"/>
      <c r="O50" s="22"/>
      <c r="P50" s="22"/>
      <c r="Q50" s="22"/>
      <c r="R50" s="22"/>
      <c r="S50" s="22"/>
      <c r="T50" s="22"/>
      <c r="U50" s="22"/>
      <c r="V50" s="22"/>
      <c r="W50" s="22"/>
      <c r="X50" s="22"/>
      <c r="Y50" s="22"/>
      <c r="Z50" s="22"/>
      <c r="AA50" s="22"/>
      <c r="AB50" s="22"/>
      <c r="AC50" s="22"/>
      <c r="AD50" s="22"/>
      <c r="AE50" s="22"/>
      <c r="AF50" s="22"/>
      <c r="AG50" s="22"/>
      <c r="AH50" s="22"/>
      <c r="AI50" s="22"/>
      <c r="AJ50" s="22"/>
      <c r="AK50" s="22"/>
      <c r="AL50" s="22"/>
      <c r="AM50" s="22"/>
      <c r="AN50" s="22"/>
    </row>
    <row r="51" spans="1:40" x14ac:dyDescent="0.25">
      <c r="A51" s="22"/>
      <c r="B51" s="22"/>
      <c r="C51" s="22"/>
      <c r="D51" s="22"/>
      <c r="E51" s="22"/>
      <c r="F51" s="22"/>
      <c r="G51" s="22"/>
      <c r="H51" s="22"/>
      <c r="I51" s="22"/>
      <c r="J51" s="22"/>
      <c r="K51" s="22"/>
      <c r="L51" s="22"/>
      <c r="M51" s="22"/>
      <c r="N51" s="22"/>
      <c r="O51" s="22"/>
      <c r="P51" s="22"/>
      <c r="Q51" s="22"/>
      <c r="R51" s="22"/>
      <c r="S51" s="22"/>
      <c r="T51" s="22"/>
      <c r="U51" s="22"/>
      <c r="V51" s="22"/>
      <c r="W51" s="22"/>
      <c r="X51" s="22"/>
      <c r="Y51" s="22"/>
      <c r="Z51" s="22"/>
      <c r="AA51" s="22"/>
      <c r="AB51" s="22"/>
      <c r="AC51" s="22"/>
      <c r="AD51" s="22"/>
      <c r="AE51" s="22"/>
      <c r="AF51" s="22"/>
      <c r="AG51" s="22"/>
      <c r="AH51" s="22"/>
      <c r="AI51" s="22"/>
      <c r="AJ51" s="22"/>
      <c r="AK51" s="22"/>
      <c r="AL51" s="22"/>
      <c r="AM51" s="22"/>
      <c r="AN51" s="22"/>
    </row>
    <row r="52" spans="1:40" x14ac:dyDescent="0.25">
      <c r="A52" s="22"/>
      <c r="B52" s="22"/>
      <c r="C52" s="22"/>
      <c r="D52" s="22"/>
      <c r="E52" s="22"/>
      <c r="F52" s="22"/>
      <c r="G52" s="22"/>
      <c r="H52" s="22"/>
      <c r="I52" s="22"/>
      <c r="J52" s="22"/>
      <c r="K52" s="22"/>
      <c r="L52" s="22"/>
      <c r="M52" s="22"/>
      <c r="N52" s="22"/>
      <c r="O52" s="22"/>
      <c r="P52" s="22"/>
      <c r="Q52" s="22"/>
      <c r="R52" s="22"/>
      <c r="S52" s="22"/>
      <c r="T52" s="22"/>
      <c r="U52" s="22"/>
      <c r="V52" s="22"/>
      <c r="W52" s="22"/>
      <c r="X52" s="22"/>
      <c r="Y52" s="22"/>
      <c r="Z52" s="22"/>
      <c r="AA52" s="22"/>
      <c r="AB52" s="22"/>
      <c r="AC52" s="22"/>
      <c r="AD52" s="22"/>
      <c r="AE52" s="22"/>
      <c r="AF52" s="22"/>
      <c r="AG52" s="22"/>
      <c r="AH52" s="22"/>
      <c r="AI52" s="22"/>
      <c r="AJ52" s="22"/>
      <c r="AK52" s="22"/>
      <c r="AL52" s="22"/>
      <c r="AM52" s="22"/>
      <c r="AN52" s="22"/>
    </row>
    <row r="53" spans="1:40" x14ac:dyDescent="0.25">
      <c r="A53" s="22"/>
      <c r="B53" s="22"/>
      <c r="C53" s="22"/>
      <c r="D53" s="22"/>
      <c r="E53" s="22"/>
      <c r="F53" s="22"/>
      <c r="G53" s="22"/>
      <c r="H53" s="22"/>
      <c r="I53" s="22"/>
      <c r="J53" s="22"/>
      <c r="K53" s="22"/>
      <c r="L53" s="22"/>
      <c r="M53" s="22"/>
      <c r="N53" s="22"/>
      <c r="O53" s="22"/>
      <c r="P53" s="22"/>
      <c r="Q53" s="22"/>
      <c r="R53" s="22"/>
      <c r="S53" s="22"/>
      <c r="T53" s="22"/>
      <c r="U53" s="22"/>
      <c r="V53" s="22"/>
      <c r="W53" s="22"/>
      <c r="X53" s="22"/>
      <c r="Y53" s="22"/>
      <c r="Z53" s="22"/>
      <c r="AA53" s="22"/>
      <c r="AB53" s="22"/>
      <c r="AC53" s="22"/>
      <c r="AD53" s="22"/>
      <c r="AE53" s="22"/>
      <c r="AF53" s="22"/>
      <c r="AG53" s="22"/>
      <c r="AH53" s="22"/>
      <c r="AI53" s="22"/>
      <c r="AJ53" s="22"/>
      <c r="AK53" s="22"/>
      <c r="AL53" s="22"/>
      <c r="AM53" s="22"/>
      <c r="AN53" s="22"/>
    </row>
    <row r="54" spans="1:40" x14ac:dyDescent="0.25">
      <c r="A54" s="22"/>
      <c r="B54" s="22"/>
      <c r="C54" s="22"/>
      <c r="D54" s="22"/>
      <c r="E54" s="22"/>
      <c r="F54" s="22"/>
      <c r="G54" s="22"/>
      <c r="H54" s="22"/>
      <c r="I54" s="22"/>
      <c r="J54" s="22"/>
      <c r="K54" s="22"/>
      <c r="L54" s="22"/>
      <c r="M54" s="22"/>
      <c r="N54" s="22"/>
      <c r="O54" s="22"/>
      <c r="P54" s="22"/>
      <c r="Q54" s="22"/>
      <c r="R54" s="22"/>
      <c r="S54" s="22"/>
      <c r="T54" s="22"/>
      <c r="U54" s="22"/>
      <c r="V54" s="22"/>
      <c r="W54" s="22"/>
      <c r="X54" s="22"/>
      <c r="Y54" s="22"/>
      <c r="Z54" s="22"/>
      <c r="AA54" s="22"/>
      <c r="AB54" s="22"/>
      <c r="AC54" s="22"/>
      <c r="AD54" s="22"/>
      <c r="AE54" s="22"/>
      <c r="AF54" s="22"/>
      <c r="AG54" s="22"/>
      <c r="AH54" s="22"/>
      <c r="AI54" s="22"/>
      <c r="AJ54" s="22"/>
      <c r="AK54" s="22"/>
      <c r="AL54" s="22"/>
      <c r="AM54" s="22"/>
      <c r="AN54" s="22"/>
    </row>
    <row r="55" spans="1:40" x14ac:dyDescent="0.25">
      <c r="A55" s="22"/>
      <c r="B55" s="22"/>
      <c r="C55" s="22"/>
      <c r="D55" s="22"/>
      <c r="E55" s="22"/>
      <c r="F55" s="22"/>
      <c r="G55" s="22"/>
      <c r="H55" s="22"/>
      <c r="I55" s="22"/>
      <c r="J55" s="22"/>
      <c r="K55" s="22"/>
      <c r="L55" s="22"/>
      <c r="M55" s="22"/>
      <c r="N55" s="22"/>
      <c r="O55" s="22"/>
      <c r="P55" s="22"/>
      <c r="Q55" s="22"/>
      <c r="R55" s="22"/>
      <c r="S55" s="22"/>
      <c r="T55" s="22"/>
      <c r="U55" s="22"/>
      <c r="V55" s="22"/>
      <c r="W55" s="22"/>
      <c r="X55" s="22"/>
      <c r="Y55" s="22"/>
      <c r="Z55" s="22"/>
      <c r="AA55" s="22"/>
      <c r="AB55" s="22"/>
      <c r="AC55" s="22"/>
      <c r="AD55" s="22"/>
      <c r="AE55" s="22"/>
      <c r="AF55" s="22"/>
      <c r="AG55" s="22"/>
      <c r="AH55" s="22"/>
      <c r="AI55" s="22"/>
      <c r="AJ55" s="22"/>
      <c r="AK55" s="22"/>
      <c r="AL55" s="22"/>
      <c r="AM55" s="22"/>
      <c r="AN55" s="22"/>
    </row>
    <row r="56" spans="1:40" x14ac:dyDescent="0.25">
      <c r="A56" s="22"/>
      <c r="B56" s="22"/>
      <c r="C56" s="22"/>
      <c r="D56" s="22"/>
      <c r="E56" s="22"/>
      <c r="F56" s="22"/>
      <c r="G56" s="22"/>
      <c r="H56" s="22"/>
      <c r="I56" s="22"/>
      <c r="J56" s="22"/>
      <c r="K56" s="22"/>
      <c r="L56" s="22"/>
      <c r="M56" s="22"/>
      <c r="N56" s="22"/>
      <c r="O56" s="22"/>
      <c r="P56" s="22"/>
      <c r="Q56" s="22"/>
      <c r="R56" s="22"/>
      <c r="S56" s="22"/>
      <c r="T56" s="22"/>
      <c r="U56" s="22"/>
      <c r="V56" s="22"/>
      <c r="W56" s="22"/>
      <c r="X56" s="22"/>
      <c r="Y56" s="22"/>
      <c r="Z56" s="22"/>
      <c r="AA56" s="22"/>
      <c r="AB56" s="22"/>
      <c r="AC56" s="22"/>
      <c r="AD56" s="22"/>
      <c r="AE56" s="22"/>
      <c r="AF56" s="22"/>
      <c r="AG56" s="22"/>
      <c r="AH56" s="22"/>
      <c r="AI56" s="22"/>
      <c r="AJ56" s="22"/>
      <c r="AK56" s="22"/>
      <c r="AL56" s="22"/>
      <c r="AM56" s="22"/>
      <c r="AN56" s="22"/>
    </row>
    <row r="57" spans="1:40" x14ac:dyDescent="0.25">
      <c r="A57" s="22"/>
      <c r="B57" s="22"/>
      <c r="C57" s="22"/>
      <c r="D57" s="22"/>
      <c r="E57" s="22"/>
      <c r="F57" s="22"/>
      <c r="G57" s="22"/>
      <c r="H57" s="22"/>
      <c r="I57" s="22"/>
      <c r="J57" s="22"/>
      <c r="K57" s="22"/>
      <c r="L57" s="22"/>
      <c r="M57" s="22"/>
      <c r="N57" s="22"/>
      <c r="O57" s="22"/>
      <c r="P57" s="22"/>
      <c r="Q57" s="22"/>
      <c r="R57" s="22"/>
      <c r="S57" s="22"/>
      <c r="T57" s="22"/>
      <c r="U57" s="22"/>
      <c r="V57" s="22"/>
      <c r="W57" s="22"/>
      <c r="X57" s="22"/>
      <c r="Y57" s="22"/>
      <c r="Z57" s="22"/>
      <c r="AA57" s="22"/>
      <c r="AB57" s="22"/>
      <c r="AC57" s="22"/>
      <c r="AD57" s="22"/>
      <c r="AE57" s="22"/>
      <c r="AF57" s="22"/>
      <c r="AG57" s="22"/>
      <c r="AH57" s="22"/>
      <c r="AI57" s="22"/>
      <c r="AJ57" s="22"/>
      <c r="AK57" s="22"/>
      <c r="AL57" s="22"/>
      <c r="AM57" s="22"/>
      <c r="AN57" s="22"/>
    </row>
    <row r="58" spans="1:40" x14ac:dyDescent="0.25">
      <c r="A58" s="22"/>
      <c r="B58" s="22"/>
      <c r="C58" s="22"/>
      <c r="D58" s="22"/>
      <c r="E58" s="22"/>
      <c r="F58" s="22"/>
      <c r="G58" s="22"/>
      <c r="H58" s="22"/>
      <c r="I58" s="22"/>
      <c r="J58" s="22"/>
      <c r="K58" s="22"/>
      <c r="L58" s="22"/>
      <c r="M58" s="22"/>
      <c r="N58" s="22"/>
      <c r="O58" s="22"/>
      <c r="P58" s="22"/>
      <c r="Q58" s="22"/>
      <c r="R58" s="22"/>
      <c r="S58" s="22"/>
      <c r="T58" s="22"/>
      <c r="U58" s="22"/>
      <c r="V58" s="22"/>
      <c r="W58" s="22"/>
      <c r="X58" s="22"/>
      <c r="Y58" s="22"/>
      <c r="Z58" s="22"/>
      <c r="AA58" s="22"/>
      <c r="AB58" s="22"/>
      <c r="AC58" s="22"/>
      <c r="AD58" s="22"/>
      <c r="AE58" s="22"/>
      <c r="AF58" s="22"/>
      <c r="AG58" s="22"/>
      <c r="AH58" s="22"/>
      <c r="AI58" s="22"/>
      <c r="AJ58" s="22"/>
      <c r="AK58" s="22"/>
      <c r="AL58" s="22"/>
      <c r="AM58" s="22"/>
      <c r="AN58" s="22"/>
    </row>
    <row r="59" spans="1:40" x14ac:dyDescent="0.25">
      <c r="A59" s="22"/>
      <c r="B59" s="22"/>
      <c r="C59" s="22"/>
      <c r="D59" s="22"/>
      <c r="E59" s="22"/>
      <c r="F59" s="22"/>
      <c r="G59" s="22"/>
      <c r="H59" s="22"/>
      <c r="I59" s="22"/>
      <c r="J59" s="22"/>
      <c r="K59" s="22"/>
      <c r="L59" s="22"/>
      <c r="M59" s="22"/>
      <c r="N59" s="22"/>
      <c r="O59" s="22"/>
      <c r="P59" s="22"/>
      <c r="Q59" s="22"/>
      <c r="R59" s="22"/>
      <c r="S59" s="22"/>
      <c r="T59" s="22"/>
      <c r="U59" s="22"/>
      <c r="V59" s="22"/>
      <c r="W59" s="22"/>
      <c r="X59" s="22"/>
      <c r="Y59" s="22"/>
      <c r="Z59" s="22"/>
      <c r="AA59" s="22"/>
      <c r="AB59" s="22"/>
      <c r="AC59" s="22"/>
      <c r="AD59" s="22"/>
      <c r="AE59" s="22"/>
      <c r="AF59" s="22"/>
      <c r="AG59" s="22"/>
      <c r="AH59" s="22"/>
      <c r="AI59" s="22"/>
      <c r="AJ59" s="22"/>
      <c r="AK59" s="22"/>
      <c r="AL59" s="22"/>
      <c r="AM59" s="22"/>
      <c r="AN59" s="22"/>
    </row>
    <row r="60" spans="1:40" x14ac:dyDescent="0.25">
      <c r="A60" s="22"/>
      <c r="B60" s="22"/>
      <c r="C60" s="22"/>
      <c r="D60" s="22"/>
      <c r="E60" s="22"/>
      <c r="F60" s="22"/>
      <c r="G60" s="22"/>
      <c r="H60" s="22"/>
      <c r="I60" s="22"/>
      <c r="J60" s="22"/>
      <c r="K60" s="22"/>
      <c r="L60" s="22"/>
      <c r="M60" s="22"/>
      <c r="N60" s="22"/>
      <c r="O60" s="22"/>
      <c r="P60" s="22"/>
      <c r="Q60" s="22"/>
      <c r="R60" s="22"/>
      <c r="S60" s="22"/>
      <c r="T60" s="22"/>
      <c r="U60" s="22"/>
      <c r="V60" s="22"/>
      <c r="W60" s="22"/>
      <c r="X60" s="22"/>
      <c r="Y60" s="22"/>
      <c r="Z60" s="22"/>
      <c r="AA60" s="22"/>
      <c r="AB60" s="22"/>
      <c r="AC60" s="22"/>
      <c r="AD60" s="22"/>
      <c r="AE60" s="22"/>
      <c r="AF60" s="22"/>
      <c r="AG60" s="22"/>
      <c r="AH60" s="22"/>
      <c r="AI60" s="22"/>
      <c r="AJ60" s="22"/>
      <c r="AK60" s="22"/>
      <c r="AL60" s="22"/>
      <c r="AM60" s="22"/>
      <c r="AN60" s="22"/>
    </row>
    <row r="61" spans="1:40" x14ac:dyDescent="0.25">
      <c r="A61" s="22"/>
      <c r="B61" s="22"/>
      <c r="C61" s="22"/>
      <c r="D61" s="22"/>
      <c r="E61" s="22"/>
      <c r="F61" s="22"/>
      <c r="G61" s="22"/>
      <c r="H61" s="22"/>
      <c r="I61" s="22"/>
      <c r="J61" s="22"/>
      <c r="K61" s="22"/>
      <c r="L61" s="22"/>
      <c r="M61" s="22"/>
      <c r="N61" s="22"/>
      <c r="O61" s="22"/>
      <c r="P61" s="22"/>
      <c r="Q61" s="22"/>
      <c r="R61" s="22"/>
      <c r="S61" s="22"/>
      <c r="T61" s="22"/>
      <c r="U61" s="22"/>
      <c r="V61" s="22"/>
      <c r="W61" s="22"/>
      <c r="X61" s="22"/>
      <c r="Y61" s="22"/>
      <c r="Z61" s="22"/>
      <c r="AA61" s="22"/>
      <c r="AB61" s="22"/>
      <c r="AC61" s="22"/>
      <c r="AD61" s="22"/>
      <c r="AE61" s="22"/>
      <c r="AF61" s="22"/>
      <c r="AG61" s="22"/>
      <c r="AH61" s="22"/>
      <c r="AI61" s="22"/>
      <c r="AJ61" s="22"/>
      <c r="AK61" s="22"/>
      <c r="AL61" s="22"/>
      <c r="AM61" s="22"/>
      <c r="AN61" s="22"/>
    </row>
    <row r="62" spans="1:40" x14ac:dyDescent="0.25">
      <c r="A62" s="22"/>
      <c r="B62" s="22"/>
      <c r="C62" s="22"/>
      <c r="D62" s="22"/>
      <c r="E62" s="22"/>
      <c r="F62" s="22"/>
      <c r="G62" s="22"/>
      <c r="H62" s="22"/>
      <c r="I62" s="22"/>
      <c r="J62" s="22"/>
      <c r="K62" s="22"/>
      <c r="L62" s="22"/>
      <c r="M62" s="22"/>
      <c r="N62" s="22"/>
      <c r="O62" s="22"/>
      <c r="P62" s="22"/>
      <c r="Q62" s="22"/>
      <c r="R62" s="22"/>
      <c r="S62" s="22"/>
      <c r="T62" s="22"/>
      <c r="U62" s="22"/>
      <c r="V62" s="22"/>
      <c r="W62" s="22"/>
      <c r="X62" s="22"/>
      <c r="Y62" s="22"/>
      <c r="Z62" s="22"/>
      <c r="AA62" s="22"/>
      <c r="AB62" s="22"/>
      <c r="AC62" s="22"/>
      <c r="AD62" s="22"/>
      <c r="AE62" s="22"/>
      <c r="AF62" s="22"/>
      <c r="AG62" s="22"/>
      <c r="AH62" s="22"/>
      <c r="AI62" s="22"/>
      <c r="AJ62" s="22"/>
      <c r="AK62" s="22"/>
      <c r="AL62" s="22"/>
      <c r="AM62" s="22"/>
      <c r="AN62" s="22"/>
    </row>
    <row r="63" spans="1:40" x14ac:dyDescent="0.25">
      <c r="A63" s="22"/>
      <c r="B63" s="22"/>
      <c r="C63" s="22"/>
      <c r="D63" s="22"/>
      <c r="E63" s="22"/>
      <c r="F63" s="22"/>
      <c r="G63" s="22"/>
      <c r="H63" s="22"/>
      <c r="I63" s="22"/>
      <c r="J63" s="22"/>
      <c r="K63" s="22"/>
      <c r="L63" s="22"/>
      <c r="M63" s="22"/>
      <c r="N63" s="22"/>
      <c r="O63" s="22"/>
      <c r="P63" s="22"/>
      <c r="Q63" s="22"/>
      <c r="R63" s="22"/>
      <c r="S63" s="22"/>
      <c r="T63" s="22"/>
      <c r="U63" s="22"/>
      <c r="V63" s="22"/>
      <c r="W63" s="22"/>
      <c r="X63" s="22"/>
      <c r="Y63" s="22"/>
      <c r="Z63" s="22"/>
      <c r="AA63" s="22"/>
      <c r="AB63" s="22"/>
      <c r="AC63" s="22"/>
      <c r="AD63" s="22"/>
      <c r="AE63" s="22"/>
      <c r="AF63" s="22"/>
      <c r="AG63" s="22"/>
      <c r="AH63" s="22"/>
      <c r="AI63" s="22"/>
      <c r="AJ63" s="22"/>
      <c r="AK63" s="22"/>
      <c r="AL63" s="22"/>
      <c r="AM63" s="22"/>
      <c r="AN63" s="22"/>
    </row>
    <row r="64" spans="1:40" x14ac:dyDescent="0.25">
      <c r="A64" s="22"/>
      <c r="B64" s="22"/>
      <c r="C64" s="22"/>
      <c r="D64" s="22"/>
      <c r="E64" s="22"/>
      <c r="F64" s="22"/>
      <c r="G64" s="22"/>
      <c r="H64" s="22"/>
      <c r="I64" s="22"/>
      <c r="J64" s="22"/>
      <c r="K64" s="22"/>
      <c r="L64" s="22"/>
      <c r="M64" s="22"/>
      <c r="N64" s="22"/>
      <c r="O64" s="22"/>
      <c r="P64" s="22"/>
      <c r="Q64" s="22"/>
      <c r="R64" s="22"/>
      <c r="S64" s="22"/>
      <c r="T64" s="22"/>
      <c r="U64" s="22"/>
      <c r="V64" s="22"/>
      <c r="W64" s="22"/>
      <c r="X64" s="22"/>
      <c r="Y64" s="22"/>
      <c r="Z64" s="22"/>
      <c r="AA64" s="22"/>
      <c r="AB64" s="22"/>
      <c r="AC64" s="22"/>
      <c r="AD64" s="22"/>
      <c r="AE64" s="22"/>
      <c r="AF64" s="22"/>
      <c r="AG64" s="22"/>
      <c r="AH64" s="22"/>
      <c r="AI64" s="22"/>
      <c r="AJ64" s="22"/>
      <c r="AK64" s="22"/>
      <c r="AL64" s="22"/>
      <c r="AM64" s="22"/>
      <c r="AN64" s="22"/>
    </row>
    <row r="65" spans="1:40" x14ac:dyDescent="0.25">
      <c r="A65" s="22"/>
      <c r="B65" s="22"/>
      <c r="C65" s="22"/>
      <c r="D65" s="22"/>
      <c r="E65" s="22"/>
      <c r="F65" s="22"/>
      <c r="G65" s="22"/>
      <c r="H65" s="22"/>
      <c r="I65" s="22"/>
      <c r="J65" s="22"/>
      <c r="K65" s="22"/>
      <c r="L65" s="22"/>
      <c r="M65" s="22"/>
      <c r="N65" s="22"/>
      <c r="O65" s="22"/>
      <c r="P65" s="22"/>
      <c r="Q65" s="22"/>
      <c r="R65" s="22"/>
      <c r="S65" s="22"/>
      <c r="T65" s="22"/>
      <c r="U65" s="22"/>
      <c r="V65" s="22"/>
      <c r="W65" s="22"/>
      <c r="X65" s="22"/>
      <c r="Y65" s="22"/>
      <c r="Z65" s="22"/>
      <c r="AA65" s="22"/>
      <c r="AB65" s="22"/>
      <c r="AC65" s="22"/>
      <c r="AD65" s="22"/>
      <c r="AE65" s="22"/>
      <c r="AF65" s="22"/>
      <c r="AG65" s="22"/>
      <c r="AH65" s="22"/>
      <c r="AI65" s="22"/>
      <c r="AJ65" s="22"/>
      <c r="AK65" s="22"/>
      <c r="AL65" s="22"/>
      <c r="AM65" s="22"/>
      <c r="AN65" s="22"/>
    </row>
    <row r="66" spans="1:40" x14ac:dyDescent="0.25">
      <c r="A66" s="22"/>
      <c r="B66" s="22"/>
      <c r="C66" s="22"/>
      <c r="D66" s="22"/>
      <c r="E66" s="22"/>
      <c r="F66" s="22"/>
      <c r="G66" s="22"/>
      <c r="H66" s="22"/>
      <c r="I66" s="22"/>
      <c r="J66" s="22"/>
      <c r="K66" s="22"/>
      <c r="L66" s="22"/>
      <c r="M66" s="22"/>
      <c r="N66" s="22"/>
      <c r="O66" s="22"/>
      <c r="P66" s="22"/>
      <c r="Q66" s="22"/>
      <c r="R66" s="22"/>
      <c r="S66" s="22"/>
      <c r="T66" s="22"/>
      <c r="U66" s="22"/>
      <c r="V66" s="22"/>
      <c r="W66" s="22"/>
      <c r="X66" s="22"/>
      <c r="Y66" s="22"/>
      <c r="Z66" s="22"/>
      <c r="AA66" s="22"/>
      <c r="AB66" s="22"/>
      <c r="AC66" s="22"/>
      <c r="AD66" s="22"/>
      <c r="AE66" s="22"/>
      <c r="AF66" s="22"/>
      <c r="AG66" s="22"/>
      <c r="AH66" s="22"/>
      <c r="AI66" s="22"/>
      <c r="AJ66" s="22"/>
      <c r="AK66" s="22"/>
      <c r="AL66" s="22"/>
      <c r="AM66" s="22"/>
      <c r="AN66" s="22"/>
    </row>
    <row r="67" spans="1:40" x14ac:dyDescent="0.25">
      <c r="A67" s="22"/>
      <c r="B67" s="22"/>
      <c r="C67" s="22"/>
      <c r="D67" s="22"/>
      <c r="E67" s="22"/>
      <c r="F67" s="22"/>
      <c r="G67" s="22"/>
      <c r="H67" s="22"/>
      <c r="I67" s="22"/>
      <c r="J67" s="22"/>
      <c r="K67" s="22"/>
      <c r="L67" s="22"/>
      <c r="M67" s="22"/>
      <c r="N67" s="22"/>
      <c r="O67" s="22"/>
      <c r="P67" s="22"/>
      <c r="Q67" s="22"/>
      <c r="R67" s="22"/>
      <c r="S67" s="22"/>
      <c r="T67" s="22"/>
      <c r="U67" s="22"/>
      <c r="V67" s="22"/>
      <c r="W67" s="22"/>
      <c r="X67" s="22"/>
      <c r="Y67" s="22"/>
      <c r="Z67" s="22"/>
      <c r="AA67" s="22"/>
      <c r="AB67" s="22"/>
      <c r="AC67" s="22"/>
      <c r="AD67" s="22"/>
      <c r="AE67" s="22"/>
      <c r="AF67" s="22"/>
      <c r="AG67" s="22"/>
      <c r="AH67" s="22"/>
      <c r="AI67" s="22"/>
      <c r="AJ67" s="22"/>
      <c r="AK67" s="22"/>
      <c r="AL67" s="22"/>
      <c r="AM67" s="22"/>
      <c r="AN67" s="22"/>
    </row>
    <row r="68" spans="1:40" x14ac:dyDescent="0.25">
      <c r="A68" s="22"/>
      <c r="B68" s="22"/>
      <c r="C68" s="22"/>
      <c r="D68" s="22"/>
      <c r="E68" s="22"/>
      <c r="F68" s="22"/>
      <c r="G68" s="22"/>
      <c r="H68" s="22"/>
      <c r="I68" s="22"/>
      <c r="J68" s="22"/>
      <c r="K68" s="22"/>
      <c r="L68" s="22"/>
      <c r="M68" s="22"/>
      <c r="N68" s="22"/>
      <c r="O68" s="22"/>
      <c r="P68" s="22"/>
      <c r="Q68" s="22"/>
      <c r="R68" s="22"/>
      <c r="S68" s="22"/>
      <c r="T68" s="22"/>
      <c r="U68" s="22"/>
      <c r="V68" s="22"/>
      <c r="W68" s="22"/>
      <c r="X68" s="22"/>
      <c r="Y68" s="22"/>
      <c r="Z68" s="22"/>
      <c r="AA68" s="22"/>
      <c r="AB68" s="22"/>
      <c r="AC68" s="22"/>
      <c r="AD68" s="22"/>
      <c r="AE68" s="22"/>
      <c r="AF68" s="22"/>
      <c r="AG68" s="22"/>
      <c r="AH68" s="22"/>
      <c r="AI68" s="22"/>
      <c r="AJ68" s="22"/>
      <c r="AK68" s="22"/>
      <c r="AL68" s="22"/>
      <c r="AM68" s="22"/>
      <c r="AN68" s="22"/>
    </row>
    <row r="69" spans="1:40" x14ac:dyDescent="0.25">
      <c r="A69" s="22"/>
      <c r="B69" s="22"/>
      <c r="C69" s="22"/>
      <c r="D69" s="22"/>
      <c r="E69" s="22"/>
      <c r="F69" s="22"/>
      <c r="G69" s="22"/>
      <c r="H69" s="22"/>
      <c r="I69" s="22"/>
      <c r="J69" s="22"/>
      <c r="K69" s="22"/>
      <c r="L69" s="22"/>
      <c r="M69" s="22"/>
      <c r="N69" s="22"/>
      <c r="O69" s="22"/>
      <c r="P69" s="22"/>
      <c r="Q69" s="22"/>
      <c r="R69" s="22"/>
      <c r="S69" s="22"/>
      <c r="T69" s="22"/>
      <c r="U69" s="22"/>
      <c r="V69" s="22"/>
      <c r="W69" s="22"/>
      <c r="X69" s="22"/>
      <c r="Y69" s="22"/>
      <c r="Z69" s="22"/>
      <c r="AA69" s="22"/>
      <c r="AB69" s="22"/>
      <c r="AC69" s="22"/>
      <c r="AD69" s="22"/>
      <c r="AE69" s="22"/>
      <c r="AF69" s="22"/>
      <c r="AG69" s="22"/>
      <c r="AH69" s="22"/>
      <c r="AI69" s="22"/>
      <c r="AJ69" s="22"/>
      <c r="AK69" s="22"/>
      <c r="AL69" s="22"/>
      <c r="AM69" s="22"/>
      <c r="AN69" s="22"/>
    </row>
    <row r="70" spans="1:40" x14ac:dyDescent="0.25">
      <c r="A70" s="22"/>
      <c r="B70" s="22"/>
      <c r="C70" s="22"/>
      <c r="D70" s="22"/>
      <c r="E70" s="22"/>
      <c r="F70" s="22"/>
      <c r="G70" s="22"/>
      <c r="H70" s="22"/>
      <c r="I70" s="22"/>
      <c r="J70" s="22"/>
      <c r="K70" s="22"/>
      <c r="L70" s="22"/>
      <c r="M70" s="22"/>
      <c r="N70" s="22"/>
      <c r="O70" s="22"/>
      <c r="P70" s="22"/>
      <c r="Q70" s="22"/>
      <c r="R70" s="22"/>
      <c r="S70" s="22"/>
      <c r="T70" s="22"/>
      <c r="U70" s="22"/>
      <c r="V70" s="22"/>
      <c r="W70" s="22"/>
      <c r="X70" s="22"/>
      <c r="Y70" s="22"/>
      <c r="Z70" s="22"/>
      <c r="AA70" s="22"/>
      <c r="AB70" s="22"/>
      <c r="AC70" s="22"/>
      <c r="AD70" s="22"/>
      <c r="AE70" s="22"/>
      <c r="AF70" s="22"/>
      <c r="AG70" s="22"/>
      <c r="AH70" s="22"/>
      <c r="AI70" s="22"/>
      <c r="AJ70" s="22"/>
      <c r="AK70" s="22"/>
      <c r="AL70" s="22"/>
      <c r="AM70" s="22"/>
      <c r="AN70" s="22"/>
    </row>
    <row r="71" spans="1:40" x14ac:dyDescent="0.25">
      <c r="A71" s="22"/>
      <c r="B71" s="22"/>
      <c r="C71" s="22"/>
      <c r="D71" s="22"/>
      <c r="E71" s="22"/>
      <c r="F71" s="22"/>
      <c r="G71" s="22"/>
      <c r="H71" s="22"/>
      <c r="I71" s="22"/>
      <c r="J71" s="22"/>
      <c r="K71" s="22"/>
      <c r="L71" s="22"/>
      <c r="M71" s="22"/>
      <c r="N71" s="22"/>
      <c r="O71" s="22"/>
      <c r="P71" s="22"/>
      <c r="Q71" s="22"/>
      <c r="R71" s="22"/>
      <c r="S71" s="22"/>
      <c r="T71" s="22"/>
      <c r="U71" s="22"/>
      <c r="V71" s="22"/>
      <c r="W71" s="22"/>
      <c r="X71" s="22"/>
      <c r="Y71" s="22"/>
      <c r="Z71" s="22"/>
      <c r="AA71" s="22"/>
      <c r="AB71" s="22"/>
      <c r="AC71" s="22"/>
      <c r="AD71" s="22"/>
      <c r="AE71" s="22"/>
      <c r="AF71" s="22"/>
      <c r="AG71" s="22"/>
      <c r="AH71" s="22"/>
      <c r="AI71" s="22"/>
      <c r="AJ71" s="22"/>
      <c r="AK71" s="22"/>
      <c r="AL71" s="22"/>
      <c r="AM71" s="22"/>
      <c r="AN71" s="22"/>
    </row>
    <row r="72" spans="1:40" x14ac:dyDescent="0.25">
      <c r="A72" s="22"/>
      <c r="B72" s="22"/>
      <c r="C72" s="22"/>
      <c r="D72" s="22"/>
      <c r="E72" s="22"/>
      <c r="F72" s="22"/>
      <c r="G72" s="22"/>
      <c r="H72" s="22"/>
      <c r="I72" s="22"/>
      <c r="J72" s="22"/>
      <c r="K72" s="22"/>
      <c r="L72" s="22"/>
      <c r="M72" s="22"/>
      <c r="N72" s="22"/>
      <c r="O72" s="22"/>
      <c r="P72" s="22"/>
      <c r="Q72" s="22"/>
      <c r="R72" s="22"/>
      <c r="S72" s="22"/>
      <c r="T72" s="22"/>
      <c r="U72" s="22"/>
      <c r="V72" s="22"/>
      <c r="W72" s="22"/>
      <c r="X72" s="22"/>
      <c r="Y72" s="22"/>
      <c r="Z72" s="22"/>
      <c r="AA72" s="22"/>
      <c r="AB72" s="22"/>
      <c r="AC72" s="22"/>
      <c r="AD72" s="22"/>
      <c r="AE72" s="22"/>
      <c r="AF72" s="22"/>
      <c r="AG72" s="22"/>
      <c r="AH72" s="22"/>
      <c r="AI72" s="22"/>
      <c r="AJ72" s="22"/>
      <c r="AK72" s="22"/>
      <c r="AL72" s="22"/>
      <c r="AM72" s="22"/>
      <c r="AN72" s="22"/>
    </row>
    <row r="73" spans="1:40" x14ac:dyDescent="0.25">
      <c r="A73" s="22"/>
      <c r="B73" s="22"/>
      <c r="C73" s="22"/>
      <c r="D73" s="22"/>
      <c r="E73" s="22"/>
      <c r="F73" s="22"/>
      <c r="G73" s="22"/>
      <c r="H73" s="22"/>
      <c r="I73" s="22"/>
      <c r="J73" s="22"/>
      <c r="K73" s="22"/>
      <c r="L73" s="22"/>
      <c r="M73" s="22"/>
      <c r="N73" s="22"/>
      <c r="O73" s="22"/>
      <c r="P73" s="22"/>
      <c r="Q73" s="22"/>
      <c r="R73" s="22"/>
      <c r="S73" s="22"/>
      <c r="T73" s="22"/>
      <c r="U73" s="22"/>
      <c r="V73" s="22"/>
      <c r="W73" s="22"/>
      <c r="X73" s="22"/>
      <c r="Y73" s="22"/>
      <c r="Z73" s="22"/>
      <c r="AA73" s="22"/>
      <c r="AB73" s="22"/>
      <c r="AC73" s="22"/>
      <c r="AD73" s="22"/>
      <c r="AE73" s="22"/>
      <c r="AF73" s="22"/>
      <c r="AG73" s="22"/>
      <c r="AH73" s="22"/>
      <c r="AI73" s="22"/>
      <c r="AJ73" s="22"/>
      <c r="AK73" s="22"/>
      <c r="AL73" s="22"/>
      <c r="AM73" s="22"/>
      <c r="AN73" s="22"/>
    </row>
    <row r="74" spans="1:40" x14ac:dyDescent="0.25">
      <c r="A74" s="22"/>
      <c r="B74" s="22"/>
      <c r="C74" s="22"/>
      <c r="D74" s="22"/>
      <c r="E74" s="22"/>
      <c r="F74" s="22"/>
      <c r="G74" s="22"/>
      <c r="H74" s="22"/>
      <c r="I74" s="22"/>
      <c r="J74" s="22"/>
      <c r="K74" s="22"/>
      <c r="L74" s="22"/>
      <c r="M74" s="22"/>
      <c r="N74" s="22"/>
      <c r="O74" s="22"/>
      <c r="P74" s="22"/>
      <c r="Q74" s="22"/>
      <c r="R74" s="22"/>
      <c r="S74" s="22"/>
      <c r="T74" s="22"/>
      <c r="U74" s="22"/>
      <c r="V74" s="22"/>
      <c r="W74" s="22"/>
      <c r="X74" s="22"/>
      <c r="Y74" s="22"/>
      <c r="Z74" s="22"/>
      <c r="AA74" s="22"/>
      <c r="AB74" s="22"/>
      <c r="AC74" s="22"/>
      <c r="AD74" s="22"/>
      <c r="AE74" s="22"/>
      <c r="AF74" s="22"/>
      <c r="AG74" s="22"/>
      <c r="AH74" s="22"/>
      <c r="AI74" s="22"/>
      <c r="AJ74" s="22"/>
      <c r="AK74" s="22"/>
      <c r="AL74" s="22"/>
      <c r="AM74" s="22"/>
      <c r="AN74" s="22"/>
    </row>
    <row r="75" spans="1:40" x14ac:dyDescent="0.25">
      <c r="A75" s="22"/>
      <c r="B75" s="22"/>
      <c r="C75" s="22"/>
      <c r="D75" s="22"/>
      <c r="E75" s="22"/>
      <c r="F75" s="22"/>
      <c r="G75" s="22"/>
      <c r="H75" s="22"/>
      <c r="I75" s="22"/>
      <c r="J75" s="22"/>
      <c r="K75" s="22"/>
      <c r="L75" s="22"/>
      <c r="M75" s="22"/>
      <c r="N75" s="22"/>
      <c r="O75" s="22"/>
      <c r="P75" s="22"/>
      <c r="Q75" s="22"/>
      <c r="R75" s="22"/>
      <c r="S75" s="22"/>
      <c r="T75" s="22"/>
      <c r="U75" s="22"/>
      <c r="V75" s="22"/>
      <c r="W75" s="22"/>
      <c r="X75" s="22"/>
      <c r="Y75" s="22"/>
      <c r="Z75" s="22"/>
      <c r="AA75" s="22"/>
      <c r="AB75" s="22"/>
      <c r="AC75" s="22"/>
      <c r="AD75" s="22"/>
      <c r="AE75" s="22"/>
      <c r="AF75" s="22"/>
      <c r="AG75" s="22"/>
      <c r="AH75" s="22"/>
      <c r="AI75" s="22"/>
      <c r="AJ75" s="22"/>
      <c r="AK75" s="22"/>
      <c r="AL75" s="22"/>
      <c r="AM75" s="22"/>
      <c r="AN75" s="22"/>
    </row>
    <row r="76" spans="1:40" x14ac:dyDescent="0.25">
      <c r="A76" s="22"/>
      <c r="B76" s="22"/>
      <c r="C76" s="22"/>
      <c r="D76" s="22"/>
      <c r="E76" s="22"/>
      <c r="F76" s="22"/>
      <c r="G76" s="22"/>
      <c r="H76" s="22"/>
      <c r="I76" s="22"/>
      <c r="J76" s="22"/>
      <c r="K76" s="22"/>
      <c r="L76" s="22"/>
      <c r="M76" s="22"/>
      <c r="N76" s="22"/>
      <c r="O76" s="22"/>
      <c r="P76" s="22"/>
      <c r="Q76" s="22"/>
      <c r="R76" s="22"/>
      <c r="S76" s="22"/>
      <c r="T76" s="22"/>
      <c r="U76" s="22"/>
      <c r="V76" s="22"/>
      <c r="W76" s="22"/>
      <c r="X76" s="22"/>
      <c r="Y76" s="22"/>
      <c r="Z76" s="22"/>
      <c r="AA76" s="22"/>
      <c r="AB76" s="22"/>
      <c r="AC76" s="22"/>
      <c r="AD76" s="22"/>
      <c r="AE76" s="22"/>
      <c r="AF76" s="22"/>
      <c r="AG76" s="22"/>
      <c r="AH76" s="22"/>
      <c r="AI76" s="22"/>
      <c r="AJ76" s="22"/>
      <c r="AK76" s="22"/>
      <c r="AL76" s="22"/>
      <c r="AM76" s="22"/>
      <c r="AN76" s="22"/>
    </row>
    <row r="77" spans="1:40" x14ac:dyDescent="0.25">
      <c r="A77" s="22"/>
      <c r="B77" s="22"/>
      <c r="C77" s="22"/>
      <c r="D77" s="22"/>
      <c r="E77" s="22"/>
      <c r="F77" s="22"/>
      <c r="G77" s="22"/>
      <c r="H77" s="22"/>
      <c r="I77" s="22"/>
      <c r="J77" s="22"/>
      <c r="K77" s="22"/>
      <c r="L77" s="22"/>
      <c r="M77" s="22"/>
      <c r="N77" s="22"/>
      <c r="O77" s="22"/>
      <c r="P77" s="22"/>
      <c r="Q77" s="22"/>
      <c r="R77" s="22"/>
      <c r="S77" s="22"/>
      <c r="T77" s="22"/>
      <c r="U77" s="22"/>
      <c r="V77" s="22"/>
      <c r="W77" s="22"/>
      <c r="X77" s="22"/>
      <c r="Y77" s="22"/>
      <c r="Z77" s="22"/>
      <c r="AA77" s="22"/>
      <c r="AB77" s="22"/>
      <c r="AC77" s="22"/>
      <c r="AD77" s="22"/>
      <c r="AE77" s="22"/>
      <c r="AF77" s="22"/>
      <c r="AG77" s="22"/>
      <c r="AH77" s="22"/>
      <c r="AI77" s="22"/>
      <c r="AJ77" s="22"/>
      <c r="AK77" s="22"/>
      <c r="AL77" s="22"/>
      <c r="AM77" s="22"/>
      <c r="AN77" s="22"/>
    </row>
    <row r="78" spans="1:40" x14ac:dyDescent="0.25">
      <c r="A78" s="22"/>
      <c r="B78" s="22"/>
      <c r="C78" s="22"/>
      <c r="D78" s="22"/>
      <c r="E78" s="22"/>
      <c r="F78" s="22"/>
      <c r="G78" s="22"/>
      <c r="H78" s="22"/>
      <c r="I78" s="22"/>
      <c r="J78" s="22"/>
      <c r="K78" s="22"/>
      <c r="L78" s="22"/>
      <c r="M78" s="22"/>
      <c r="N78" s="22"/>
      <c r="O78" s="22"/>
      <c r="P78" s="22"/>
      <c r="Q78" s="22"/>
      <c r="R78" s="22"/>
      <c r="S78" s="22"/>
      <c r="T78" s="22"/>
      <c r="U78" s="22"/>
      <c r="V78" s="22"/>
      <c r="W78" s="22"/>
      <c r="X78" s="22"/>
      <c r="Y78" s="22"/>
      <c r="Z78" s="22"/>
      <c r="AA78" s="22"/>
      <c r="AB78" s="22"/>
      <c r="AC78" s="22"/>
      <c r="AD78" s="22"/>
      <c r="AE78" s="22"/>
      <c r="AF78" s="22"/>
      <c r="AG78" s="22"/>
      <c r="AH78" s="22"/>
      <c r="AI78" s="22"/>
      <c r="AJ78" s="22"/>
      <c r="AK78" s="22"/>
      <c r="AL78" s="22"/>
      <c r="AM78" s="22"/>
      <c r="AN78" s="22"/>
    </row>
    <row r="79" spans="1:40" x14ac:dyDescent="0.25">
      <c r="A79" s="22"/>
      <c r="B79" s="22"/>
      <c r="C79" s="22"/>
      <c r="D79" s="22"/>
      <c r="E79" s="22"/>
      <c r="F79" s="22"/>
      <c r="G79" s="22"/>
      <c r="H79" s="22"/>
      <c r="I79" s="22"/>
      <c r="J79" s="22"/>
      <c r="K79" s="22"/>
      <c r="L79" s="22"/>
      <c r="M79" s="22"/>
      <c r="N79" s="22"/>
      <c r="O79" s="22"/>
      <c r="P79" s="22"/>
      <c r="Q79" s="22"/>
      <c r="R79" s="22"/>
      <c r="S79" s="22"/>
      <c r="T79" s="22"/>
      <c r="U79" s="22"/>
      <c r="V79" s="22"/>
      <c r="W79" s="22"/>
      <c r="X79" s="22"/>
      <c r="Y79" s="22"/>
      <c r="Z79" s="22"/>
      <c r="AA79" s="22"/>
      <c r="AB79" s="22"/>
      <c r="AC79" s="22"/>
      <c r="AD79" s="22"/>
      <c r="AE79" s="22"/>
      <c r="AF79" s="22"/>
      <c r="AG79" s="22"/>
      <c r="AH79" s="22"/>
      <c r="AI79" s="22"/>
      <c r="AJ79" s="22"/>
      <c r="AK79" s="22"/>
      <c r="AL79" s="22"/>
      <c r="AM79" s="22"/>
      <c r="AN79" s="22"/>
    </row>
    <row r="80" spans="1:40" x14ac:dyDescent="0.25">
      <c r="A80" s="22"/>
      <c r="B80" s="22"/>
      <c r="C80" s="22"/>
      <c r="D80" s="22"/>
      <c r="E80" s="22"/>
      <c r="F80" s="22"/>
      <c r="G80" s="22"/>
      <c r="H80" s="22"/>
      <c r="I80" s="22"/>
      <c r="J80" s="22"/>
      <c r="K80" s="22"/>
      <c r="L80" s="22"/>
      <c r="M80" s="22"/>
      <c r="N80" s="22"/>
      <c r="O80" s="22"/>
      <c r="P80" s="22"/>
      <c r="Q80" s="22"/>
      <c r="R80" s="22"/>
      <c r="S80" s="22"/>
      <c r="T80" s="22"/>
      <c r="U80" s="22"/>
      <c r="V80" s="22"/>
      <c r="W80" s="22"/>
      <c r="X80" s="22"/>
      <c r="Y80" s="22"/>
      <c r="Z80" s="22"/>
      <c r="AA80" s="22"/>
      <c r="AB80" s="22"/>
      <c r="AC80" s="22"/>
      <c r="AD80" s="22"/>
      <c r="AE80" s="22"/>
      <c r="AF80" s="22"/>
      <c r="AG80" s="22"/>
      <c r="AH80" s="22"/>
      <c r="AI80" s="22"/>
      <c r="AJ80" s="22"/>
      <c r="AK80" s="22"/>
      <c r="AL80" s="22"/>
      <c r="AM80" s="22"/>
      <c r="AN80" s="22"/>
    </row>
    <row r="81" spans="1:40" x14ac:dyDescent="0.25">
      <c r="A81" s="22"/>
      <c r="B81" s="22"/>
      <c r="C81" s="22"/>
      <c r="D81" s="22"/>
      <c r="E81" s="22"/>
      <c r="F81" s="22"/>
      <c r="G81" s="22"/>
      <c r="H81" s="22"/>
      <c r="I81" s="22"/>
      <c r="J81" s="22"/>
      <c r="K81" s="22"/>
      <c r="L81" s="22"/>
      <c r="M81" s="22"/>
      <c r="N81" s="22"/>
      <c r="O81" s="22"/>
      <c r="P81" s="22"/>
      <c r="Q81" s="22"/>
      <c r="R81" s="22"/>
      <c r="S81" s="22"/>
      <c r="T81" s="22"/>
      <c r="U81" s="22"/>
      <c r="V81" s="22"/>
      <c r="W81" s="22"/>
      <c r="X81" s="22"/>
      <c r="Y81" s="22"/>
      <c r="Z81" s="22"/>
      <c r="AA81" s="22"/>
      <c r="AB81" s="22"/>
      <c r="AC81" s="22"/>
      <c r="AD81" s="22"/>
      <c r="AE81" s="22"/>
      <c r="AF81" s="22"/>
      <c r="AG81" s="22"/>
      <c r="AH81" s="22"/>
      <c r="AI81" s="22"/>
      <c r="AJ81" s="22"/>
      <c r="AK81" s="22"/>
      <c r="AL81" s="22"/>
      <c r="AM81" s="22"/>
      <c r="AN81" s="22"/>
    </row>
    <row r="82" spans="1:40" x14ac:dyDescent="0.25">
      <c r="A82" s="22"/>
      <c r="B82" s="22"/>
      <c r="C82" s="22"/>
      <c r="D82" s="22"/>
      <c r="E82" s="22"/>
      <c r="F82" s="22"/>
      <c r="G82" s="22"/>
      <c r="H82" s="22"/>
      <c r="I82" s="22"/>
      <c r="J82" s="22"/>
      <c r="K82" s="22"/>
      <c r="L82" s="22"/>
      <c r="M82" s="22"/>
      <c r="N82" s="22"/>
      <c r="O82" s="22"/>
      <c r="P82" s="22"/>
      <c r="Q82" s="22"/>
      <c r="R82" s="22"/>
      <c r="S82" s="22"/>
      <c r="T82" s="22"/>
      <c r="U82" s="22"/>
      <c r="V82" s="22"/>
      <c r="W82" s="22"/>
      <c r="X82" s="22"/>
      <c r="Y82" s="22"/>
      <c r="Z82" s="22"/>
      <c r="AA82" s="22"/>
      <c r="AB82" s="22"/>
      <c r="AC82" s="22"/>
      <c r="AD82" s="22"/>
      <c r="AE82" s="22"/>
      <c r="AF82" s="22"/>
      <c r="AG82" s="22"/>
      <c r="AH82" s="22"/>
      <c r="AI82" s="22"/>
      <c r="AJ82" s="22"/>
      <c r="AK82" s="22"/>
      <c r="AL82" s="22"/>
      <c r="AM82" s="22"/>
      <c r="AN82" s="22"/>
    </row>
    <row r="83" spans="1:40" x14ac:dyDescent="0.25">
      <c r="A83" s="22"/>
      <c r="B83" s="22"/>
      <c r="C83" s="22"/>
      <c r="D83" s="22"/>
      <c r="E83" s="22"/>
      <c r="F83" s="22"/>
      <c r="G83" s="22"/>
      <c r="H83" s="22"/>
      <c r="I83" s="22"/>
      <c r="J83" s="22"/>
      <c r="K83" s="22"/>
      <c r="L83" s="22"/>
      <c r="M83" s="22"/>
      <c r="N83" s="22"/>
      <c r="O83" s="22"/>
      <c r="P83" s="22"/>
      <c r="Q83" s="22"/>
      <c r="R83" s="22"/>
      <c r="S83" s="22"/>
      <c r="T83" s="22"/>
      <c r="U83" s="22"/>
      <c r="V83" s="22"/>
      <c r="W83" s="22"/>
      <c r="X83" s="22"/>
      <c r="Y83" s="22"/>
      <c r="Z83" s="22"/>
      <c r="AA83" s="22"/>
      <c r="AB83" s="22"/>
      <c r="AC83" s="22"/>
      <c r="AD83" s="22"/>
      <c r="AE83" s="22"/>
      <c r="AF83" s="22"/>
      <c r="AG83" s="22"/>
      <c r="AH83" s="22"/>
      <c r="AI83" s="22"/>
      <c r="AJ83" s="22"/>
      <c r="AK83" s="22"/>
      <c r="AL83" s="22"/>
      <c r="AM83" s="22"/>
      <c r="AN83" s="22"/>
    </row>
    <row r="84" spans="1:40" x14ac:dyDescent="0.25">
      <c r="A84" s="22"/>
      <c r="B84" s="22"/>
      <c r="C84" s="22"/>
      <c r="D84" s="22"/>
      <c r="E84" s="22"/>
      <c r="F84" s="22"/>
      <c r="G84" s="22"/>
      <c r="H84" s="22"/>
      <c r="I84" s="22"/>
      <c r="J84" s="22"/>
      <c r="K84" s="22"/>
      <c r="L84" s="22"/>
      <c r="M84" s="22"/>
      <c r="N84" s="22"/>
      <c r="O84" s="22"/>
      <c r="P84" s="22"/>
      <c r="Q84" s="22"/>
      <c r="R84" s="22"/>
      <c r="S84" s="22"/>
      <c r="T84" s="22"/>
      <c r="U84" s="22"/>
      <c r="V84" s="22"/>
      <c r="W84" s="22"/>
      <c r="X84" s="22"/>
      <c r="Y84" s="22"/>
      <c r="Z84" s="22"/>
      <c r="AA84" s="22"/>
      <c r="AB84" s="22"/>
      <c r="AC84" s="22"/>
      <c r="AD84" s="22"/>
      <c r="AE84" s="22"/>
      <c r="AF84" s="22"/>
      <c r="AG84" s="22"/>
      <c r="AH84" s="22"/>
      <c r="AI84" s="22"/>
      <c r="AJ84" s="22"/>
      <c r="AK84" s="22"/>
      <c r="AL84" s="22"/>
      <c r="AM84" s="22"/>
      <c r="AN84" s="22"/>
    </row>
    <row r="85" spans="1:40" x14ac:dyDescent="0.25">
      <c r="A85" s="22"/>
      <c r="B85" s="22"/>
      <c r="C85" s="22"/>
      <c r="D85" s="22"/>
      <c r="E85" s="22"/>
      <c r="F85" s="22"/>
      <c r="G85" s="22"/>
      <c r="H85" s="22"/>
      <c r="I85" s="22"/>
      <c r="J85" s="22"/>
      <c r="K85" s="22"/>
      <c r="L85" s="22"/>
      <c r="M85" s="22"/>
      <c r="N85" s="22"/>
      <c r="O85" s="22"/>
      <c r="P85" s="22"/>
      <c r="Q85" s="22"/>
      <c r="R85" s="22"/>
      <c r="S85" s="22"/>
      <c r="T85" s="22"/>
      <c r="U85" s="22"/>
      <c r="V85" s="22"/>
      <c r="W85" s="22"/>
      <c r="X85" s="22"/>
      <c r="Y85" s="22"/>
      <c r="Z85" s="22"/>
      <c r="AA85" s="22"/>
      <c r="AB85" s="22"/>
      <c r="AC85" s="22"/>
      <c r="AD85" s="22"/>
      <c r="AE85" s="22"/>
      <c r="AF85" s="22"/>
      <c r="AG85" s="22"/>
      <c r="AH85" s="22"/>
      <c r="AI85" s="22"/>
      <c r="AJ85" s="22"/>
      <c r="AK85" s="22"/>
      <c r="AL85" s="22"/>
      <c r="AM85" s="22"/>
      <c r="AN85" s="22"/>
    </row>
    <row r="86" spans="1:40" x14ac:dyDescent="0.25">
      <c r="A86" s="22"/>
      <c r="B86" s="22"/>
      <c r="C86" s="22"/>
      <c r="D86" s="22"/>
      <c r="E86" s="22"/>
      <c r="F86" s="22"/>
      <c r="G86" s="22"/>
      <c r="H86" s="22"/>
      <c r="I86" s="22"/>
      <c r="J86" s="22"/>
      <c r="K86" s="22"/>
      <c r="L86" s="22"/>
      <c r="M86" s="22"/>
      <c r="N86" s="22"/>
      <c r="O86" s="22"/>
      <c r="P86" s="22"/>
      <c r="Q86" s="22"/>
      <c r="R86" s="22"/>
      <c r="S86" s="22"/>
      <c r="T86" s="22"/>
      <c r="U86" s="22"/>
      <c r="V86" s="22"/>
      <c r="W86" s="22"/>
      <c r="X86" s="22"/>
      <c r="Y86" s="22"/>
      <c r="Z86" s="22"/>
      <c r="AA86" s="22"/>
      <c r="AB86" s="22"/>
      <c r="AC86" s="22"/>
      <c r="AD86" s="22"/>
      <c r="AE86" s="22"/>
      <c r="AF86" s="22"/>
      <c r="AG86" s="22"/>
      <c r="AH86" s="22"/>
      <c r="AI86" s="22"/>
      <c r="AJ86" s="22"/>
      <c r="AK86" s="22"/>
      <c r="AL86" s="22"/>
      <c r="AM86" s="22"/>
      <c r="AN86" s="22"/>
    </row>
    <row r="87" spans="1:40" x14ac:dyDescent="0.25">
      <c r="A87" s="22"/>
      <c r="B87" s="22"/>
      <c r="C87" s="22"/>
      <c r="D87" s="22"/>
      <c r="E87" s="22"/>
      <c r="F87" s="22"/>
      <c r="G87" s="22"/>
      <c r="H87" s="22"/>
      <c r="I87" s="22"/>
      <c r="J87" s="22"/>
      <c r="K87" s="22"/>
      <c r="L87" s="22"/>
      <c r="M87" s="22"/>
      <c r="N87" s="22"/>
      <c r="O87" s="22"/>
      <c r="P87" s="22"/>
      <c r="Q87" s="22"/>
      <c r="R87" s="22"/>
      <c r="S87" s="22"/>
      <c r="T87" s="22"/>
      <c r="U87" s="22"/>
      <c r="V87" s="22"/>
      <c r="W87" s="22"/>
      <c r="X87" s="22"/>
      <c r="Y87" s="22"/>
      <c r="Z87" s="22"/>
      <c r="AA87" s="22"/>
      <c r="AB87" s="22"/>
      <c r="AC87" s="22"/>
      <c r="AD87" s="22"/>
      <c r="AE87" s="22"/>
      <c r="AF87" s="22"/>
      <c r="AG87" s="22"/>
      <c r="AH87" s="22"/>
      <c r="AI87" s="22"/>
      <c r="AJ87" s="22"/>
      <c r="AK87" s="22"/>
      <c r="AL87" s="22"/>
      <c r="AM87" s="22"/>
      <c r="AN87" s="22"/>
    </row>
    <row r="88" spans="1:40" x14ac:dyDescent="0.25">
      <c r="A88" s="22"/>
      <c r="B88" s="22"/>
      <c r="C88" s="22"/>
      <c r="D88" s="22"/>
      <c r="E88" s="22"/>
      <c r="F88" s="22"/>
      <c r="G88" s="22"/>
      <c r="H88" s="22"/>
      <c r="I88" s="22"/>
      <c r="J88" s="22"/>
      <c r="K88" s="22"/>
      <c r="L88" s="22"/>
      <c r="M88" s="22"/>
      <c r="N88" s="22"/>
      <c r="O88" s="22"/>
      <c r="P88" s="22"/>
      <c r="Q88" s="22"/>
      <c r="R88" s="22"/>
      <c r="S88" s="22"/>
      <c r="T88" s="22"/>
      <c r="U88" s="22"/>
      <c r="V88" s="22"/>
      <c r="W88" s="22"/>
      <c r="X88" s="22"/>
      <c r="Y88" s="22"/>
      <c r="Z88" s="22"/>
      <c r="AA88" s="22"/>
      <c r="AB88" s="22"/>
      <c r="AC88" s="22"/>
      <c r="AD88" s="22"/>
      <c r="AE88" s="22"/>
      <c r="AF88" s="22"/>
      <c r="AG88" s="22"/>
      <c r="AH88" s="22"/>
      <c r="AI88" s="22"/>
      <c r="AJ88" s="22"/>
      <c r="AK88" s="22"/>
      <c r="AL88" s="22"/>
      <c r="AM88" s="22"/>
      <c r="AN88" s="22"/>
    </row>
    <row r="89" spans="1:40" x14ac:dyDescent="0.25">
      <c r="A89" s="22"/>
      <c r="B89" s="22"/>
      <c r="C89" s="22"/>
      <c r="D89" s="22"/>
      <c r="E89" s="22"/>
      <c r="F89" s="22"/>
      <c r="G89" s="22"/>
      <c r="H89" s="22"/>
      <c r="I89" s="22"/>
      <c r="J89" s="22"/>
      <c r="K89" s="22"/>
      <c r="L89" s="22"/>
      <c r="M89" s="22"/>
      <c r="N89" s="22"/>
      <c r="O89" s="22"/>
      <c r="P89" s="22"/>
      <c r="Q89" s="22"/>
      <c r="R89" s="22"/>
      <c r="S89" s="22"/>
      <c r="T89" s="22"/>
      <c r="U89" s="22"/>
      <c r="V89" s="22"/>
      <c r="W89" s="22"/>
      <c r="X89" s="22"/>
      <c r="Y89" s="22"/>
      <c r="Z89" s="22"/>
      <c r="AA89" s="22"/>
      <c r="AB89" s="22"/>
      <c r="AC89" s="22"/>
      <c r="AD89" s="22"/>
      <c r="AE89" s="22"/>
      <c r="AF89" s="22"/>
      <c r="AG89" s="22"/>
      <c r="AH89" s="22"/>
      <c r="AI89" s="22"/>
      <c r="AJ89" s="22"/>
      <c r="AK89" s="22"/>
      <c r="AL89" s="22"/>
      <c r="AM89" s="22"/>
      <c r="AN89" s="22"/>
    </row>
    <row r="90" spans="1:40" x14ac:dyDescent="0.25">
      <c r="A90" s="22"/>
      <c r="B90" s="22"/>
      <c r="C90" s="22"/>
      <c r="D90" s="22"/>
      <c r="E90" s="22"/>
      <c r="F90" s="22"/>
      <c r="G90" s="22"/>
      <c r="H90" s="22"/>
      <c r="I90" s="22"/>
      <c r="J90" s="22"/>
      <c r="K90" s="22"/>
      <c r="L90" s="22"/>
      <c r="M90" s="22"/>
      <c r="N90" s="22"/>
      <c r="O90" s="22"/>
      <c r="P90" s="22"/>
      <c r="Q90" s="22"/>
      <c r="R90" s="22"/>
      <c r="S90" s="22"/>
      <c r="T90" s="22"/>
      <c r="U90" s="22"/>
      <c r="V90" s="22"/>
      <c r="W90" s="22"/>
      <c r="X90" s="22"/>
      <c r="Y90" s="22"/>
      <c r="Z90" s="22"/>
      <c r="AA90" s="22"/>
      <c r="AB90" s="22"/>
      <c r="AC90" s="22"/>
      <c r="AD90" s="22"/>
      <c r="AE90" s="22"/>
      <c r="AF90" s="22"/>
      <c r="AG90" s="22"/>
      <c r="AH90" s="22"/>
      <c r="AI90" s="22"/>
      <c r="AJ90" s="22"/>
      <c r="AK90" s="22"/>
      <c r="AL90" s="22"/>
      <c r="AM90" s="22"/>
      <c r="AN90" s="22"/>
    </row>
    <row r="91" spans="1:40" x14ac:dyDescent="0.25">
      <c r="A91" s="22"/>
      <c r="B91" s="22"/>
      <c r="C91" s="22"/>
      <c r="D91" s="22"/>
      <c r="E91" s="22"/>
      <c r="F91" s="22"/>
      <c r="G91" s="22"/>
      <c r="H91" s="22"/>
      <c r="I91" s="22"/>
      <c r="J91" s="22"/>
      <c r="K91" s="22"/>
      <c r="L91" s="22"/>
      <c r="M91" s="22"/>
      <c r="N91" s="22"/>
      <c r="O91" s="22"/>
      <c r="P91" s="22"/>
      <c r="Q91" s="22"/>
      <c r="R91" s="22"/>
      <c r="S91" s="22"/>
      <c r="T91" s="22"/>
      <c r="U91" s="22"/>
      <c r="V91" s="22"/>
      <c r="W91" s="22"/>
      <c r="X91" s="22"/>
      <c r="Y91" s="22"/>
      <c r="Z91" s="22"/>
      <c r="AA91" s="22"/>
      <c r="AB91" s="22"/>
      <c r="AC91" s="22"/>
      <c r="AD91" s="22"/>
      <c r="AE91" s="22"/>
      <c r="AF91" s="22"/>
      <c r="AG91" s="22"/>
      <c r="AH91" s="22"/>
      <c r="AI91" s="22"/>
      <c r="AJ91" s="22"/>
      <c r="AK91" s="22"/>
      <c r="AL91" s="22"/>
      <c r="AM91" s="22"/>
      <c r="AN91" s="22"/>
    </row>
    <row r="92" spans="1:40" x14ac:dyDescent="0.25">
      <c r="A92" s="22"/>
      <c r="B92" s="22"/>
      <c r="C92" s="22"/>
      <c r="D92" s="22"/>
      <c r="E92" s="22"/>
      <c r="F92" s="22"/>
      <c r="G92" s="22"/>
      <c r="H92" s="22"/>
      <c r="I92" s="22"/>
      <c r="J92" s="22"/>
      <c r="K92" s="22"/>
      <c r="L92" s="22"/>
      <c r="M92" s="22"/>
      <c r="N92" s="22"/>
      <c r="O92" s="22"/>
      <c r="P92" s="22"/>
      <c r="Q92" s="22"/>
      <c r="R92" s="22"/>
      <c r="S92" s="22"/>
      <c r="T92" s="22"/>
      <c r="U92" s="22"/>
      <c r="V92" s="22"/>
      <c r="W92" s="22"/>
      <c r="X92" s="22"/>
      <c r="Y92" s="22"/>
      <c r="Z92" s="22"/>
      <c r="AA92" s="22"/>
      <c r="AB92" s="22"/>
      <c r="AC92" s="22"/>
      <c r="AD92" s="22"/>
      <c r="AE92" s="22"/>
      <c r="AF92" s="22"/>
      <c r="AG92" s="22"/>
      <c r="AH92" s="22"/>
      <c r="AI92" s="22"/>
      <c r="AJ92" s="22"/>
      <c r="AK92" s="22"/>
      <c r="AL92" s="22"/>
      <c r="AM92" s="22"/>
      <c r="AN92" s="22"/>
    </row>
    <row r="93" spans="1:40" x14ac:dyDescent="0.25">
      <c r="A93" s="22"/>
      <c r="B93" s="22"/>
      <c r="C93" s="22"/>
      <c r="D93" s="22"/>
      <c r="E93" s="22"/>
      <c r="F93" s="22"/>
      <c r="G93" s="22"/>
      <c r="H93" s="22"/>
      <c r="I93" s="22"/>
      <c r="J93" s="22"/>
      <c r="K93" s="22"/>
      <c r="L93" s="22"/>
      <c r="M93" s="22"/>
      <c r="N93" s="22"/>
      <c r="O93" s="22"/>
      <c r="P93" s="22"/>
      <c r="Q93" s="22"/>
      <c r="R93" s="22"/>
      <c r="S93" s="22"/>
      <c r="T93" s="22"/>
      <c r="U93" s="22"/>
      <c r="V93" s="22"/>
      <c r="W93" s="22"/>
      <c r="X93" s="22"/>
      <c r="Y93" s="22"/>
      <c r="Z93" s="22"/>
      <c r="AA93" s="22"/>
      <c r="AB93" s="22"/>
      <c r="AC93" s="22"/>
      <c r="AD93" s="22"/>
      <c r="AE93" s="22"/>
      <c r="AF93" s="22"/>
      <c r="AG93" s="22"/>
      <c r="AH93" s="22"/>
      <c r="AI93" s="22"/>
      <c r="AJ93" s="22"/>
      <c r="AK93" s="22"/>
      <c r="AL93" s="22"/>
      <c r="AM93" s="22"/>
      <c r="AN93" s="22"/>
    </row>
    <row r="94" spans="1:40" x14ac:dyDescent="0.25">
      <c r="A94" s="22"/>
      <c r="B94" s="22"/>
      <c r="C94" s="22"/>
      <c r="D94" s="22"/>
      <c r="E94" s="22"/>
      <c r="F94" s="22"/>
      <c r="G94" s="22"/>
      <c r="H94" s="22"/>
      <c r="I94" s="22"/>
      <c r="J94" s="22"/>
      <c r="K94" s="22"/>
      <c r="L94" s="22"/>
      <c r="M94" s="22"/>
      <c r="N94" s="22"/>
      <c r="O94" s="22"/>
      <c r="P94" s="22"/>
      <c r="Q94" s="22"/>
      <c r="R94" s="22"/>
      <c r="S94" s="22"/>
      <c r="T94" s="22"/>
      <c r="U94" s="22"/>
      <c r="V94" s="22"/>
      <c r="W94" s="22"/>
      <c r="X94" s="22"/>
      <c r="Y94" s="22"/>
      <c r="Z94" s="22"/>
      <c r="AA94" s="22"/>
      <c r="AB94" s="22"/>
      <c r="AC94" s="22"/>
      <c r="AD94" s="22"/>
      <c r="AE94" s="22"/>
      <c r="AF94" s="22"/>
      <c r="AG94" s="22"/>
      <c r="AH94" s="22"/>
      <c r="AI94" s="22"/>
      <c r="AJ94" s="22"/>
      <c r="AK94" s="22"/>
      <c r="AL94" s="22"/>
      <c r="AM94" s="22"/>
      <c r="AN94" s="22"/>
    </row>
    <row r="95" spans="1:40" x14ac:dyDescent="0.25">
      <c r="A95" s="22"/>
      <c r="B95" s="22"/>
      <c r="C95" s="22"/>
      <c r="D95" s="22"/>
      <c r="E95" s="22"/>
      <c r="F95" s="22"/>
      <c r="G95" s="22"/>
      <c r="H95" s="22"/>
      <c r="I95" s="22"/>
      <c r="J95" s="22"/>
      <c r="K95" s="22"/>
      <c r="L95" s="22"/>
      <c r="M95" s="22"/>
      <c r="N95" s="22"/>
      <c r="O95" s="22"/>
      <c r="P95" s="22"/>
      <c r="Q95" s="22"/>
      <c r="R95" s="22"/>
      <c r="S95" s="22"/>
      <c r="T95" s="22"/>
      <c r="U95" s="22"/>
      <c r="V95" s="22"/>
      <c r="W95" s="22"/>
      <c r="X95" s="22"/>
      <c r="Y95" s="22"/>
      <c r="Z95" s="22"/>
      <c r="AA95" s="22"/>
      <c r="AB95" s="22"/>
      <c r="AC95" s="22"/>
      <c r="AD95" s="22"/>
      <c r="AE95" s="22"/>
      <c r="AF95" s="22"/>
      <c r="AG95" s="22"/>
      <c r="AH95" s="22"/>
      <c r="AI95" s="22"/>
      <c r="AJ95" s="22"/>
      <c r="AK95" s="22"/>
      <c r="AL95" s="22"/>
      <c r="AM95" s="22"/>
      <c r="AN95" s="22"/>
    </row>
    <row r="96" spans="1:40" x14ac:dyDescent="0.25">
      <c r="A96" s="22"/>
      <c r="B96" s="22"/>
      <c r="C96" s="22"/>
      <c r="D96" s="22"/>
      <c r="E96" s="22"/>
      <c r="F96" s="22"/>
      <c r="G96" s="22"/>
      <c r="H96" s="22"/>
      <c r="I96" s="22"/>
      <c r="J96" s="22"/>
      <c r="K96" s="22"/>
      <c r="L96" s="22"/>
      <c r="M96" s="22"/>
      <c r="N96" s="22"/>
      <c r="O96" s="22"/>
      <c r="P96" s="22"/>
      <c r="Q96" s="22"/>
      <c r="R96" s="22"/>
      <c r="S96" s="22"/>
      <c r="T96" s="22"/>
      <c r="U96" s="22"/>
      <c r="V96" s="22"/>
      <c r="W96" s="22"/>
      <c r="X96" s="22"/>
      <c r="Y96" s="22"/>
      <c r="Z96" s="22"/>
      <c r="AA96" s="22"/>
      <c r="AB96" s="22"/>
      <c r="AC96" s="22"/>
      <c r="AD96" s="22"/>
      <c r="AE96" s="22"/>
      <c r="AF96" s="22"/>
      <c r="AG96" s="22"/>
      <c r="AH96" s="22"/>
      <c r="AI96" s="22"/>
      <c r="AJ96" s="22"/>
      <c r="AK96" s="22"/>
      <c r="AL96" s="22"/>
      <c r="AM96" s="22"/>
      <c r="AN96" s="22"/>
    </row>
    <row r="97" spans="1:40" x14ac:dyDescent="0.25">
      <c r="A97" s="22"/>
      <c r="B97" s="22"/>
      <c r="C97" s="22"/>
      <c r="D97" s="22"/>
      <c r="E97" s="22"/>
      <c r="F97" s="22"/>
      <c r="G97" s="22"/>
      <c r="H97" s="22"/>
      <c r="I97" s="22"/>
      <c r="J97" s="22"/>
      <c r="K97" s="22"/>
      <c r="L97" s="22"/>
      <c r="M97" s="22"/>
      <c r="N97" s="22"/>
      <c r="O97" s="22"/>
      <c r="P97" s="22"/>
      <c r="Q97" s="22"/>
      <c r="R97" s="22"/>
      <c r="S97" s="22"/>
      <c r="T97" s="22"/>
      <c r="U97" s="22"/>
      <c r="V97" s="22"/>
      <c r="W97" s="22"/>
      <c r="X97" s="22"/>
      <c r="Y97" s="22"/>
      <c r="Z97" s="22"/>
      <c r="AA97" s="22"/>
      <c r="AB97" s="22"/>
      <c r="AC97" s="22"/>
      <c r="AD97" s="22"/>
      <c r="AE97" s="22"/>
      <c r="AF97" s="22"/>
      <c r="AG97" s="22"/>
      <c r="AH97" s="22"/>
      <c r="AI97" s="22"/>
      <c r="AJ97" s="22"/>
      <c r="AK97" s="22"/>
      <c r="AL97" s="22"/>
      <c r="AM97" s="22"/>
      <c r="AN97" s="22"/>
    </row>
    <row r="98" spans="1:40" x14ac:dyDescent="0.25">
      <c r="A98" s="22"/>
      <c r="B98" s="22"/>
      <c r="C98" s="22"/>
      <c r="D98" s="22"/>
      <c r="E98" s="22"/>
      <c r="F98" s="22"/>
      <c r="G98" s="22"/>
      <c r="H98" s="22"/>
      <c r="I98" s="22"/>
      <c r="J98" s="22"/>
      <c r="K98" s="22"/>
      <c r="L98" s="22"/>
      <c r="M98" s="22"/>
      <c r="N98" s="22"/>
      <c r="O98" s="22"/>
      <c r="P98" s="22"/>
      <c r="Q98" s="22"/>
      <c r="R98" s="22"/>
      <c r="S98" s="22"/>
      <c r="T98" s="22"/>
      <c r="U98" s="22"/>
      <c r="V98" s="22"/>
      <c r="W98" s="22"/>
      <c r="X98" s="22"/>
      <c r="Y98" s="22"/>
      <c r="Z98" s="22"/>
      <c r="AA98" s="22"/>
      <c r="AB98" s="22"/>
      <c r="AC98" s="22"/>
      <c r="AD98" s="22"/>
      <c r="AE98" s="22"/>
      <c r="AF98" s="22"/>
      <c r="AG98" s="22"/>
      <c r="AH98" s="22"/>
      <c r="AI98" s="22"/>
      <c r="AJ98" s="22"/>
      <c r="AK98" s="22"/>
      <c r="AL98" s="22"/>
      <c r="AM98" s="22"/>
      <c r="AN98" s="22"/>
    </row>
    <row r="99" spans="1:40" x14ac:dyDescent="0.25">
      <c r="A99" s="22"/>
      <c r="B99" s="22"/>
      <c r="C99" s="22"/>
      <c r="D99" s="22"/>
      <c r="E99" s="22"/>
      <c r="F99" s="22"/>
      <c r="G99" s="22"/>
      <c r="H99" s="22"/>
      <c r="I99" s="22"/>
      <c r="J99" s="22"/>
      <c r="K99" s="22"/>
      <c r="L99" s="22"/>
      <c r="M99" s="22"/>
      <c r="N99" s="22"/>
      <c r="O99" s="22"/>
      <c r="P99" s="22"/>
      <c r="Q99" s="22"/>
      <c r="R99" s="22"/>
      <c r="S99" s="22"/>
      <c r="T99" s="22"/>
      <c r="U99" s="22"/>
      <c r="V99" s="22"/>
      <c r="W99" s="22"/>
      <c r="X99" s="22"/>
      <c r="Y99" s="22"/>
      <c r="Z99" s="22"/>
      <c r="AA99" s="22"/>
      <c r="AB99" s="22"/>
      <c r="AC99" s="22"/>
      <c r="AD99" s="22"/>
      <c r="AE99" s="22"/>
      <c r="AF99" s="22"/>
      <c r="AG99" s="22"/>
      <c r="AH99" s="22"/>
      <c r="AI99" s="22"/>
      <c r="AJ99" s="22"/>
      <c r="AK99" s="22"/>
      <c r="AL99" s="22"/>
      <c r="AM99" s="22"/>
      <c r="AN99" s="22"/>
    </row>
    <row r="100" spans="1:40" x14ac:dyDescent="0.25">
      <c r="A100" s="22"/>
      <c r="B100" s="22"/>
      <c r="C100" s="22"/>
      <c r="D100" s="22"/>
      <c r="E100" s="22"/>
      <c r="F100" s="22"/>
      <c r="G100" s="22"/>
      <c r="H100" s="22"/>
      <c r="I100" s="22"/>
      <c r="J100" s="22"/>
      <c r="K100" s="22"/>
      <c r="L100" s="22"/>
      <c r="M100" s="22"/>
      <c r="N100" s="22"/>
      <c r="O100" s="22"/>
      <c r="P100" s="22"/>
      <c r="Q100" s="22"/>
      <c r="R100" s="22"/>
      <c r="S100" s="22"/>
      <c r="T100" s="22"/>
      <c r="U100" s="22"/>
      <c r="V100" s="22"/>
      <c r="W100" s="22"/>
      <c r="X100" s="22"/>
      <c r="Y100" s="22"/>
      <c r="Z100" s="22"/>
      <c r="AA100" s="22"/>
      <c r="AB100" s="22"/>
      <c r="AC100" s="22"/>
      <c r="AD100" s="22"/>
      <c r="AE100" s="22"/>
      <c r="AF100" s="22"/>
      <c r="AG100" s="22"/>
      <c r="AH100" s="22"/>
      <c r="AI100" s="22"/>
      <c r="AJ100" s="22"/>
      <c r="AK100" s="22"/>
      <c r="AL100" s="22"/>
      <c r="AM100" s="22"/>
      <c r="AN100" s="22"/>
    </row>
    <row r="101" spans="1:40" x14ac:dyDescent="0.25">
      <c r="A101" s="22"/>
      <c r="B101" s="22"/>
      <c r="C101" s="22"/>
      <c r="D101" s="22"/>
      <c r="E101" s="22"/>
      <c r="F101" s="22"/>
      <c r="G101" s="22"/>
      <c r="H101" s="22"/>
      <c r="I101" s="22"/>
      <c r="J101" s="22"/>
      <c r="K101" s="22"/>
      <c r="L101" s="22"/>
      <c r="M101" s="22"/>
      <c r="N101" s="22"/>
      <c r="O101" s="22"/>
      <c r="P101" s="22"/>
      <c r="Q101" s="22"/>
      <c r="R101" s="22"/>
      <c r="S101" s="22"/>
      <c r="T101" s="22"/>
      <c r="U101" s="22"/>
      <c r="V101" s="22"/>
      <c r="W101" s="22"/>
      <c r="X101" s="22"/>
      <c r="Y101" s="22"/>
      <c r="Z101" s="22"/>
      <c r="AA101" s="22"/>
      <c r="AB101" s="22"/>
      <c r="AC101" s="22"/>
      <c r="AD101" s="22"/>
      <c r="AE101" s="22"/>
      <c r="AF101" s="22"/>
      <c r="AG101" s="22"/>
      <c r="AH101" s="22"/>
      <c r="AI101" s="22"/>
      <c r="AJ101" s="22"/>
      <c r="AK101" s="22"/>
      <c r="AL101" s="22"/>
      <c r="AM101" s="22"/>
      <c r="AN101" s="22"/>
    </row>
    <row r="102" spans="1:40" x14ac:dyDescent="0.25">
      <c r="A102" s="22"/>
      <c r="B102" s="22"/>
      <c r="C102" s="22"/>
      <c r="D102" s="22"/>
      <c r="E102" s="22"/>
      <c r="F102" s="22"/>
      <c r="G102" s="22"/>
      <c r="H102" s="22"/>
      <c r="I102" s="22"/>
      <c r="J102" s="22"/>
      <c r="K102" s="22"/>
      <c r="L102" s="22"/>
      <c r="M102" s="22"/>
      <c r="N102" s="22"/>
      <c r="O102" s="22"/>
      <c r="P102" s="22"/>
      <c r="Q102" s="22"/>
      <c r="R102" s="22"/>
      <c r="S102" s="22"/>
      <c r="T102" s="22"/>
      <c r="U102" s="22"/>
      <c r="V102" s="22"/>
      <c r="W102" s="22"/>
      <c r="X102" s="22"/>
      <c r="Y102" s="22"/>
      <c r="Z102" s="22"/>
      <c r="AA102" s="22"/>
      <c r="AB102" s="22"/>
      <c r="AC102" s="22"/>
      <c r="AD102" s="22"/>
      <c r="AE102" s="22"/>
      <c r="AF102" s="22"/>
      <c r="AG102" s="22"/>
      <c r="AH102" s="22"/>
      <c r="AI102" s="22"/>
      <c r="AJ102" s="22"/>
      <c r="AK102" s="22"/>
      <c r="AL102" s="22"/>
      <c r="AM102" s="22"/>
      <c r="AN102" s="22"/>
    </row>
    <row r="103" spans="1:40" x14ac:dyDescent="0.25">
      <c r="A103" s="22"/>
      <c r="B103" s="22"/>
      <c r="C103" s="22"/>
      <c r="D103" s="22"/>
      <c r="E103" s="22"/>
      <c r="F103" s="22"/>
      <c r="G103" s="22"/>
      <c r="H103" s="22"/>
      <c r="I103" s="22"/>
      <c r="J103" s="22"/>
      <c r="K103" s="22"/>
      <c r="L103" s="22"/>
      <c r="M103" s="22"/>
      <c r="N103" s="22"/>
      <c r="O103" s="22"/>
      <c r="P103" s="22"/>
      <c r="Q103" s="22"/>
      <c r="R103" s="22"/>
      <c r="S103" s="22"/>
      <c r="T103" s="22"/>
      <c r="U103" s="22"/>
      <c r="V103" s="22"/>
      <c r="W103" s="22"/>
      <c r="X103" s="22"/>
      <c r="Y103" s="22"/>
      <c r="Z103" s="22"/>
      <c r="AA103" s="22"/>
      <c r="AB103" s="22"/>
      <c r="AC103" s="22"/>
      <c r="AD103" s="22"/>
      <c r="AE103" s="22"/>
      <c r="AF103" s="22"/>
      <c r="AG103" s="22"/>
      <c r="AH103" s="22"/>
      <c r="AI103" s="22"/>
      <c r="AJ103" s="22"/>
      <c r="AK103" s="22"/>
      <c r="AL103" s="22"/>
      <c r="AM103" s="22"/>
      <c r="AN103" s="22"/>
    </row>
    <row r="104" spans="1:40" x14ac:dyDescent="0.25">
      <c r="A104" s="22"/>
      <c r="B104" s="22"/>
      <c r="C104" s="22"/>
      <c r="D104" s="22"/>
      <c r="E104" s="22"/>
      <c r="F104" s="22"/>
      <c r="G104" s="22"/>
      <c r="H104" s="22"/>
      <c r="I104" s="22"/>
      <c r="J104" s="22"/>
      <c r="K104" s="22"/>
      <c r="L104" s="22"/>
      <c r="M104" s="22"/>
      <c r="N104" s="22"/>
      <c r="O104" s="22"/>
      <c r="P104" s="22"/>
      <c r="Q104" s="22"/>
      <c r="R104" s="22"/>
      <c r="S104" s="22"/>
      <c r="T104" s="22"/>
      <c r="U104" s="22"/>
      <c r="V104" s="22"/>
      <c r="W104" s="22"/>
      <c r="X104" s="22"/>
      <c r="Y104" s="22"/>
      <c r="Z104" s="22"/>
      <c r="AA104" s="22"/>
      <c r="AB104" s="22"/>
      <c r="AC104" s="22"/>
      <c r="AD104" s="22"/>
      <c r="AE104" s="22"/>
      <c r="AF104" s="22"/>
      <c r="AG104" s="22"/>
      <c r="AH104" s="22"/>
      <c r="AI104" s="22"/>
      <c r="AJ104" s="22"/>
      <c r="AK104" s="22"/>
      <c r="AL104" s="22"/>
      <c r="AM104" s="22"/>
      <c r="AN104" s="22"/>
    </row>
    <row r="105" spans="1:40" x14ac:dyDescent="0.25">
      <c r="A105" s="22"/>
      <c r="B105" s="22"/>
      <c r="C105" s="22"/>
      <c r="D105" s="22"/>
      <c r="E105" s="22"/>
      <c r="F105" s="22"/>
      <c r="G105" s="22"/>
      <c r="H105" s="22"/>
      <c r="I105" s="22"/>
      <c r="J105" s="22"/>
      <c r="K105" s="22"/>
      <c r="L105" s="22"/>
      <c r="M105" s="22"/>
      <c r="N105" s="22"/>
      <c r="O105" s="22"/>
      <c r="P105" s="22"/>
      <c r="Q105" s="22"/>
      <c r="R105" s="22"/>
      <c r="S105" s="22"/>
      <c r="T105" s="22"/>
      <c r="U105" s="22"/>
      <c r="V105" s="22"/>
      <c r="W105" s="22"/>
      <c r="X105" s="22"/>
      <c r="Y105" s="22"/>
      <c r="Z105" s="22"/>
      <c r="AA105" s="22"/>
      <c r="AB105" s="22"/>
      <c r="AC105" s="22"/>
      <c r="AD105" s="22"/>
      <c r="AE105" s="22"/>
      <c r="AF105" s="22"/>
      <c r="AG105" s="22"/>
      <c r="AH105" s="22"/>
      <c r="AI105" s="22"/>
      <c r="AJ105" s="22"/>
      <c r="AK105" s="22"/>
      <c r="AL105" s="22"/>
      <c r="AM105" s="22"/>
      <c r="AN105" s="22"/>
    </row>
    <row r="106" spans="1:40" x14ac:dyDescent="0.25">
      <c r="A106" s="22"/>
      <c r="B106" s="22"/>
      <c r="C106" s="22"/>
      <c r="D106" s="22"/>
      <c r="E106" s="22"/>
      <c r="F106" s="22"/>
      <c r="G106" s="22"/>
      <c r="H106" s="22"/>
      <c r="I106" s="22"/>
      <c r="J106" s="22"/>
      <c r="K106" s="22"/>
      <c r="L106" s="22"/>
      <c r="M106" s="22"/>
      <c r="N106" s="22"/>
      <c r="O106" s="22"/>
      <c r="P106" s="22"/>
      <c r="Q106" s="22"/>
      <c r="R106" s="22"/>
      <c r="S106" s="22"/>
      <c r="T106" s="22"/>
      <c r="U106" s="22"/>
      <c r="V106" s="22"/>
      <c r="W106" s="22"/>
      <c r="X106" s="22"/>
      <c r="Y106" s="22"/>
      <c r="Z106" s="22"/>
      <c r="AA106" s="22"/>
      <c r="AB106" s="22"/>
      <c r="AC106" s="22"/>
      <c r="AD106" s="22"/>
      <c r="AE106" s="22"/>
      <c r="AF106" s="22"/>
      <c r="AG106" s="22"/>
      <c r="AH106" s="22"/>
      <c r="AI106" s="22"/>
      <c r="AJ106" s="22"/>
      <c r="AK106" s="22"/>
      <c r="AL106" s="22"/>
      <c r="AM106" s="22"/>
      <c r="AN106" s="22"/>
    </row>
    <row r="107" spans="1:40" x14ac:dyDescent="0.25">
      <c r="A107" s="22"/>
      <c r="B107" s="22"/>
      <c r="C107" s="22"/>
      <c r="D107" s="22"/>
      <c r="E107" s="22"/>
      <c r="F107" s="22"/>
      <c r="G107" s="22"/>
      <c r="H107" s="22"/>
      <c r="I107" s="22"/>
      <c r="J107" s="22"/>
      <c r="K107" s="22"/>
      <c r="L107" s="22"/>
      <c r="M107" s="22"/>
      <c r="N107" s="22"/>
      <c r="O107" s="22"/>
      <c r="P107" s="22"/>
      <c r="Q107" s="22"/>
      <c r="R107" s="22"/>
      <c r="S107" s="22"/>
      <c r="T107" s="22"/>
      <c r="U107" s="22"/>
      <c r="V107" s="22"/>
      <c r="W107" s="22"/>
      <c r="X107" s="22"/>
      <c r="Y107" s="22"/>
      <c r="Z107" s="22"/>
      <c r="AA107" s="22"/>
      <c r="AB107" s="22"/>
      <c r="AC107" s="22"/>
      <c r="AD107" s="22"/>
      <c r="AE107" s="22"/>
      <c r="AF107" s="22"/>
      <c r="AG107" s="22"/>
      <c r="AH107" s="22"/>
      <c r="AI107" s="22"/>
      <c r="AJ107" s="22"/>
      <c r="AK107" s="22"/>
      <c r="AL107" s="22"/>
      <c r="AM107" s="22"/>
      <c r="AN107" s="22"/>
    </row>
    <row r="108" spans="1:40" x14ac:dyDescent="0.25">
      <c r="A108" s="22"/>
      <c r="B108" s="22"/>
      <c r="C108" s="22"/>
      <c r="D108" s="22"/>
      <c r="E108" s="22"/>
      <c r="F108" s="22"/>
      <c r="G108" s="22"/>
      <c r="H108" s="22"/>
      <c r="I108" s="22"/>
      <c r="J108" s="22"/>
      <c r="K108" s="22"/>
      <c r="L108" s="22"/>
      <c r="M108" s="22"/>
      <c r="N108" s="22"/>
      <c r="O108" s="22"/>
      <c r="P108" s="22"/>
      <c r="Q108" s="22"/>
      <c r="R108" s="22"/>
      <c r="S108" s="22"/>
      <c r="T108" s="22"/>
      <c r="U108" s="22"/>
      <c r="V108" s="22"/>
      <c r="W108" s="22"/>
      <c r="X108" s="22"/>
      <c r="Y108" s="22"/>
      <c r="Z108" s="22"/>
      <c r="AA108" s="22"/>
      <c r="AB108" s="22"/>
      <c r="AC108" s="22"/>
      <c r="AD108" s="22"/>
      <c r="AE108" s="22"/>
      <c r="AF108" s="22"/>
      <c r="AG108" s="22"/>
      <c r="AH108" s="22"/>
      <c r="AI108" s="22"/>
      <c r="AJ108" s="22"/>
      <c r="AK108" s="22"/>
      <c r="AL108" s="22"/>
      <c r="AM108" s="22"/>
      <c r="AN108" s="22"/>
    </row>
    <row r="109" spans="1:40" x14ac:dyDescent="0.25">
      <c r="A109" s="22"/>
      <c r="B109" s="22"/>
      <c r="C109" s="22"/>
      <c r="D109" s="22"/>
      <c r="E109" s="22"/>
      <c r="F109" s="22"/>
      <c r="G109" s="22"/>
      <c r="H109" s="22"/>
      <c r="I109" s="22"/>
      <c r="J109" s="22"/>
      <c r="K109" s="22"/>
      <c r="L109" s="22"/>
      <c r="M109" s="22"/>
      <c r="N109" s="22"/>
      <c r="O109" s="22"/>
      <c r="P109" s="22"/>
      <c r="Q109" s="22"/>
      <c r="R109" s="22"/>
      <c r="S109" s="22"/>
      <c r="T109" s="22"/>
      <c r="U109" s="22"/>
      <c r="V109" s="22"/>
      <c r="W109" s="22"/>
      <c r="X109" s="22"/>
      <c r="Y109" s="22"/>
      <c r="Z109" s="22"/>
      <c r="AA109" s="22"/>
      <c r="AB109" s="22"/>
      <c r="AC109" s="22"/>
      <c r="AD109" s="22"/>
      <c r="AE109" s="22"/>
      <c r="AF109" s="22"/>
      <c r="AG109" s="22"/>
      <c r="AH109" s="22"/>
      <c r="AI109" s="22"/>
      <c r="AJ109" s="22"/>
      <c r="AK109" s="22"/>
      <c r="AL109" s="22"/>
      <c r="AM109" s="22"/>
      <c r="AN109" s="22"/>
    </row>
    <row r="110" spans="1:40" x14ac:dyDescent="0.25">
      <c r="A110" s="22"/>
      <c r="B110" s="22"/>
      <c r="C110" s="22"/>
      <c r="D110" s="22"/>
      <c r="E110" s="22"/>
      <c r="F110" s="22"/>
      <c r="G110" s="22"/>
      <c r="H110" s="22"/>
      <c r="I110" s="22"/>
      <c r="J110" s="22"/>
      <c r="K110" s="22"/>
      <c r="L110" s="22"/>
      <c r="M110" s="22"/>
      <c r="N110" s="22"/>
      <c r="O110" s="22"/>
      <c r="P110" s="22"/>
      <c r="Q110" s="22"/>
      <c r="R110" s="22"/>
      <c r="S110" s="22"/>
      <c r="T110" s="22"/>
      <c r="U110" s="22"/>
      <c r="V110" s="22"/>
      <c r="W110" s="22"/>
      <c r="X110" s="22"/>
      <c r="Y110" s="22"/>
      <c r="Z110" s="22"/>
      <c r="AA110" s="22"/>
      <c r="AB110" s="22"/>
      <c r="AC110" s="22"/>
      <c r="AD110" s="22"/>
      <c r="AE110" s="22"/>
      <c r="AF110" s="22"/>
      <c r="AG110" s="22"/>
      <c r="AH110" s="22"/>
      <c r="AI110" s="22"/>
      <c r="AJ110" s="22"/>
      <c r="AK110" s="22"/>
      <c r="AL110" s="22"/>
      <c r="AM110" s="22"/>
      <c r="AN110" s="22"/>
    </row>
    <row r="111" spans="1:40" x14ac:dyDescent="0.25">
      <c r="A111" s="22"/>
      <c r="B111" s="22"/>
      <c r="C111" s="22"/>
      <c r="D111" s="22"/>
      <c r="E111" s="22"/>
      <c r="F111" s="22"/>
      <c r="G111" s="22"/>
      <c r="H111" s="22"/>
      <c r="I111" s="22"/>
      <c r="J111" s="22"/>
      <c r="K111" s="22"/>
      <c r="L111" s="22"/>
      <c r="M111" s="22"/>
      <c r="N111" s="22"/>
      <c r="O111" s="22"/>
      <c r="P111" s="22"/>
      <c r="Q111" s="22"/>
      <c r="R111" s="22"/>
      <c r="S111" s="22"/>
      <c r="T111" s="22"/>
      <c r="U111" s="22"/>
      <c r="V111" s="22"/>
      <c r="W111" s="22"/>
      <c r="X111" s="22"/>
      <c r="Y111" s="22"/>
      <c r="Z111" s="22"/>
      <c r="AA111" s="22"/>
      <c r="AB111" s="22"/>
      <c r="AC111" s="22"/>
      <c r="AD111" s="22"/>
      <c r="AE111" s="22"/>
      <c r="AF111" s="22"/>
      <c r="AG111" s="22"/>
      <c r="AH111" s="22"/>
      <c r="AI111" s="22"/>
      <c r="AJ111" s="22"/>
      <c r="AK111" s="22"/>
      <c r="AL111" s="22"/>
      <c r="AM111" s="22"/>
      <c r="AN111" s="22"/>
    </row>
    <row r="112" spans="1:40" x14ac:dyDescent="0.25">
      <c r="A112" s="22"/>
      <c r="B112" s="22"/>
      <c r="C112" s="22"/>
      <c r="D112" s="22"/>
      <c r="E112" s="22"/>
      <c r="F112" s="22"/>
      <c r="G112" s="22"/>
      <c r="H112" s="22"/>
      <c r="I112" s="22"/>
      <c r="J112" s="22"/>
      <c r="K112" s="22"/>
      <c r="L112" s="22"/>
      <c r="M112" s="22"/>
      <c r="N112" s="22"/>
      <c r="O112" s="22"/>
      <c r="P112" s="22"/>
      <c r="Q112" s="22"/>
      <c r="R112" s="22"/>
      <c r="S112" s="22"/>
      <c r="T112" s="22"/>
      <c r="U112" s="22"/>
      <c r="V112" s="22"/>
      <c r="W112" s="22"/>
      <c r="X112" s="22"/>
      <c r="Y112" s="22"/>
      <c r="Z112" s="22"/>
      <c r="AA112" s="22"/>
      <c r="AB112" s="22"/>
      <c r="AC112" s="22"/>
      <c r="AD112" s="22"/>
      <c r="AE112" s="22"/>
      <c r="AF112" s="22"/>
      <c r="AG112" s="22"/>
      <c r="AH112" s="22"/>
      <c r="AI112" s="22"/>
      <c r="AJ112" s="22"/>
      <c r="AK112" s="22"/>
      <c r="AL112" s="22"/>
      <c r="AM112" s="22"/>
      <c r="AN112" s="22"/>
    </row>
    <row r="113" spans="1:40" x14ac:dyDescent="0.25">
      <c r="A113" s="22"/>
      <c r="B113" s="22"/>
      <c r="C113" s="22"/>
      <c r="D113" s="22"/>
      <c r="E113" s="22"/>
      <c r="F113" s="22"/>
      <c r="G113" s="22"/>
      <c r="H113" s="22"/>
      <c r="I113" s="22"/>
      <c r="J113" s="22"/>
      <c r="K113" s="22"/>
      <c r="L113" s="22"/>
      <c r="M113" s="22"/>
      <c r="N113" s="22"/>
      <c r="O113" s="22"/>
      <c r="P113" s="22"/>
      <c r="Q113" s="22"/>
      <c r="R113" s="22"/>
      <c r="S113" s="22"/>
      <c r="T113" s="22"/>
      <c r="U113" s="22"/>
      <c r="V113" s="22"/>
      <c r="W113" s="22"/>
      <c r="X113" s="22"/>
      <c r="Y113" s="22"/>
      <c r="Z113" s="22"/>
      <c r="AA113" s="22"/>
      <c r="AB113" s="22"/>
      <c r="AC113" s="22"/>
      <c r="AD113" s="22"/>
      <c r="AE113" s="22"/>
      <c r="AF113" s="22"/>
      <c r="AG113" s="22"/>
      <c r="AH113" s="22"/>
      <c r="AI113" s="22"/>
      <c r="AJ113" s="22"/>
      <c r="AK113" s="22"/>
      <c r="AL113" s="22"/>
      <c r="AM113" s="22"/>
      <c r="AN113" s="22"/>
    </row>
    <row r="114" spans="1:40" x14ac:dyDescent="0.25">
      <c r="A114" s="22"/>
      <c r="B114" s="22"/>
      <c r="C114" s="22"/>
      <c r="D114" s="22"/>
      <c r="E114" s="22"/>
      <c r="F114" s="22"/>
      <c r="G114" s="22"/>
      <c r="H114" s="22"/>
      <c r="I114" s="22"/>
      <c r="J114" s="22"/>
      <c r="K114" s="22"/>
      <c r="L114" s="22"/>
      <c r="M114" s="22"/>
      <c r="N114" s="22"/>
      <c r="O114" s="22"/>
      <c r="P114" s="22"/>
      <c r="Q114" s="22"/>
      <c r="R114" s="22"/>
      <c r="S114" s="22"/>
      <c r="T114" s="22"/>
      <c r="U114" s="22"/>
      <c r="V114" s="22"/>
      <c r="W114" s="22"/>
      <c r="X114" s="22"/>
      <c r="Y114" s="22"/>
      <c r="Z114" s="22"/>
      <c r="AA114" s="22"/>
      <c r="AB114" s="22"/>
      <c r="AC114" s="22"/>
      <c r="AD114" s="22"/>
      <c r="AE114" s="22"/>
      <c r="AF114" s="22"/>
      <c r="AG114" s="22"/>
      <c r="AH114" s="22"/>
      <c r="AI114" s="22"/>
      <c r="AJ114" s="22"/>
      <c r="AK114" s="22"/>
      <c r="AL114" s="22"/>
      <c r="AM114" s="22"/>
      <c r="AN114" s="22"/>
    </row>
    <row r="115" spans="1:40" x14ac:dyDescent="0.25">
      <c r="A115" s="22"/>
      <c r="B115" s="22"/>
      <c r="C115" s="22"/>
      <c r="D115" s="22"/>
      <c r="E115" s="22"/>
      <c r="F115" s="22"/>
      <c r="G115" s="22"/>
      <c r="H115" s="22"/>
      <c r="I115" s="22"/>
      <c r="J115" s="22"/>
      <c r="K115" s="22"/>
      <c r="L115" s="22"/>
      <c r="M115" s="22"/>
      <c r="N115" s="22"/>
      <c r="O115" s="22"/>
      <c r="P115" s="22"/>
      <c r="Q115" s="22"/>
      <c r="R115" s="22"/>
      <c r="S115" s="22"/>
      <c r="T115" s="22"/>
      <c r="U115" s="22"/>
      <c r="V115" s="22"/>
      <c r="W115" s="22"/>
      <c r="X115" s="22"/>
      <c r="Y115" s="22"/>
      <c r="Z115" s="22"/>
      <c r="AA115" s="22"/>
      <c r="AB115" s="22"/>
      <c r="AC115" s="22"/>
      <c r="AD115" s="22"/>
      <c r="AE115" s="22"/>
      <c r="AF115" s="22"/>
      <c r="AG115" s="22"/>
      <c r="AH115" s="22"/>
      <c r="AI115" s="22"/>
      <c r="AJ115" s="22"/>
      <c r="AK115" s="22"/>
      <c r="AL115" s="22"/>
      <c r="AM115" s="22"/>
      <c r="AN115" s="22"/>
    </row>
    <row r="116" spans="1:40" x14ac:dyDescent="0.25">
      <c r="A116" s="22"/>
      <c r="B116" s="22"/>
      <c r="C116" s="22"/>
      <c r="D116" s="22"/>
      <c r="E116" s="22"/>
      <c r="F116" s="22"/>
      <c r="G116" s="22"/>
      <c r="H116" s="22"/>
      <c r="I116" s="22"/>
      <c r="J116" s="22"/>
      <c r="K116" s="22"/>
      <c r="L116" s="22"/>
      <c r="M116" s="22"/>
      <c r="N116" s="22"/>
      <c r="O116" s="22"/>
      <c r="P116" s="22"/>
      <c r="Q116" s="22"/>
      <c r="R116" s="22"/>
      <c r="S116" s="22"/>
      <c r="T116" s="22"/>
      <c r="U116" s="22"/>
      <c r="V116" s="22"/>
      <c r="W116" s="22"/>
      <c r="X116" s="22"/>
      <c r="Y116" s="22"/>
      <c r="Z116" s="22"/>
      <c r="AA116" s="22"/>
      <c r="AB116" s="22"/>
      <c r="AC116" s="22"/>
      <c r="AD116" s="22"/>
      <c r="AE116" s="22"/>
      <c r="AF116" s="22"/>
      <c r="AG116" s="22"/>
      <c r="AH116" s="22"/>
      <c r="AI116" s="22"/>
      <c r="AJ116" s="22"/>
      <c r="AK116" s="22"/>
      <c r="AL116" s="22"/>
      <c r="AM116" s="22"/>
      <c r="AN116" s="22"/>
    </row>
    <row r="117" spans="1:40" x14ac:dyDescent="0.25">
      <c r="A117" s="22"/>
      <c r="B117" s="22"/>
      <c r="C117" s="22"/>
      <c r="D117" s="22"/>
      <c r="E117" s="22"/>
      <c r="F117" s="22"/>
      <c r="G117" s="22"/>
      <c r="H117" s="22"/>
      <c r="I117" s="22"/>
      <c r="J117" s="22"/>
      <c r="K117" s="22"/>
      <c r="L117" s="22"/>
      <c r="M117" s="22"/>
      <c r="N117" s="22"/>
      <c r="O117" s="22"/>
      <c r="P117" s="22"/>
      <c r="Q117" s="22"/>
      <c r="R117" s="22"/>
      <c r="S117" s="22"/>
      <c r="T117" s="22"/>
      <c r="U117" s="22"/>
      <c r="V117" s="22"/>
      <c r="W117" s="22"/>
      <c r="X117" s="22"/>
      <c r="Y117" s="22"/>
      <c r="Z117" s="22"/>
      <c r="AA117" s="22"/>
      <c r="AB117" s="22"/>
      <c r="AC117" s="22"/>
      <c r="AD117" s="22"/>
      <c r="AE117" s="22"/>
      <c r="AF117" s="22"/>
      <c r="AG117" s="22"/>
      <c r="AH117" s="22"/>
      <c r="AI117" s="22"/>
      <c r="AJ117" s="22"/>
      <c r="AK117" s="22"/>
      <c r="AL117" s="22"/>
      <c r="AM117" s="22"/>
      <c r="AN117" s="22"/>
    </row>
    <row r="118" spans="1:40" x14ac:dyDescent="0.25">
      <c r="A118" s="22"/>
      <c r="B118" s="22"/>
      <c r="C118" s="22"/>
      <c r="D118" s="22"/>
      <c r="E118" s="22"/>
      <c r="F118" s="22"/>
      <c r="G118" s="22"/>
      <c r="H118" s="22"/>
      <c r="I118" s="22"/>
      <c r="J118" s="22"/>
      <c r="K118" s="22"/>
      <c r="L118" s="22"/>
      <c r="M118" s="22"/>
      <c r="N118" s="22"/>
      <c r="O118" s="22"/>
      <c r="P118" s="22"/>
      <c r="Q118" s="22"/>
      <c r="R118" s="22"/>
      <c r="S118" s="22"/>
      <c r="T118" s="22"/>
      <c r="U118" s="22"/>
      <c r="V118" s="22"/>
      <c r="W118" s="22"/>
      <c r="X118" s="22"/>
      <c r="Y118" s="22"/>
      <c r="Z118" s="22"/>
      <c r="AA118" s="22"/>
      <c r="AB118" s="22"/>
      <c r="AC118" s="22"/>
      <c r="AD118" s="22"/>
      <c r="AE118" s="22"/>
      <c r="AF118" s="22"/>
      <c r="AG118" s="22"/>
      <c r="AH118" s="22"/>
      <c r="AI118" s="22"/>
      <c r="AJ118" s="22"/>
      <c r="AK118" s="22"/>
      <c r="AL118" s="22"/>
      <c r="AM118" s="22"/>
      <c r="AN118" s="22"/>
    </row>
    <row r="119" spans="1:40" x14ac:dyDescent="0.25">
      <c r="A119" s="22"/>
      <c r="B119" s="22"/>
      <c r="C119" s="22"/>
      <c r="D119" s="22"/>
      <c r="E119" s="22"/>
      <c r="F119" s="22"/>
      <c r="G119" s="22"/>
      <c r="H119" s="22"/>
      <c r="I119" s="22"/>
      <c r="J119" s="22"/>
      <c r="K119" s="22"/>
      <c r="L119" s="22"/>
      <c r="M119" s="22"/>
      <c r="N119" s="22"/>
      <c r="O119" s="22"/>
      <c r="P119" s="22"/>
      <c r="Q119" s="22"/>
      <c r="R119" s="22"/>
      <c r="S119" s="22"/>
      <c r="T119" s="22"/>
      <c r="U119" s="22"/>
      <c r="V119" s="22"/>
      <c r="W119" s="22"/>
      <c r="X119" s="22"/>
      <c r="Y119" s="22"/>
      <c r="Z119" s="22"/>
      <c r="AA119" s="22"/>
      <c r="AB119" s="22"/>
      <c r="AC119" s="22"/>
      <c r="AD119" s="22"/>
      <c r="AE119" s="22"/>
      <c r="AF119" s="22"/>
      <c r="AG119" s="22"/>
      <c r="AH119" s="22"/>
      <c r="AI119" s="22"/>
      <c r="AJ119" s="22"/>
      <c r="AK119" s="22"/>
      <c r="AL119" s="22"/>
      <c r="AM119" s="22"/>
      <c r="AN119" s="22"/>
    </row>
    <row r="120" spans="1:40" x14ac:dyDescent="0.25">
      <c r="A120" s="22"/>
      <c r="B120" s="22"/>
      <c r="C120" s="22"/>
      <c r="D120" s="22"/>
      <c r="E120" s="22"/>
      <c r="F120" s="22"/>
      <c r="G120" s="22"/>
      <c r="H120" s="22"/>
      <c r="I120" s="22"/>
      <c r="J120" s="22"/>
      <c r="K120" s="22"/>
      <c r="L120" s="22"/>
      <c r="M120" s="22"/>
      <c r="N120" s="22"/>
      <c r="O120" s="22"/>
      <c r="P120" s="22"/>
      <c r="Q120" s="22"/>
      <c r="R120" s="22"/>
      <c r="S120" s="22"/>
      <c r="T120" s="22"/>
      <c r="U120" s="22"/>
      <c r="V120" s="22"/>
      <c r="W120" s="22"/>
      <c r="X120" s="22"/>
      <c r="Y120" s="22"/>
      <c r="Z120" s="22"/>
      <c r="AA120" s="22"/>
      <c r="AB120" s="22"/>
      <c r="AC120" s="22"/>
      <c r="AD120" s="22"/>
      <c r="AE120" s="22"/>
      <c r="AF120" s="22"/>
      <c r="AG120" s="22"/>
      <c r="AH120" s="22"/>
      <c r="AI120" s="22"/>
      <c r="AJ120" s="22"/>
      <c r="AK120" s="22"/>
      <c r="AL120" s="22"/>
      <c r="AM120" s="22"/>
      <c r="AN120" s="22"/>
    </row>
    <row r="121" spans="1:40" x14ac:dyDescent="0.25">
      <c r="A121" s="22"/>
      <c r="B121" s="22"/>
      <c r="C121" s="22"/>
      <c r="D121" s="22"/>
      <c r="E121" s="22"/>
      <c r="F121" s="22"/>
      <c r="G121" s="22"/>
      <c r="H121" s="22"/>
      <c r="I121" s="22"/>
      <c r="J121" s="22"/>
      <c r="K121" s="22"/>
      <c r="L121" s="22"/>
      <c r="M121" s="22"/>
      <c r="N121" s="22"/>
      <c r="O121" s="22"/>
      <c r="P121" s="22"/>
      <c r="Q121" s="22"/>
      <c r="R121" s="22"/>
      <c r="S121" s="22"/>
      <c r="T121" s="22"/>
      <c r="U121" s="22"/>
      <c r="V121" s="22"/>
      <c r="W121" s="22"/>
      <c r="X121" s="22"/>
      <c r="Y121" s="22"/>
      <c r="Z121" s="22"/>
      <c r="AA121" s="22"/>
      <c r="AB121" s="22"/>
      <c r="AC121" s="22"/>
      <c r="AD121" s="22"/>
      <c r="AE121" s="22"/>
      <c r="AF121" s="22"/>
      <c r="AG121" s="22"/>
      <c r="AH121" s="22"/>
      <c r="AI121" s="22"/>
      <c r="AJ121" s="22"/>
      <c r="AK121" s="22"/>
      <c r="AL121" s="22"/>
      <c r="AM121" s="22"/>
      <c r="AN121" s="22"/>
    </row>
    <row r="122" spans="1:40" x14ac:dyDescent="0.25">
      <c r="A122" s="22"/>
      <c r="B122" s="22"/>
      <c r="C122" s="22"/>
      <c r="D122" s="22"/>
      <c r="E122" s="22"/>
      <c r="F122" s="22"/>
      <c r="G122" s="22"/>
      <c r="H122" s="22"/>
      <c r="I122" s="22"/>
      <c r="J122" s="22"/>
      <c r="K122" s="22"/>
      <c r="L122" s="22"/>
      <c r="M122" s="22"/>
      <c r="N122" s="22"/>
      <c r="O122" s="22"/>
      <c r="P122" s="22"/>
      <c r="Q122" s="22"/>
      <c r="R122" s="22"/>
      <c r="S122" s="22"/>
      <c r="T122" s="22"/>
      <c r="U122" s="22"/>
      <c r="V122" s="22"/>
      <c r="W122" s="22"/>
      <c r="X122" s="22"/>
      <c r="Y122" s="22"/>
      <c r="Z122" s="22"/>
      <c r="AA122" s="22"/>
      <c r="AB122" s="22"/>
      <c r="AC122" s="22"/>
      <c r="AD122" s="22"/>
      <c r="AE122" s="22"/>
      <c r="AF122" s="22"/>
      <c r="AG122" s="22"/>
      <c r="AH122" s="22"/>
      <c r="AI122" s="22"/>
      <c r="AJ122" s="22"/>
      <c r="AK122" s="22"/>
      <c r="AL122" s="22"/>
      <c r="AM122" s="22"/>
      <c r="AN122" s="22"/>
    </row>
    <row r="123" spans="1:40" x14ac:dyDescent="0.25">
      <c r="A123" s="22"/>
      <c r="B123" s="22"/>
      <c r="C123" s="22"/>
      <c r="D123" s="22"/>
      <c r="E123" s="22"/>
      <c r="F123" s="22"/>
      <c r="G123" s="22"/>
      <c r="H123" s="22"/>
      <c r="I123" s="22"/>
      <c r="J123" s="22"/>
      <c r="K123" s="22"/>
      <c r="L123" s="22"/>
      <c r="M123" s="22"/>
      <c r="N123" s="22"/>
      <c r="O123" s="22"/>
      <c r="P123" s="22"/>
      <c r="Q123" s="22"/>
      <c r="R123" s="22"/>
      <c r="S123" s="22"/>
      <c r="T123" s="22"/>
      <c r="U123" s="22"/>
      <c r="V123" s="22"/>
      <c r="W123" s="22"/>
      <c r="X123" s="22"/>
      <c r="Y123" s="22"/>
      <c r="Z123" s="22"/>
      <c r="AA123" s="22"/>
      <c r="AB123" s="22"/>
      <c r="AC123" s="22"/>
      <c r="AD123" s="22"/>
      <c r="AE123" s="22"/>
      <c r="AF123" s="22"/>
      <c r="AG123" s="22"/>
      <c r="AH123" s="22"/>
      <c r="AI123" s="22"/>
      <c r="AJ123" s="22"/>
      <c r="AK123" s="22"/>
      <c r="AL123" s="22"/>
      <c r="AM123" s="22"/>
      <c r="AN123" s="22"/>
    </row>
    <row r="124" spans="1:40" x14ac:dyDescent="0.25">
      <c r="A124" s="22"/>
      <c r="B124" s="22"/>
      <c r="C124" s="22"/>
      <c r="D124" s="22"/>
      <c r="E124" s="22"/>
      <c r="F124" s="22"/>
      <c r="G124" s="22"/>
      <c r="H124" s="22"/>
      <c r="I124" s="22"/>
      <c r="J124" s="22"/>
      <c r="K124" s="22"/>
      <c r="L124" s="22"/>
      <c r="M124" s="22"/>
      <c r="N124" s="22"/>
      <c r="O124" s="22"/>
      <c r="P124" s="22"/>
      <c r="Q124" s="22"/>
      <c r="R124" s="22"/>
      <c r="S124" s="22"/>
      <c r="T124" s="22"/>
      <c r="U124" s="22"/>
      <c r="V124" s="22"/>
      <c r="W124" s="22"/>
      <c r="X124" s="22"/>
      <c r="Y124" s="22"/>
      <c r="Z124" s="22"/>
      <c r="AA124" s="22"/>
      <c r="AB124" s="22"/>
      <c r="AC124" s="22"/>
      <c r="AD124" s="22"/>
      <c r="AE124" s="22"/>
      <c r="AF124" s="22"/>
      <c r="AG124" s="22"/>
      <c r="AH124" s="22"/>
      <c r="AI124" s="22"/>
      <c r="AJ124" s="22"/>
      <c r="AK124" s="22"/>
      <c r="AL124" s="22"/>
      <c r="AM124" s="22"/>
      <c r="AN124" s="22"/>
    </row>
    <row r="125" spans="1:40" x14ac:dyDescent="0.25">
      <c r="A125" s="22"/>
      <c r="B125" s="22"/>
      <c r="C125" s="22"/>
      <c r="D125" s="22"/>
      <c r="E125" s="22"/>
      <c r="F125" s="22"/>
      <c r="G125" s="22"/>
      <c r="H125" s="22"/>
      <c r="I125" s="22"/>
      <c r="J125" s="22"/>
      <c r="K125" s="22"/>
      <c r="L125" s="22"/>
      <c r="M125" s="22"/>
      <c r="N125" s="22"/>
      <c r="O125" s="22"/>
      <c r="P125" s="22"/>
      <c r="Q125" s="22"/>
      <c r="R125" s="22"/>
      <c r="S125" s="22"/>
      <c r="T125" s="22"/>
      <c r="U125" s="22"/>
      <c r="V125" s="22"/>
      <c r="W125" s="22"/>
      <c r="X125" s="22"/>
      <c r="Y125" s="22"/>
      <c r="Z125" s="22"/>
      <c r="AA125" s="22"/>
      <c r="AB125" s="22"/>
      <c r="AC125" s="22"/>
      <c r="AD125" s="22"/>
      <c r="AE125" s="22"/>
      <c r="AF125" s="22"/>
      <c r="AG125" s="22"/>
      <c r="AH125" s="22"/>
      <c r="AI125" s="22"/>
      <c r="AJ125" s="22"/>
      <c r="AK125" s="22"/>
      <c r="AL125" s="22"/>
      <c r="AM125" s="22"/>
      <c r="AN125" s="22"/>
    </row>
    <row r="126" spans="1:40" x14ac:dyDescent="0.25">
      <c r="A126" s="22"/>
      <c r="B126" s="22"/>
      <c r="C126" s="22"/>
      <c r="D126" s="22"/>
      <c r="E126" s="22"/>
      <c r="F126" s="22"/>
      <c r="G126" s="22"/>
      <c r="H126" s="22"/>
      <c r="I126" s="22"/>
      <c r="J126" s="22"/>
      <c r="K126" s="22"/>
      <c r="L126" s="22"/>
      <c r="M126" s="22"/>
      <c r="N126" s="22"/>
      <c r="O126" s="22"/>
      <c r="P126" s="22"/>
      <c r="Q126" s="22"/>
      <c r="R126" s="22"/>
      <c r="S126" s="22"/>
      <c r="T126" s="22"/>
      <c r="U126" s="22"/>
      <c r="V126" s="22"/>
      <c r="W126" s="22"/>
      <c r="X126" s="22"/>
      <c r="Y126" s="22"/>
      <c r="Z126" s="22"/>
      <c r="AA126" s="22"/>
      <c r="AB126" s="22"/>
      <c r="AC126" s="22"/>
      <c r="AD126" s="22"/>
      <c r="AE126" s="22"/>
      <c r="AF126" s="22"/>
      <c r="AG126" s="22"/>
      <c r="AH126" s="22"/>
      <c r="AI126" s="22"/>
      <c r="AJ126" s="22"/>
      <c r="AK126" s="22"/>
      <c r="AL126" s="22"/>
      <c r="AM126" s="22"/>
      <c r="AN126" s="22"/>
    </row>
    <row r="127" spans="1:40" x14ac:dyDescent="0.25">
      <c r="A127" s="22"/>
      <c r="B127" s="22"/>
      <c r="C127" s="22"/>
      <c r="D127" s="22"/>
      <c r="E127" s="22"/>
      <c r="F127" s="22"/>
      <c r="G127" s="22"/>
      <c r="H127" s="22"/>
      <c r="I127" s="22"/>
      <c r="J127" s="22"/>
      <c r="K127" s="22"/>
      <c r="L127" s="22"/>
      <c r="M127" s="22"/>
      <c r="N127" s="22"/>
      <c r="O127" s="22"/>
      <c r="P127" s="22"/>
      <c r="Q127" s="22"/>
      <c r="R127" s="22"/>
      <c r="S127" s="22"/>
      <c r="T127" s="22"/>
      <c r="U127" s="22"/>
      <c r="V127" s="22"/>
      <c r="W127" s="22"/>
      <c r="X127" s="22"/>
      <c r="Y127" s="22"/>
      <c r="Z127" s="22"/>
      <c r="AA127" s="22"/>
      <c r="AB127" s="22"/>
      <c r="AC127" s="22"/>
      <c r="AD127" s="22"/>
      <c r="AE127" s="22"/>
      <c r="AF127" s="22"/>
      <c r="AG127" s="22"/>
      <c r="AH127" s="22"/>
      <c r="AI127" s="22"/>
      <c r="AJ127" s="22"/>
      <c r="AK127" s="22"/>
      <c r="AL127" s="22"/>
      <c r="AM127" s="22"/>
      <c r="AN127" s="22"/>
    </row>
    <row r="128" spans="1:40" x14ac:dyDescent="0.25">
      <c r="A128" s="22"/>
      <c r="B128" s="22"/>
      <c r="C128" s="22"/>
      <c r="D128" s="22"/>
      <c r="E128" s="22"/>
      <c r="F128" s="22"/>
      <c r="G128" s="22"/>
      <c r="H128" s="22"/>
      <c r="I128" s="22"/>
      <c r="J128" s="22"/>
      <c r="K128" s="22"/>
      <c r="L128" s="22"/>
      <c r="M128" s="22"/>
      <c r="N128" s="22"/>
      <c r="O128" s="22"/>
      <c r="P128" s="22"/>
      <c r="Q128" s="22"/>
      <c r="R128" s="22"/>
      <c r="S128" s="22"/>
      <c r="T128" s="22"/>
      <c r="U128" s="22"/>
      <c r="V128" s="22"/>
      <c r="W128" s="22"/>
      <c r="X128" s="22"/>
      <c r="Y128" s="22"/>
      <c r="Z128" s="22"/>
      <c r="AA128" s="22"/>
      <c r="AB128" s="22"/>
      <c r="AC128" s="22"/>
      <c r="AD128" s="22"/>
      <c r="AE128" s="22"/>
      <c r="AF128" s="22"/>
      <c r="AG128" s="22"/>
      <c r="AH128" s="22"/>
      <c r="AI128" s="22"/>
      <c r="AJ128" s="22"/>
      <c r="AK128" s="22"/>
      <c r="AL128" s="22"/>
      <c r="AM128" s="22"/>
      <c r="AN128" s="22"/>
    </row>
    <row r="129" spans="1:40" x14ac:dyDescent="0.25">
      <c r="A129" s="22"/>
      <c r="B129" s="22"/>
      <c r="C129" s="22"/>
      <c r="D129" s="22"/>
      <c r="E129" s="22"/>
      <c r="F129" s="22"/>
      <c r="G129" s="22"/>
      <c r="H129" s="22"/>
      <c r="I129" s="22"/>
      <c r="J129" s="22"/>
      <c r="K129" s="22"/>
      <c r="L129" s="22"/>
      <c r="M129" s="22"/>
      <c r="N129" s="22"/>
      <c r="O129" s="22"/>
      <c r="P129" s="22"/>
      <c r="Q129" s="22"/>
      <c r="R129" s="22"/>
      <c r="S129" s="22"/>
      <c r="T129" s="22"/>
      <c r="U129" s="22"/>
      <c r="V129" s="22"/>
      <c r="W129" s="22"/>
      <c r="X129" s="22"/>
      <c r="Y129" s="22"/>
      <c r="Z129" s="22"/>
      <c r="AA129" s="22"/>
      <c r="AB129" s="22"/>
      <c r="AC129" s="22"/>
      <c r="AD129" s="22"/>
      <c r="AE129" s="22"/>
      <c r="AF129" s="22"/>
      <c r="AG129" s="22"/>
      <c r="AH129" s="22"/>
      <c r="AI129" s="22"/>
      <c r="AJ129" s="22"/>
      <c r="AK129" s="22"/>
      <c r="AL129" s="22"/>
      <c r="AM129" s="22"/>
      <c r="AN129" s="22"/>
    </row>
    <row r="130" spans="1:40" x14ac:dyDescent="0.25">
      <c r="A130" s="22"/>
      <c r="B130" s="22"/>
      <c r="C130" s="22"/>
      <c r="D130" s="22"/>
      <c r="E130" s="22"/>
      <c r="F130" s="22"/>
      <c r="G130" s="22"/>
      <c r="H130" s="22"/>
      <c r="I130" s="22"/>
      <c r="J130" s="22"/>
      <c r="K130" s="22"/>
      <c r="L130" s="22"/>
      <c r="M130" s="22"/>
      <c r="N130" s="22"/>
      <c r="O130" s="22"/>
      <c r="P130" s="22"/>
      <c r="Q130" s="22"/>
      <c r="R130" s="22"/>
      <c r="S130" s="22"/>
      <c r="T130" s="22"/>
      <c r="U130" s="22"/>
      <c r="V130" s="22"/>
      <c r="W130" s="22"/>
      <c r="X130" s="22"/>
      <c r="Y130" s="22"/>
      <c r="Z130" s="22"/>
      <c r="AA130" s="22"/>
      <c r="AB130" s="22"/>
      <c r="AC130" s="22"/>
      <c r="AD130" s="22"/>
      <c r="AE130" s="22"/>
      <c r="AF130" s="22"/>
      <c r="AG130" s="22"/>
      <c r="AH130" s="22"/>
      <c r="AI130" s="22"/>
      <c r="AJ130" s="22"/>
      <c r="AK130" s="22"/>
      <c r="AL130" s="22"/>
      <c r="AM130" s="22"/>
      <c r="AN130" s="22"/>
    </row>
    <row r="131" spans="1:40" x14ac:dyDescent="0.25">
      <c r="A131" s="22"/>
      <c r="B131" s="22"/>
      <c r="C131" s="22"/>
      <c r="D131" s="22"/>
      <c r="E131" s="22"/>
      <c r="F131" s="22"/>
      <c r="G131" s="22"/>
      <c r="H131" s="22"/>
      <c r="I131" s="22"/>
      <c r="J131" s="22"/>
      <c r="K131" s="22"/>
      <c r="L131" s="22"/>
      <c r="M131" s="22"/>
      <c r="N131" s="22"/>
      <c r="O131" s="22"/>
      <c r="P131" s="22"/>
      <c r="Q131" s="22"/>
      <c r="R131" s="22"/>
      <c r="S131" s="22"/>
      <c r="T131" s="22"/>
      <c r="U131" s="22"/>
      <c r="V131" s="22"/>
      <c r="W131" s="22"/>
      <c r="X131" s="22"/>
      <c r="Y131" s="22"/>
      <c r="Z131" s="22"/>
      <c r="AA131" s="22"/>
      <c r="AB131" s="22"/>
      <c r="AC131" s="22"/>
      <c r="AD131" s="22"/>
      <c r="AE131" s="22"/>
      <c r="AF131" s="22"/>
      <c r="AG131" s="22"/>
      <c r="AH131" s="22"/>
      <c r="AI131" s="22"/>
      <c r="AJ131" s="22"/>
      <c r="AK131" s="22"/>
      <c r="AL131" s="22"/>
      <c r="AM131" s="22"/>
      <c r="AN131" s="22"/>
    </row>
    <row r="132" spans="1:40" x14ac:dyDescent="0.25">
      <c r="A132" s="22"/>
      <c r="B132" s="22"/>
      <c r="C132" s="22"/>
      <c r="D132" s="22"/>
      <c r="E132" s="22"/>
      <c r="F132" s="22"/>
      <c r="G132" s="22"/>
      <c r="H132" s="22"/>
      <c r="I132" s="22"/>
      <c r="J132" s="22"/>
      <c r="K132" s="22"/>
      <c r="L132" s="22"/>
      <c r="M132" s="22"/>
      <c r="N132" s="22"/>
      <c r="O132" s="22"/>
      <c r="P132" s="22"/>
      <c r="Q132" s="22"/>
      <c r="R132" s="22"/>
      <c r="S132" s="22"/>
      <c r="T132" s="22"/>
      <c r="U132" s="22"/>
      <c r="V132" s="22"/>
      <c r="W132" s="22"/>
      <c r="X132" s="22"/>
      <c r="Y132" s="22"/>
      <c r="Z132" s="22"/>
      <c r="AA132" s="22"/>
      <c r="AB132" s="22"/>
      <c r="AC132" s="22"/>
      <c r="AD132" s="22"/>
      <c r="AE132" s="22"/>
      <c r="AF132" s="22"/>
      <c r="AG132" s="22"/>
      <c r="AH132" s="22"/>
      <c r="AI132" s="22"/>
      <c r="AJ132" s="22"/>
      <c r="AK132" s="22"/>
      <c r="AL132" s="22"/>
      <c r="AM132" s="22"/>
      <c r="AN132" s="22"/>
    </row>
    <row r="133" spans="1:40" x14ac:dyDescent="0.25">
      <c r="A133" s="22"/>
      <c r="B133" s="22"/>
      <c r="C133" s="22"/>
      <c r="D133" s="22"/>
      <c r="E133" s="22"/>
      <c r="F133" s="22"/>
      <c r="G133" s="22"/>
      <c r="H133" s="22"/>
      <c r="I133" s="22"/>
      <c r="J133" s="22"/>
      <c r="K133" s="22"/>
      <c r="L133" s="22"/>
      <c r="M133" s="22"/>
      <c r="N133" s="22"/>
      <c r="O133" s="22"/>
      <c r="P133" s="22"/>
      <c r="Q133" s="22"/>
      <c r="R133" s="22"/>
      <c r="S133" s="22"/>
      <c r="T133" s="22"/>
      <c r="U133" s="22"/>
      <c r="V133" s="22"/>
      <c r="W133" s="22"/>
      <c r="X133" s="22"/>
      <c r="Y133" s="22"/>
      <c r="Z133" s="22"/>
      <c r="AA133" s="22"/>
      <c r="AB133" s="22"/>
      <c r="AC133" s="22"/>
      <c r="AD133" s="22"/>
      <c r="AE133" s="22"/>
      <c r="AF133" s="22"/>
      <c r="AG133" s="22"/>
      <c r="AH133" s="22"/>
      <c r="AI133" s="22"/>
      <c r="AJ133" s="22"/>
      <c r="AK133" s="22"/>
      <c r="AL133" s="22"/>
      <c r="AM133" s="22"/>
      <c r="AN133" s="22"/>
    </row>
    <row r="134" spans="1:40" x14ac:dyDescent="0.25">
      <c r="A134" s="22"/>
      <c r="B134" s="22"/>
      <c r="C134" s="22"/>
      <c r="D134" s="22"/>
      <c r="E134" s="22"/>
      <c r="F134" s="22"/>
      <c r="G134" s="22"/>
      <c r="H134" s="22"/>
      <c r="I134" s="22"/>
      <c r="J134" s="22"/>
      <c r="K134" s="22"/>
      <c r="L134" s="22"/>
      <c r="M134" s="22"/>
      <c r="N134" s="22"/>
      <c r="O134" s="22"/>
      <c r="P134" s="22"/>
      <c r="Q134" s="22"/>
      <c r="R134" s="22"/>
      <c r="S134" s="22"/>
      <c r="T134" s="22"/>
      <c r="U134" s="22"/>
      <c r="V134" s="22"/>
      <c r="W134" s="22"/>
      <c r="X134" s="22"/>
      <c r="Y134" s="22"/>
      <c r="Z134" s="22"/>
      <c r="AA134" s="22"/>
      <c r="AB134" s="22"/>
      <c r="AC134" s="22"/>
      <c r="AD134" s="22"/>
      <c r="AE134" s="22"/>
      <c r="AF134" s="22"/>
      <c r="AG134" s="22"/>
      <c r="AH134" s="22"/>
      <c r="AI134" s="22"/>
      <c r="AJ134" s="22"/>
      <c r="AK134" s="22"/>
      <c r="AL134" s="22"/>
      <c r="AM134" s="22"/>
      <c r="AN134" s="22"/>
    </row>
    <row r="135" spans="1:40" x14ac:dyDescent="0.25">
      <c r="A135" s="22"/>
      <c r="B135" s="22"/>
      <c r="C135" s="22"/>
      <c r="D135" s="22"/>
      <c r="E135" s="22"/>
      <c r="F135" s="22"/>
      <c r="G135" s="22"/>
      <c r="H135" s="22"/>
      <c r="I135" s="22"/>
      <c r="J135" s="22"/>
      <c r="K135" s="22"/>
      <c r="L135" s="22"/>
      <c r="M135" s="22"/>
      <c r="N135" s="22"/>
      <c r="O135" s="22"/>
      <c r="P135" s="22"/>
      <c r="Q135" s="22"/>
      <c r="R135" s="22"/>
      <c r="S135" s="22"/>
      <c r="T135" s="22"/>
      <c r="U135" s="22"/>
      <c r="V135" s="22"/>
      <c r="W135" s="22"/>
      <c r="X135" s="22"/>
      <c r="Y135" s="22"/>
      <c r="Z135" s="22"/>
      <c r="AA135" s="22"/>
      <c r="AB135" s="22"/>
      <c r="AC135" s="22"/>
      <c r="AD135" s="22"/>
      <c r="AE135" s="22"/>
      <c r="AF135" s="22"/>
      <c r="AG135" s="22"/>
      <c r="AH135" s="22"/>
      <c r="AI135" s="22"/>
      <c r="AJ135" s="22"/>
      <c r="AK135" s="22"/>
      <c r="AL135" s="22"/>
      <c r="AM135" s="22"/>
      <c r="AN135" s="22"/>
    </row>
    <row r="136" spans="1:40" x14ac:dyDescent="0.25">
      <c r="A136" s="22"/>
      <c r="B136" s="22"/>
      <c r="C136" s="22"/>
      <c r="D136" s="22"/>
      <c r="E136" s="22"/>
      <c r="F136" s="22"/>
      <c r="G136" s="22"/>
      <c r="H136" s="22"/>
      <c r="I136" s="22"/>
      <c r="J136" s="22"/>
      <c r="K136" s="22"/>
      <c r="L136" s="22"/>
      <c r="M136" s="22"/>
      <c r="N136" s="22"/>
      <c r="O136" s="22"/>
      <c r="P136" s="22"/>
      <c r="Q136" s="22"/>
      <c r="R136" s="22"/>
      <c r="S136" s="22"/>
      <c r="T136" s="22"/>
      <c r="U136" s="22"/>
      <c r="V136" s="22"/>
      <c r="W136" s="22"/>
      <c r="X136" s="22"/>
      <c r="Y136" s="22"/>
      <c r="Z136" s="22"/>
      <c r="AA136" s="22"/>
      <c r="AB136" s="22"/>
      <c r="AC136" s="22"/>
      <c r="AD136" s="22"/>
      <c r="AE136" s="22"/>
      <c r="AF136" s="22"/>
      <c r="AG136" s="22"/>
      <c r="AH136" s="22"/>
      <c r="AI136" s="22"/>
      <c r="AJ136" s="22"/>
      <c r="AK136" s="22"/>
      <c r="AL136" s="22"/>
      <c r="AM136" s="22"/>
      <c r="AN136" s="22"/>
    </row>
    <row r="137" spans="1:40" x14ac:dyDescent="0.25">
      <c r="A137" s="22"/>
      <c r="B137" s="22"/>
      <c r="C137" s="22"/>
      <c r="D137" s="22"/>
      <c r="E137" s="22"/>
      <c r="F137" s="22"/>
      <c r="G137" s="22"/>
      <c r="H137" s="22"/>
      <c r="I137" s="22"/>
      <c r="J137" s="22"/>
      <c r="K137" s="22"/>
      <c r="L137" s="22"/>
      <c r="M137" s="22"/>
      <c r="N137" s="22"/>
      <c r="O137" s="22"/>
      <c r="P137" s="22"/>
      <c r="Q137" s="22"/>
      <c r="R137" s="22"/>
      <c r="S137" s="22"/>
      <c r="T137" s="22"/>
      <c r="U137" s="22"/>
      <c r="V137" s="22"/>
      <c r="W137" s="22"/>
      <c r="X137" s="22"/>
      <c r="Y137" s="22"/>
      <c r="Z137" s="22"/>
      <c r="AA137" s="22"/>
      <c r="AB137" s="22"/>
      <c r="AC137" s="22"/>
      <c r="AD137" s="22"/>
      <c r="AE137" s="22"/>
      <c r="AF137" s="22"/>
      <c r="AG137" s="22"/>
      <c r="AH137" s="22"/>
      <c r="AI137" s="22"/>
      <c r="AJ137" s="22"/>
      <c r="AK137" s="22"/>
      <c r="AL137" s="22"/>
      <c r="AM137" s="22"/>
      <c r="AN137" s="22"/>
    </row>
    <row r="138" spans="1:40" x14ac:dyDescent="0.25">
      <c r="A138" s="22"/>
      <c r="B138" s="22"/>
      <c r="C138" s="22"/>
      <c r="D138" s="22"/>
      <c r="E138" s="22"/>
      <c r="F138" s="22"/>
      <c r="G138" s="22"/>
      <c r="H138" s="22"/>
      <c r="I138" s="22"/>
      <c r="J138" s="22"/>
      <c r="K138" s="22"/>
      <c r="L138" s="22"/>
      <c r="M138" s="22"/>
      <c r="N138" s="22"/>
      <c r="O138" s="22"/>
      <c r="P138" s="22"/>
      <c r="Q138" s="22"/>
      <c r="R138" s="22"/>
      <c r="S138" s="22"/>
      <c r="T138" s="22"/>
      <c r="U138" s="22"/>
      <c r="V138" s="22"/>
      <c r="W138" s="22"/>
      <c r="X138" s="22"/>
      <c r="Y138" s="22"/>
      <c r="Z138" s="22"/>
      <c r="AA138" s="22"/>
      <c r="AB138" s="22"/>
      <c r="AC138" s="22"/>
      <c r="AD138" s="22"/>
      <c r="AE138" s="22"/>
      <c r="AF138" s="22"/>
      <c r="AG138" s="22"/>
      <c r="AH138" s="22"/>
      <c r="AI138" s="22"/>
      <c r="AJ138" s="22"/>
      <c r="AK138" s="22"/>
      <c r="AL138" s="22"/>
      <c r="AM138" s="22"/>
      <c r="AN138" s="22"/>
    </row>
    <row r="139" spans="1:40" x14ac:dyDescent="0.25">
      <c r="A139" s="22"/>
      <c r="B139" s="22"/>
      <c r="C139" s="22"/>
      <c r="D139" s="22"/>
      <c r="E139" s="22"/>
      <c r="F139" s="22"/>
      <c r="G139" s="22"/>
      <c r="H139" s="22"/>
      <c r="I139" s="22"/>
      <c r="J139" s="22"/>
      <c r="K139" s="22"/>
      <c r="L139" s="22"/>
      <c r="M139" s="22"/>
      <c r="N139" s="22"/>
      <c r="O139" s="22"/>
      <c r="P139" s="22"/>
      <c r="Q139" s="22"/>
      <c r="R139" s="22"/>
      <c r="S139" s="22"/>
      <c r="T139" s="22"/>
      <c r="U139" s="22"/>
      <c r="V139" s="22"/>
      <c r="W139" s="22"/>
      <c r="X139" s="22"/>
      <c r="Y139" s="22"/>
      <c r="Z139" s="22"/>
      <c r="AA139" s="22"/>
      <c r="AB139" s="22"/>
      <c r="AC139" s="22"/>
      <c r="AD139" s="22"/>
      <c r="AE139" s="22"/>
      <c r="AF139" s="22"/>
      <c r="AG139" s="22"/>
      <c r="AH139" s="22"/>
      <c r="AI139" s="22"/>
      <c r="AJ139" s="22"/>
      <c r="AK139" s="22"/>
      <c r="AL139" s="22"/>
      <c r="AM139" s="22"/>
      <c r="AN139" s="22"/>
    </row>
    <row r="140" spans="1:40" x14ac:dyDescent="0.25">
      <c r="A140" s="22"/>
      <c r="B140" s="22"/>
      <c r="C140" s="22"/>
      <c r="D140" s="22"/>
      <c r="E140" s="22"/>
      <c r="F140" s="22"/>
      <c r="G140" s="22"/>
      <c r="H140" s="22"/>
      <c r="I140" s="22"/>
      <c r="J140" s="22"/>
      <c r="K140" s="22"/>
      <c r="L140" s="22"/>
      <c r="M140" s="22"/>
      <c r="N140" s="22"/>
      <c r="O140" s="22"/>
      <c r="P140" s="22"/>
      <c r="Q140" s="22"/>
      <c r="R140" s="22"/>
      <c r="S140" s="22"/>
      <c r="T140" s="22"/>
      <c r="U140" s="22"/>
      <c r="V140" s="22"/>
      <c r="W140" s="22"/>
      <c r="X140" s="22"/>
      <c r="Y140" s="22"/>
      <c r="Z140" s="22"/>
      <c r="AA140" s="22"/>
      <c r="AB140" s="22"/>
      <c r="AC140" s="22"/>
      <c r="AD140" s="22"/>
      <c r="AE140" s="22"/>
      <c r="AF140" s="22"/>
      <c r="AG140" s="22"/>
      <c r="AH140" s="22"/>
      <c r="AI140" s="22"/>
      <c r="AJ140" s="22"/>
      <c r="AK140" s="22"/>
      <c r="AL140" s="22"/>
      <c r="AM140" s="22"/>
      <c r="AN140" s="22"/>
    </row>
    <row r="141" spans="1:40" x14ac:dyDescent="0.25">
      <c r="A141" s="22"/>
      <c r="B141" s="22"/>
      <c r="C141" s="22"/>
      <c r="D141" s="22"/>
      <c r="E141" s="22"/>
      <c r="F141" s="22"/>
      <c r="G141" s="22"/>
      <c r="H141" s="22"/>
      <c r="I141" s="22"/>
      <c r="J141" s="22"/>
      <c r="K141" s="22"/>
      <c r="L141" s="22"/>
      <c r="M141" s="22"/>
      <c r="N141" s="22"/>
      <c r="O141" s="22"/>
      <c r="P141" s="22"/>
      <c r="Q141" s="22"/>
      <c r="R141" s="22"/>
      <c r="S141" s="22"/>
      <c r="T141" s="22"/>
      <c r="U141" s="22"/>
      <c r="V141" s="22"/>
      <c r="W141" s="22"/>
      <c r="X141" s="22"/>
      <c r="Y141" s="22"/>
      <c r="Z141" s="22"/>
      <c r="AA141" s="22"/>
      <c r="AB141" s="22"/>
      <c r="AC141" s="22"/>
      <c r="AD141" s="22"/>
      <c r="AE141" s="22"/>
      <c r="AF141" s="22"/>
      <c r="AG141" s="22"/>
      <c r="AH141" s="22"/>
      <c r="AI141" s="22"/>
      <c r="AJ141" s="22"/>
      <c r="AK141" s="22"/>
      <c r="AL141" s="22"/>
      <c r="AM141" s="22"/>
      <c r="AN141" s="22"/>
    </row>
    <row r="142" spans="1:40" x14ac:dyDescent="0.25">
      <c r="A142" s="22"/>
      <c r="B142" s="22"/>
      <c r="C142" s="22"/>
      <c r="D142" s="22"/>
      <c r="E142" s="22"/>
      <c r="F142" s="22"/>
      <c r="G142" s="22"/>
      <c r="H142" s="22"/>
      <c r="I142" s="22"/>
      <c r="J142" s="22"/>
      <c r="K142" s="22"/>
      <c r="L142" s="22"/>
      <c r="M142" s="22"/>
      <c r="N142" s="22"/>
      <c r="O142" s="22"/>
      <c r="P142" s="22"/>
      <c r="Q142" s="22"/>
      <c r="R142" s="22"/>
      <c r="S142" s="22"/>
      <c r="T142" s="22"/>
      <c r="U142" s="22"/>
      <c r="V142" s="22"/>
      <c r="W142" s="22"/>
      <c r="X142" s="22"/>
      <c r="Y142" s="22"/>
      <c r="Z142" s="22"/>
      <c r="AA142" s="22"/>
      <c r="AB142" s="22"/>
      <c r="AC142" s="22"/>
      <c r="AD142" s="22"/>
      <c r="AE142" s="22"/>
      <c r="AF142" s="22"/>
      <c r="AG142" s="22"/>
      <c r="AH142" s="22"/>
      <c r="AI142" s="22"/>
      <c r="AJ142" s="22"/>
      <c r="AK142" s="22"/>
      <c r="AL142" s="22"/>
      <c r="AM142" s="22"/>
      <c r="AN142" s="22"/>
    </row>
    <row r="143" spans="1:40" x14ac:dyDescent="0.25">
      <c r="A143" s="22"/>
      <c r="B143" s="22"/>
      <c r="C143" s="22"/>
      <c r="D143" s="22"/>
      <c r="E143" s="22"/>
      <c r="F143" s="22"/>
      <c r="G143" s="22"/>
      <c r="H143" s="22"/>
      <c r="I143" s="22"/>
      <c r="J143" s="22"/>
      <c r="K143" s="22"/>
      <c r="L143" s="22"/>
      <c r="M143" s="22"/>
      <c r="N143" s="22"/>
      <c r="O143" s="22"/>
      <c r="P143" s="22"/>
      <c r="Q143" s="22"/>
      <c r="R143" s="22"/>
      <c r="S143" s="22"/>
      <c r="T143" s="22"/>
      <c r="U143" s="22"/>
      <c r="V143" s="22"/>
      <c r="W143" s="22"/>
      <c r="X143" s="22"/>
      <c r="Y143" s="22"/>
      <c r="Z143" s="22"/>
      <c r="AA143" s="22"/>
      <c r="AB143" s="22"/>
      <c r="AC143" s="22"/>
      <c r="AD143" s="22"/>
      <c r="AE143" s="22"/>
      <c r="AF143" s="22"/>
      <c r="AG143" s="22"/>
      <c r="AH143" s="22"/>
      <c r="AI143" s="22"/>
      <c r="AJ143" s="22"/>
      <c r="AK143" s="22"/>
      <c r="AL143" s="22"/>
      <c r="AM143" s="22"/>
      <c r="AN143" s="22"/>
    </row>
    <row r="144" spans="1:40" x14ac:dyDescent="0.25">
      <c r="A144" s="22"/>
      <c r="B144" s="22"/>
      <c r="C144" s="22"/>
      <c r="D144" s="22"/>
      <c r="E144" s="22"/>
      <c r="F144" s="22"/>
      <c r="G144" s="22"/>
      <c r="H144" s="22"/>
      <c r="I144" s="22"/>
      <c r="J144" s="22"/>
      <c r="K144" s="22"/>
      <c r="L144" s="22"/>
      <c r="M144" s="22"/>
      <c r="N144" s="22"/>
      <c r="O144" s="22"/>
      <c r="P144" s="22"/>
      <c r="Q144" s="22"/>
      <c r="R144" s="22"/>
      <c r="S144" s="22"/>
      <c r="T144" s="22"/>
      <c r="U144" s="22"/>
      <c r="V144" s="22"/>
      <c r="W144" s="22"/>
      <c r="X144" s="22"/>
      <c r="Y144" s="22"/>
      <c r="Z144" s="22"/>
      <c r="AA144" s="22"/>
      <c r="AB144" s="22"/>
      <c r="AC144" s="22"/>
      <c r="AD144" s="22"/>
      <c r="AE144" s="22"/>
      <c r="AF144" s="22"/>
      <c r="AG144" s="22"/>
      <c r="AH144" s="22"/>
      <c r="AI144" s="22"/>
      <c r="AJ144" s="22"/>
      <c r="AK144" s="22"/>
      <c r="AL144" s="22"/>
      <c r="AM144" s="22"/>
      <c r="AN144" s="22"/>
    </row>
    <row r="145" spans="1:40" x14ac:dyDescent="0.25">
      <c r="A145" s="22"/>
      <c r="B145" s="22"/>
      <c r="C145" s="22"/>
      <c r="D145" s="22"/>
      <c r="E145" s="22"/>
      <c r="F145" s="22"/>
      <c r="G145" s="22"/>
      <c r="H145" s="22"/>
      <c r="I145" s="22"/>
      <c r="J145" s="22"/>
      <c r="K145" s="22"/>
      <c r="L145" s="22"/>
      <c r="M145" s="22"/>
      <c r="N145" s="22"/>
      <c r="O145" s="22"/>
      <c r="P145" s="22"/>
      <c r="Q145" s="22"/>
      <c r="R145" s="22"/>
      <c r="S145" s="22"/>
      <c r="T145" s="22"/>
      <c r="U145" s="22"/>
      <c r="V145" s="22"/>
      <c r="W145" s="22"/>
      <c r="X145" s="22"/>
      <c r="Y145" s="22"/>
      <c r="Z145" s="22"/>
      <c r="AA145" s="22"/>
      <c r="AB145" s="22"/>
      <c r="AC145" s="22"/>
      <c r="AD145" s="22"/>
      <c r="AE145" s="22"/>
      <c r="AF145" s="22"/>
      <c r="AG145" s="22"/>
      <c r="AH145" s="22"/>
      <c r="AI145" s="22"/>
      <c r="AJ145" s="22"/>
      <c r="AK145" s="22"/>
      <c r="AL145" s="22"/>
      <c r="AM145" s="22"/>
      <c r="AN145" s="22"/>
    </row>
    <row r="146" spans="1:40" x14ac:dyDescent="0.25">
      <c r="A146" s="22"/>
      <c r="B146" s="22"/>
      <c r="C146" s="22"/>
      <c r="D146" s="22"/>
      <c r="E146" s="22"/>
      <c r="F146" s="22"/>
      <c r="G146" s="22"/>
      <c r="H146" s="22"/>
      <c r="I146" s="22"/>
      <c r="J146" s="22"/>
      <c r="K146" s="22"/>
      <c r="L146" s="22"/>
      <c r="M146" s="22"/>
      <c r="N146" s="22"/>
      <c r="O146" s="22"/>
      <c r="P146" s="22"/>
      <c r="Q146" s="22"/>
      <c r="R146" s="22"/>
      <c r="S146" s="22"/>
      <c r="T146" s="22"/>
      <c r="U146" s="22"/>
      <c r="V146" s="22"/>
      <c r="W146" s="22"/>
      <c r="X146" s="22"/>
      <c r="Y146" s="22"/>
      <c r="Z146" s="22"/>
      <c r="AA146" s="22"/>
      <c r="AB146" s="22"/>
      <c r="AC146" s="22"/>
      <c r="AD146" s="22"/>
      <c r="AE146" s="22"/>
      <c r="AF146" s="22"/>
      <c r="AG146" s="22"/>
      <c r="AH146" s="22"/>
      <c r="AI146" s="22"/>
      <c r="AJ146" s="22"/>
      <c r="AK146" s="22"/>
      <c r="AL146" s="22"/>
      <c r="AM146" s="22"/>
      <c r="AN146" s="22"/>
    </row>
    <row r="147" spans="1:40" x14ac:dyDescent="0.25">
      <c r="A147" s="22"/>
      <c r="B147" s="22"/>
      <c r="C147" s="22"/>
      <c r="D147" s="22"/>
      <c r="E147" s="22"/>
      <c r="F147" s="22"/>
      <c r="G147" s="22"/>
      <c r="H147" s="22"/>
      <c r="I147" s="22"/>
      <c r="J147" s="22"/>
      <c r="K147" s="22"/>
      <c r="L147" s="22"/>
      <c r="M147" s="22"/>
      <c r="N147" s="22"/>
      <c r="O147" s="22"/>
      <c r="P147" s="22"/>
      <c r="Q147" s="22"/>
      <c r="R147" s="22"/>
      <c r="S147" s="22"/>
      <c r="T147" s="22"/>
      <c r="U147" s="22"/>
      <c r="V147" s="22"/>
      <c r="W147" s="22"/>
      <c r="X147" s="22"/>
      <c r="Y147" s="22"/>
      <c r="Z147" s="22"/>
      <c r="AA147" s="22"/>
      <c r="AB147" s="22"/>
      <c r="AC147" s="22"/>
      <c r="AD147" s="22"/>
      <c r="AE147" s="22"/>
      <c r="AF147" s="22"/>
      <c r="AG147" s="22"/>
      <c r="AH147" s="22"/>
      <c r="AI147" s="22"/>
      <c r="AJ147" s="22"/>
      <c r="AK147" s="22"/>
      <c r="AL147" s="22"/>
      <c r="AM147" s="22"/>
      <c r="AN147" s="22"/>
    </row>
    <row r="148" spans="1:40" x14ac:dyDescent="0.25">
      <c r="A148" s="22"/>
      <c r="B148" s="22"/>
      <c r="C148" s="22"/>
      <c r="D148" s="22"/>
      <c r="E148" s="22"/>
      <c r="F148" s="22"/>
      <c r="G148" s="22"/>
      <c r="H148" s="22"/>
      <c r="I148" s="22"/>
      <c r="J148" s="22"/>
      <c r="K148" s="22"/>
      <c r="L148" s="22"/>
      <c r="M148" s="22"/>
      <c r="N148" s="22"/>
      <c r="O148" s="22"/>
      <c r="P148" s="22"/>
      <c r="Q148" s="22"/>
      <c r="R148" s="22"/>
      <c r="S148" s="22"/>
      <c r="T148" s="22"/>
      <c r="U148" s="22"/>
      <c r="V148" s="22"/>
      <c r="W148" s="22"/>
      <c r="X148" s="22"/>
      <c r="Y148" s="22"/>
      <c r="Z148" s="22"/>
      <c r="AA148" s="22"/>
      <c r="AB148" s="22"/>
      <c r="AC148" s="22"/>
      <c r="AD148" s="22"/>
      <c r="AE148" s="22"/>
      <c r="AF148" s="22"/>
      <c r="AG148" s="22"/>
      <c r="AH148" s="22"/>
      <c r="AI148" s="22"/>
      <c r="AJ148" s="22"/>
      <c r="AK148" s="22"/>
      <c r="AL148" s="22"/>
      <c r="AM148" s="22"/>
      <c r="AN148" s="22"/>
    </row>
    <row r="149" spans="1:40" x14ac:dyDescent="0.25">
      <c r="A149" s="22"/>
      <c r="B149" s="22"/>
      <c r="C149" s="22"/>
      <c r="D149" s="22"/>
      <c r="E149" s="22"/>
      <c r="F149" s="22"/>
      <c r="G149" s="22"/>
      <c r="H149" s="22"/>
      <c r="I149" s="22"/>
      <c r="J149" s="22"/>
      <c r="K149" s="22"/>
      <c r="L149" s="22"/>
      <c r="M149" s="22"/>
      <c r="N149" s="22"/>
      <c r="O149" s="22"/>
      <c r="P149" s="22"/>
      <c r="Q149" s="22"/>
      <c r="R149" s="22"/>
      <c r="S149" s="22"/>
      <c r="T149" s="22"/>
      <c r="U149" s="22"/>
      <c r="V149" s="22"/>
      <c r="W149" s="22"/>
      <c r="X149" s="22"/>
      <c r="Y149" s="22"/>
      <c r="Z149" s="22"/>
      <c r="AA149" s="22"/>
      <c r="AB149" s="22"/>
      <c r="AC149" s="22"/>
      <c r="AD149" s="22"/>
      <c r="AE149" s="22"/>
      <c r="AF149" s="22"/>
      <c r="AG149" s="22"/>
      <c r="AH149" s="22"/>
      <c r="AI149" s="22"/>
      <c r="AJ149" s="22"/>
      <c r="AK149" s="22"/>
      <c r="AL149" s="22"/>
      <c r="AM149" s="22"/>
      <c r="AN149" s="22"/>
    </row>
    <row r="150" spans="1:40" x14ac:dyDescent="0.25">
      <c r="A150" s="22"/>
      <c r="B150" s="22"/>
      <c r="C150" s="22"/>
      <c r="D150" s="22"/>
      <c r="E150" s="22"/>
      <c r="F150" s="22"/>
      <c r="G150" s="22"/>
      <c r="H150" s="22"/>
      <c r="I150" s="22"/>
      <c r="J150" s="22"/>
      <c r="K150" s="22"/>
      <c r="L150" s="22"/>
      <c r="M150" s="22"/>
      <c r="N150" s="22"/>
      <c r="O150" s="22"/>
      <c r="P150" s="22"/>
      <c r="Q150" s="22"/>
      <c r="R150" s="22"/>
      <c r="S150" s="22"/>
      <c r="T150" s="22"/>
      <c r="U150" s="22"/>
      <c r="V150" s="22"/>
      <c r="W150" s="22"/>
      <c r="X150" s="22"/>
      <c r="Y150" s="22"/>
      <c r="Z150" s="22"/>
      <c r="AA150" s="22"/>
      <c r="AB150" s="22"/>
      <c r="AC150" s="22"/>
      <c r="AD150" s="22"/>
      <c r="AE150" s="22"/>
      <c r="AF150" s="22"/>
      <c r="AG150" s="22"/>
      <c r="AH150" s="22"/>
      <c r="AI150" s="22"/>
      <c r="AJ150" s="22"/>
      <c r="AK150" s="22"/>
      <c r="AL150" s="22"/>
      <c r="AM150" s="22"/>
      <c r="AN150" s="22"/>
    </row>
    <row r="151" spans="1:40" x14ac:dyDescent="0.25">
      <c r="A151" s="22"/>
      <c r="B151" s="22"/>
      <c r="C151" s="22"/>
      <c r="D151" s="22"/>
      <c r="E151" s="22"/>
      <c r="F151" s="22"/>
      <c r="G151" s="22"/>
      <c r="H151" s="22"/>
      <c r="I151" s="22"/>
      <c r="J151" s="22"/>
      <c r="K151" s="22"/>
      <c r="L151" s="22"/>
      <c r="M151" s="22"/>
      <c r="N151" s="22"/>
      <c r="O151" s="22"/>
      <c r="P151" s="22"/>
      <c r="Q151" s="22"/>
      <c r="R151" s="22"/>
      <c r="S151" s="22"/>
      <c r="T151" s="22"/>
      <c r="U151" s="22"/>
      <c r="V151" s="22"/>
      <c r="W151" s="22"/>
      <c r="X151" s="22"/>
      <c r="Y151" s="22"/>
      <c r="Z151" s="22"/>
      <c r="AA151" s="22"/>
      <c r="AB151" s="22"/>
      <c r="AC151" s="22"/>
      <c r="AD151" s="22"/>
      <c r="AE151" s="22"/>
      <c r="AF151" s="22"/>
      <c r="AG151" s="22"/>
      <c r="AH151" s="22"/>
      <c r="AI151" s="22"/>
      <c r="AJ151" s="22"/>
      <c r="AK151" s="22"/>
      <c r="AL151" s="22"/>
      <c r="AM151" s="22"/>
      <c r="AN151" s="22"/>
    </row>
    <row r="152" spans="1:40" x14ac:dyDescent="0.25">
      <c r="A152" s="22"/>
      <c r="B152" s="22"/>
      <c r="C152" s="22"/>
      <c r="D152" s="22"/>
      <c r="E152" s="22"/>
      <c r="F152" s="22"/>
      <c r="G152" s="22"/>
      <c r="H152" s="22"/>
      <c r="I152" s="22"/>
      <c r="J152" s="22"/>
      <c r="K152" s="22"/>
      <c r="L152" s="22"/>
      <c r="M152" s="22"/>
      <c r="N152" s="22"/>
      <c r="O152" s="22"/>
      <c r="P152" s="22"/>
      <c r="Q152" s="22"/>
      <c r="R152" s="22"/>
      <c r="S152" s="22"/>
      <c r="T152" s="22"/>
      <c r="U152" s="22"/>
      <c r="V152" s="22"/>
      <c r="W152" s="22"/>
      <c r="X152" s="22"/>
      <c r="Y152" s="22"/>
      <c r="Z152" s="22"/>
      <c r="AA152" s="22"/>
      <c r="AB152" s="22"/>
      <c r="AC152" s="22"/>
      <c r="AD152" s="22"/>
      <c r="AE152" s="22"/>
      <c r="AF152" s="22"/>
      <c r="AG152" s="22"/>
      <c r="AH152" s="22"/>
      <c r="AI152" s="22"/>
      <c r="AJ152" s="22"/>
      <c r="AK152" s="22"/>
      <c r="AL152" s="22"/>
      <c r="AM152" s="22"/>
      <c r="AN152" s="22"/>
    </row>
    <row r="153" spans="1:40" x14ac:dyDescent="0.25">
      <c r="A153" s="22"/>
      <c r="B153" s="22"/>
      <c r="C153" s="22"/>
      <c r="D153" s="22"/>
      <c r="E153" s="22"/>
      <c r="F153" s="22"/>
      <c r="G153" s="22"/>
      <c r="H153" s="22"/>
      <c r="I153" s="22"/>
      <c r="J153" s="22"/>
      <c r="K153" s="22"/>
      <c r="L153" s="22"/>
      <c r="M153" s="22"/>
      <c r="N153" s="22"/>
      <c r="O153" s="22"/>
      <c r="P153" s="22"/>
      <c r="Q153" s="22"/>
      <c r="R153" s="22"/>
      <c r="S153" s="22"/>
      <c r="T153" s="22"/>
      <c r="U153" s="22"/>
      <c r="V153" s="22"/>
      <c r="W153" s="22"/>
      <c r="X153" s="22"/>
      <c r="Y153" s="22"/>
      <c r="Z153" s="22"/>
      <c r="AA153" s="22"/>
      <c r="AB153" s="22"/>
      <c r="AC153" s="22"/>
      <c r="AD153" s="22"/>
      <c r="AE153" s="22"/>
      <c r="AF153" s="22"/>
      <c r="AG153" s="22"/>
      <c r="AH153" s="22"/>
      <c r="AI153" s="22"/>
      <c r="AJ153" s="22"/>
      <c r="AK153" s="22"/>
      <c r="AL153" s="22"/>
      <c r="AM153" s="22"/>
      <c r="AN153" s="22"/>
    </row>
    <row r="154" spans="1:40" x14ac:dyDescent="0.25">
      <c r="A154" s="22"/>
      <c r="B154" s="22"/>
      <c r="C154" s="22"/>
      <c r="D154" s="22"/>
      <c r="E154" s="22"/>
      <c r="F154" s="22"/>
      <c r="G154" s="22"/>
      <c r="H154" s="22"/>
      <c r="I154" s="22"/>
      <c r="J154" s="22"/>
      <c r="K154" s="22"/>
      <c r="L154" s="22"/>
      <c r="M154" s="22"/>
      <c r="N154" s="22"/>
      <c r="O154" s="22"/>
      <c r="P154" s="22"/>
      <c r="Q154" s="22"/>
      <c r="R154" s="22"/>
      <c r="S154" s="22"/>
      <c r="T154" s="22"/>
      <c r="U154" s="22"/>
      <c r="V154" s="22"/>
      <c r="W154" s="22"/>
      <c r="X154" s="22"/>
      <c r="Y154" s="22"/>
      <c r="Z154" s="22"/>
      <c r="AA154" s="22"/>
      <c r="AB154" s="22"/>
      <c r="AC154" s="22"/>
      <c r="AD154" s="22"/>
      <c r="AE154" s="22"/>
      <c r="AF154" s="22"/>
      <c r="AG154" s="22"/>
      <c r="AH154" s="22"/>
      <c r="AI154" s="22"/>
      <c r="AJ154" s="22"/>
      <c r="AK154" s="22"/>
      <c r="AL154" s="22"/>
      <c r="AM154" s="22"/>
      <c r="AN154" s="22"/>
    </row>
    <row r="155" spans="1:40" x14ac:dyDescent="0.25">
      <c r="A155" s="22"/>
      <c r="B155" s="22"/>
      <c r="C155" s="22"/>
      <c r="D155" s="22"/>
      <c r="E155" s="22"/>
      <c r="F155" s="22"/>
      <c r="G155" s="22"/>
      <c r="H155" s="22"/>
      <c r="I155" s="22"/>
      <c r="J155" s="22"/>
      <c r="K155" s="22"/>
      <c r="L155" s="22"/>
      <c r="M155" s="22"/>
      <c r="N155" s="22"/>
      <c r="O155" s="22"/>
      <c r="P155" s="22"/>
      <c r="Q155" s="22"/>
      <c r="R155" s="22"/>
      <c r="S155" s="22"/>
      <c r="T155" s="22"/>
      <c r="U155" s="22"/>
      <c r="V155" s="22"/>
      <c r="W155" s="22"/>
      <c r="X155" s="22"/>
      <c r="Y155" s="22"/>
      <c r="Z155" s="22"/>
      <c r="AA155" s="22"/>
      <c r="AB155" s="22"/>
      <c r="AC155" s="22"/>
      <c r="AD155" s="22"/>
      <c r="AE155" s="22"/>
      <c r="AF155" s="22"/>
      <c r="AG155" s="22"/>
      <c r="AH155" s="22"/>
      <c r="AI155" s="22"/>
      <c r="AJ155" s="22"/>
      <c r="AK155" s="22"/>
      <c r="AL155" s="22"/>
      <c r="AM155" s="22"/>
      <c r="AN155" s="22"/>
    </row>
    <row r="156" spans="1:40" x14ac:dyDescent="0.25">
      <c r="A156" s="22"/>
      <c r="B156" s="22"/>
      <c r="C156" s="22"/>
      <c r="D156" s="22"/>
      <c r="E156" s="22"/>
      <c r="F156" s="22"/>
      <c r="G156" s="22"/>
      <c r="H156" s="22"/>
      <c r="I156" s="22"/>
      <c r="J156" s="22"/>
      <c r="K156" s="22"/>
      <c r="L156" s="22"/>
      <c r="M156" s="22"/>
      <c r="N156" s="22"/>
      <c r="O156" s="22"/>
      <c r="P156" s="22"/>
      <c r="Q156" s="22"/>
      <c r="R156" s="22"/>
      <c r="S156" s="22"/>
      <c r="T156" s="22"/>
      <c r="U156" s="22"/>
      <c r="V156" s="22"/>
      <c r="W156" s="22"/>
      <c r="X156" s="22"/>
      <c r="Y156" s="22"/>
      <c r="Z156" s="22"/>
      <c r="AA156" s="22"/>
      <c r="AB156" s="22"/>
      <c r="AC156" s="22"/>
      <c r="AD156" s="22"/>
      <c r="AE156" s="22"/>
      <c r="AF156" s="22"/>
      <c r="AG156" s="22"/>
      <c r="AH156" s="22"/>
      <c r="AI156" s="22"/>
      <c r="AJ156" s="22"/>
      <c r="AK156" s="22"/>
      <c r="AL156" s="22"/>
      <c r="AM156" s="22"/>
      <c r="AN156" s="22"/>
    </row>
    <row r="157" spans="1:40" x14ac:dyDescent="0.25">
      <c r="A157" s="22"/>
      <c r="B157" s="22"/>
      <c r="C157" s="22"/>
      <c r="D157" s="22"/>
      <c r="E157" s="22"/>
      <c r="F157" s="22"/>
      <c r="G157" s="22"/>
      <c r="H157" s="22"/>
      <c r="I157" s="22"/>
      <c r="J157" s="22"/>
      <c r="K157" s="22"/>
      <c r="L157" s="22"/>
      <c r="M157" s="22"/>
      <c r="N157" s="22"/>
      <c r="O157" s="22"/>
      <c r="P157" s="22"/>
      <c r="Q157" s="22"/>
      <c r="R157" s="22"/>
      <c r="S157" s="22"/>
      <c r="T157" s="22"/>
      <c r="U157" s="22"/>
      <c r="V157" s="22"/>
      <c r="W157" s="22"/>
      <c r="X157" s="22"/>
      <c r="Y157" s="22"/>
      <c r="Z157" s="22"/>
      <c r="AA157" s="22"/>
      <c r="AB157" s="22"/>
      <c r="AC157" s="22"/>
      <c r="AD157" s="22"/>
      <c r="AE157" s="22"/>
      <c r="AF157" s="22"/>
      <c r="AG157" s="22"/>
      <c r="AH157" s="22"/>
      <c r="AI157" s="22"/>
      <c r="AJ157" s="22"/>
      <c r="AK157" s="22"/>
      <c r="AL157" s="22"/>
      <c r="AM157" s="22"/>
      <c r="AN157" s="22"/>
    </row>
    <row r="158" spans="1:40" x14ac:dyDescent="0.25">
      <c r="A158" s="22"/>
      <c r="B158" s="22"/>
      <c r="C158" s="22"/>
      <c r="D158" s="22"/>
      <c r="E158" s="22"/>
      <c r="F158" s="22"/>
      <c r="G158" s="22"/>
      <c r="H158" s="22"/>
      <c r="I158" s="22"/>
      <c r="J158" s="22"/>
      <c r="K158" s="22"/>
      <c r="L158" s="22"/>
      <c r="M158" s="22"/>
      <c r="N158" s="22"/>
      <c r="O158" s="22"/>
      <c r="P158" s="22"/>
      <c r="Q158" s="22"/>
      <c r="R158" s="22"/>
      <c r="S158" s="22"/>
      <c r="T158" s="22"/>
      <c r="U158" s="22"/>
      <c r="V158" s="22"/>
      <c r="W158" s="22"/>
      <c r="X158" s="22"/>
      <c r="Y158" s="22"/>
      <c r="Z158" s="22"/>
      <c r="AA158" s="22"/>
      <c r="AB158" s="22"/>
      <c r="AC158" s="22"/>
      <c r="AD158" s="22"/>
      <c r="AE158" s="22"/>
      <c r="AF158" s="22"/>
      <c r="AG158" s="22"/>
      <c r="AH158" s="22"/>
      <c r="AI158" s="22"/>
      <c r="AJ158" s="22"/>
      <c r="AK158" s="22"/>
      <c r="AL158" s="22"/>
      <c r="AM158" s="22"/>
      <c r="AN158" s="22"/>
    </row>
    <row r="159" spans="1:40" x14ac:dyDescent="0.25">
      <c r="A159" s="22"/>
      <c r="B159" s="22"/>
      <c r="C159" s="22"/>
      <c r="D159" s="22"/>
      <c r="E159" s="22"/>
      <c r="F159" s="22"/>
      <c r="G159" s="22"/>
      <c r="H159" s="22"/>
      <c r="I159" s="22"/>
      <c r="J159" s="22"/>
      <c r="K159" s="22"/>
      <c r="L159" s="22"/>
      <c r="M159" s="22"/>
      <c r="N159" s="22"/>
      <c r="O159" s="22"/>
      <c r="P159" s="22"/>
      <c r="Q159" s="22"/>
      <c r="R159" s="22"/>
      <c r="S159" s="22"/>
      <c r="T159" s="22"/>
      <c r="U159" s="22"/>
      <c r="V159" s="22"/>
      <c r="W159" s="22"/>
      <c r="X159" s="22"/>
      <c r="Y159" s="22"/>
      <c r="Z159" s="22"/>
      <c r="AA159" s="22"/>
      <c r="AB159" s="22"/>
      <c r="AC159" s="22"/>
      <c r="AD159" s="22"/>
      <c r="AE159" s="22"/>
      <c r="AF159" s="22"/>
      <c r="AG159" s="22"/>
      <c r="AH159" s="22"/>
      <c r="AI159" s="22"/>
      <c r="AJ159" s="22"/>
      <c r="AK159" s="22"/>
      <c r="AL159" s="22"/>
      <c r="AM159" s="22"/>
      <c r="AN159" s="22"/>
    </row>
    <row r="160" spans="1:40" x14ac:dyDescent="0.25">
      <c r="A160" s="22"/>
      <c r="B160" s="22"/>
      <c r="C160" s="22"/>
      <c r="D160" s="22"/>
      <c r="E160" s="22"/>
      <c r="F160" s="22"/>
      <c r="G160" s="22"/>
      <c r="H160" s="22"/>
      <c r="I160" s="22"/>
      <c r="J160" s="22"/>
      <c r="K160" s="22"/>
      <c r="L160" s="22"/>
      <c r="M160" s="22"/>
      <c r="N160" s="22"/>
      <c r="O160" s="22"/>
      <c r="P160" s="22"/>
      <c r="Q160" s="22"/>
      <c r="R160" s="22"/>
      <c r="S160" s="22"/>
      <c r="T160" s="22"/>
      <c r="U160" s="22"/>
      <c r="V160" s="22"/>
      <c r="W160" s="22"/>
      <c r="X160" s="22"/>
      <c r="Y160" s="22"/>
      <c r="Z160" s="22"/>
      <c r="AA160" s="22"/>
      <c r="AB160" s="22"/>
      <c r="AC160" s="22"/>
      <c r="AD160" s="22"/>
      <c r="AE160" s="22"/>
      <c r="AF160" s="22"/>
      <c r="AG160" s="22"/>
      <c r="AH160" s="22"/>
      <c r="AI160" s="22"/>
      <c r="AJ160" s="22"/>
      <c r="AK160" s="22"/>
      <c r="AL160" s="22"/>
      <c r="AM160" s="22"/>
      <c r="AN160" s="22"/>
    </row>
    <row r="161" spans="1:40" x14ac:dyDescent="0.25">
      <c r="A161" s="22"/>
      <c r="B161" s="22"/>
      <c r="C161" s="22"/>
      <c r="D161" s="22"/>
      <c r="E161" s="22"/>
      <c r="F161" s="22"/>
      <c r="G161" s="22"/>
      <c r="H161" s="22"/>
      <c r="I161" s="22"/>
      <c r="J161" s="22"/>
      <c r="K161" s="22"/>
      <c r="L161" s="22"/>
      <c r="M161" s="22"/>
      <c r="N161" s="22"/>
      <c r="O161" s="22"/>
      <c r="P161" s="22"/>
      <c r="Q161" s="22"/>
      <c r="R161" s="22"/>
      <c r="S161" s="22"/>
      <c r="T161" s="22"/>
      <c r="U161" s="22"/>
      <c r="V161" s="22"/>
      <c r="W161" s="22"/>
      <c r="X161" s="22"/>
      <c r="Y161" s="22"/>
      <c r="Z161" s="22"/>
      <c r="AA161" s="22"/>
      <c r="AB161" s="22"/>
      <c r="AC161" s="22"/>
      <c r="AD161" s="22"/>
      <c r="AE161" s="22"/>
      <c r="AF161" s="22"/>
      <c r="AG161" s="22"/>
      <c r="AH161" s="22"/>
      <c r="AI161" s="22"/>
      <c r="AJ161" s="22"/>
      <c r="AK161" s="22"/>
      <c r="AL161" s="22"/>
      <c r="AM161" s="22"/>
      <c r="AN161" s="22"/>
    </row>
    <row r="162" spans="1:40" x14ac:dyDescent="0.25">
      <c r="A162" s="22"/>
      <c r="B162" s="22"/>
      <c r="C162" s="22"/>
      <c r="D162" s="22"/>
      <c r="E162" s="22"/>
      <c r="F162" s="22"/>
      <c r="G162" s="22"/>
      <c r="H162" s="22"/>
      <c r="I162" s="22"/>
      <c r="J162" s="22"/>
      <c r="K162" s="22"/>
      <c r="L162" s="22"/>
      <c r="M162" s="22"/>
      <c r="N162" s="22"/>
      <c r="O162" s="22"/>
      <c r="P162" s="22"/>
      <c r="Q162" s="22"/>
      <c r="R162" s="22"/>
      <c r="S162" s="22"/>
      <c r="T162" s="22"/>
      <c r="U162" s="22"/>
      <c r="V162" s="22"/>
      <c r="W162" s="22"/>
      <c r="X162" s="22"/>
      <c r="Y162" s="22"/>
      <c r="Z162" s="22"/>
      <c r="AA162" s="22"/>
      <c r="AB162" s="22"/>
      <c r="AC162" s="22"/>
      <c r="AD162" s="22"/>
      <c r="AE162" s="22"/>
      <c r="AF162" s="22"/>
      <c r="AG162" s="22"/>
      <c r="AH162" s="22"/>
      <c r="AI162" s="22"/>
      <c r="AJ162" s="22"/>
      <c r="AK162" s="22"/>
      <c r="AL162" s="22"/>
      <c r="AM162" s="22"/>
      <c r="AN162" s="22"/>
    </row>
    <row r="163" spans="1:40" x14ac:dyDescent="0.25">
      <c r="A163" s="22"/>
      <c r="B163" s="22"/>
      <c r="C163" s="22"/>
      <c r="D163" s="22"/>
      <c r="E163" s="22"/>
      <c r="F163" s="22"/>
      <c r="G163" s="22"/>
      <c r="H163" s="22"/>
      <c r="I163" s="22"/>
      <c r="J163" s="22"/>
      <c r="K163" s="22"/>
      <c r="L163" s="22"/>
      <c r="M163" s="22"/>
      <c r="N163" s="22"/>
      <c r="O163" s="22"/>
      <c r="P163" s="22"/>
      <c r="Q163" s="22"/>
      <c r="R163" s="22"/>
      <c r="S163" s="22"/>
      <c r="T163" s="22"/>
      <c r="U163" s="22"/>
      <c r="V163" s="22"/>
      <c r="W163" s="22"/>
      <c r="X163" s="22"/>
      <c r="Y163" s="22"/>
      <c r="Z163" s="22"/>
      <c r="AA163" s="22"/>
      <c r="AB163" s="22"/>
      <c r="AC163" s="22"/>
      <c r="AD163" s="22"/>
      <c r="AE163" s="22"/>
      <c r="AF163" s="22"/>
      <c r="AG163" s="22"/>
      <c r="AH163" s="22"/>
      <c r="AI163" s="22"/>
      <c r="AJ163" s="22"/>
      <c r="AK163" s="22"/>
      <c r="AL163" s="22"/>
      <c r="AM163" s="22"/>
      <c r="AN163" s="22"/>
    </row>
    <row r="164" spans="1:40" x14ac:dyDescent="0.25">
      <c r="A164" s="22"/>
      <c r="B164" s="22"/>
      <c r="C164" s="22"/>
      <c r="D164" s="22"/>
      <c r="E164" s="22"/>
      <c r="F164" s="22"/>
      <c r="G164" s="22"/>
      <c r="H164" s="22"/>
      <c r="I164" s="22"/>
      <c r="J164" s="22"/>
      <c r="K164" s="22"/>
      <c r="L164" s="22"/>
      <c r="M164" s="22"/>
      <c r="N164" s="22"/>
      <c r="O164" s="22"/>
      <c r="P164" s="22"/>
      <c r="Q164" s="22"/>
      <c r="R164" s="22"/>
      <c r="S164" s="22"/>
      <c r="T164" s="22"/>
      <c r="U164" s="22"/>
      <c r="V164" s="22"/>
      <c r="W164" s="22"/>
      <c r="X164" s="22"/>
      <c r="Y164" s="22"/>
      <c r="Z164" s="22"/>
      <c r="AA164" s="22"/>
      <c r="AB164" s="22"/>
      <c r="AC164" s="22"/>
      <c r="AD164" s="22"/>
      <c r="AE164" s="22"/>
      <c r="AF164" s="22"/>
      <c r="AG164" s="22"/>
      <c r="AH164" s="22"/>
      <c r="AI164" s="22"/>
      <c r="AJ164" s="22"/>
      <c r="AK164" s="22"/>
      <c r="AL164" s="22"/>
      <c r="AM164" s="22"/>
      <c r="AN164" s="22"/>
    </row>
    <row r="165" spans="1:40" x14ac:dyDescent="0.25">
      <c r="A165" s="22"/>
      <c r="B165" s="22"/>
      <c r="C165" s="22"/>
      <c r="D165" s="22"/>
      <c r="E165" s="22"/>
      <c r="F165" s="22"/>
      <c r="G165" s="22"/>
      <c r="H165" s="22"/>
      <c r="I165" s="22"/>
      <c r="J165" s="22"/>
      <c r="K165" s="22"/>
      <c r="L165" s="22"/>
      <c r="M165" s="22"/>
      <c r="N165" s="22"/>
      <c r="O165" s="22"/>
      <c r="P165" s="22"/>
      <c r="Q165" s="22"/>
      <c r="R165" s="22"/>
      <c r="S165" s="22"/>
      <c r="T165" s="22"/>
      <c r="U165" s="22"/>
      <c r="V165" s="22"/>
      <c r="W165" s="22"/>
      <c r="X165" s="22"/>
      <c r="Y165" s="22"/>
      <c r="Z165" s="22"/>
      <c r="AA165" s="22"/>
      <c r="AB165" s="22"/>
      <c r="AC165" s="22"/>
      <c r="AD165" s="22"/>
      <c r="AE165" s="22"/>
      <c r="AF165" s="22"/>
      <c r="AG165" s="22"/>
      <c r="AH165" s="22"/>
      <c r="AI165" s="22"/>
      <c r="AJ165" s="22"/>
      <c r="AK165" s="22"/>
      <c r="AL165" s="22"/>
      <c r="AM165" s="22"/>
      <c r="AN165" s="22"/>
    </row>
    <row r="166" spans="1:40" x14ac:dyDescent="0.25">
      <c r="A166" s="22"/>
      <c r="B166" s="22"/>
      <c r="C166" s="22"/>
      <c r="D166" s="22"/>
      <c r="E166" s="22"/>
      <c r="F166" s="22"/>
      <c r="G166" s="22"/>
      <c r="H166" s="22"/>
      <c r="I166" s="22"/>
      <c r="J166" s="22"/>
      <c r="K166" s="22"/>
      <c r="L166" s="22"/>
      <c r="M166" s="22"/>
      <c r="N166" s="22"/>
      <c r="O166" s="22"/>
      <c r="P166" s="22"/>
      <c r="Q166" s="22"/>
      <c r="R166" s="22"/>
      <c r="S166" s="22"/>
      <c r="T166" s="22"/>
      <c r="U166" s="22"/>
      <c r="V166" s="22"/>
      <c r="W166" s="22"/>
      <c r="X166" s="22"/>
      <c r="Y166" s="22"/>
      <c r="Z166" s="22"/>
      <c r="AA166" s="22"/>
      <c r="AB166" s="22"/>
      <c r="AC166" s="22"/>
      <c r="AD166" s="22"/>
      <c r="AE166" s="22"/>
      <c r="AF166" s="22"/>
      <c r="AG166" s="22"/>
      <c r="AH166" s="22"/>
      <c r="AI166" s="22"/>
      <c r="AJ166" s="22"/>
      <c r="AK166" s="22"/>
      <c r="AL166" s="22"/>
      <c r="AM166" s="22"/>
      <c r="AN166" s="22"/>
    </row>
    <row r="167" spans="1:40" x14ac:dyDescent="0.25">
      <c r="A167" s="22"/>
      <c r="B167" s="22"/>
      <c r="C167" s="22"/>
      <c r="D167" s="22"/>
      <c r="E167" s="22"/>
      <c r="F167" s="22"/>
      <c r="G167" s="22"/>
      <c r="H167" s="22"/>
      <c r="I167" s="22"/>
      <c r="J167" s="22"/>
      <c r="K167" s="22"/>
      <c r="L167" s="22"/>
      <c r="M167" s="22"/>
      <c r="N167" s="22"/>
      <c r="O167" s="22"/>
      <c r="P167" s="22"/>
      <c r="Q167" s="22"/>
      <c r="R167" s="22"/>
      <c r="S167" s="22"/>
      <c r="T167" s="22"/>
      <c r="U167" s="22"/>
      <c r="V167" s="22"/>
      <c r="W167" s="22"/>
      <c r="X167" s="22"/>
      <c r="Y167" s="22"/>
      <c r="Z167" s="22"/>
      <c r="AA167" s="22"/>
      <c r="AB167" s="22"/>
      <c r="AC167" s="22"/>
      <c r="AD167" s="22"/>
      <c r="AE167" s="22"/>
      <c r="AF167" s="22"/>
      <c r="AG167" s="22"/>
      <c r="AH167" s="22"/>
      <c r="AI167" s="22"/>
      <c r="AJ167" s="22"/>
      <c r="AK167" s="22"/>
      <c r="AL167" s="22"/>
      <c r="AM167" s="22"/>
      <c r="AN167" s="22"/>
    </row>
    <row r="168" spans="1:40" x14ac:dyDescent="0.25">
      <c r="A168" s="22"/>
      <c r="B168" s="22"/>
      <c r="C168" s="22"/>
      <c r="D168" s="22"/>
      <c r="E168" s="22"/>
      <c r="F168" s="22"/>
      <c r="G168" s="22"/>
      <c r="H168" s="22"/>
      <c r="I168" s="22"/>
      <c r="J168" s="22"/>
      <c r="K168" s="22"/>
      <c r="L168" s="22"/>
      <c r="M168" s="22"/>
      <c r="N168" s="22"/>
      <c r="O168" s="22"/>
      <c r="P168" s="22"/>
      <c r="Q168" s="22"/>
      <c r="R168" s="22"/>
      <c r="S168" s="22"/>
      <c r="T168" s="22"/>
      <c r="U168" s="22"/>
      <c r="V168" s="22"/>
      <c r="W168" s="22"/>
      <c r="X168" s="22"/>
      <c r="Y168" s="22"/>
      <c r="Z168" s="22"/>
      <c r="AA168" s="22"/>
      <c r="AB168" s="22"/>
      <c r="AC168" s="22"/>
      <c r="AD168" s="22"/>
      <c r="AE168" s="22"/>
      <c r="AF168" s="22"/>
      <c r="AG168" s="22"/>
      <c r="AH168" s="22"/>
      <c r="AI168" s="22"/>
      <c r="AJ168" s="22"/>
      <c r="AK168" s="22"/>
      <c r="AL168" s="22"/>
      <c r="AM168" s="22"/>
      <c r="AN168" s="22"/>
    </row>
    <row r="169" spans="1:40" x14ac:dyDescent="0.25">
      <c r="A169" s="22"/>
      <c r="B169" s="22"/>
      <c r="C169" s="22"/>
      <c r="D169" s="22"/>
      <c r="E169" s="22"/>
      <c r="F169" s="22"/>
      <c r="G169" s="22"/>
      <c r="H169" s="22"/>
      <c r="I169" s="22"/>
      <c r="J169" s="22"/>
      <c r="K169" s="22"/>
      <c r="L169" s="22"/>
      <c r="M169" s="22"/>
      <c r="N169" s="22"/>
      <c r="O169" s="22"/>
      <c r="P169" s="22"/>
      <c r="Q169" s="22"/>
      <c r="R169" s="22"/>
      <c r="S169" s="22"/>
      <c r="T169" s="22"/>
      <c r="U169" s="22"/>
      <c r="V169" s="22"/>
      <c r="W169" s="22"/>
      <c r="X169" s="22"/>
      <c r="Y169" s="22"/>
      <c r="Z169" s="22"/>
      <c r="AA169" s="22"/>
      <c r="AB169" s="22"/>
      <c r="AC169" s="22"/>
      <c r="AD169" s="22"/>
      <c r="AE169" s="22"/>
      <c r="AF169" s="22"/>
      <c r="AG169" s="22"/>
      <c r="AH169" s="22"/>
      <c r="AI169" s="22"/>
      <c r="AJ169" s="22"/>
      <c r="AK169" s="22"/>
      <c r="AL169" s="22"/>
      <c r="AM169" s="22"/>
      <c r="AN169" s="22"/>
    </row>
    <row r="170" spans="1:40" x14ac:dyDescent="0.25">
      <c r="A170" s="22"/>
      <c r="B170" s="22"/>
      <c r="C170" s="22"/>
      <c r="D170" s="22"/>
      <c r="E170" s="22"/>
      <c r="F170" s="22"/>
      <c r="G170" s="22"/>
      <c r="H170" s="22"/>
      <c r="I170" s="22"/>
      <c r="J170" s="22"/>
      <c r="K170" s="22"/>
      <c r="L170" s="22"/>
      <c r="M170" s="22"/>
      <c r="N170" s="22"/>
      <c r="O170" s="22"/>
      <c r="P170" s="22"/>
      <c r="Q170" s="22"/>
      <c r="R170" s="22"/>
      <c r="S170" s="22"/>
      <c r="T170" s="22"/>
      <c r="U170" s="22"/>
      <c r="V170" s="22"/>
      <c r="W170" s="22"/>
      <c r="X170" s="22"/>
      <c r="Y170" s="22"/>
      <c r="Z170" s="22"/>
      <c r="AA170" s="22"/>
      <c r="AB170" s="22"/>
      <c r="AC170" s="22"/>
      <c r="AD170" s="22"/>
      <c r="AE170" s="22"/>
      <c r="AF170" s="22"/>
      <c r="AG170" s="22"/>
      <c r="AH170" s="22"/>
      <c r="AI170" s="22"/>
      <c r="AJ170" s="22"/>
      <c r="AK170" s="22"/>
      <c r="AL170" s="22"/>
      <c r="AM170" s="22"/>
      <c r="AN170" s="22"/>
    </row>
    <row r="171" spans="1:40" x14ac:dyDescent="0.25">
      <c r="A171" s="22"/>
      <c r="B171" s="22"/>
      <c r="C171" s="22"/>
      <c r="D171" s="22"/>
      <c r="E171" s="22"/>
      <c r="F171" s="22"/>
      <c r="G171" s="22"/>
      <c r="H171" s="22"/>
      <c r="I171" s="22"/>
      <c r="J171" s="22"/>
      <c r="K171" s="22"/>
      <c r="L171" s="22"/>
      <c r="M171" s="22"/>
      <c r="N171" s="22"/>
      <c r="O171" s="22"/>
      <c r="P171" s="22"/>
      <c r="Q171" s="22"/>
      <c r="R171" s="22"/>
      <c r="S171" s="22"/>
      <c r="T171" s="22"/>
      <c r="U171" s="22"/>
      <c r="V171" s="22"/>
      <c r="W171" s="22"/>
      <c r="X171" s="22"/>
      <c r="Y171" s="22"/>
      <c r="Z171" s="22"/>
      <c r="AA171" s="22"/>
      <c r="AB171" s="22"/>
      <c r="AC171" s="22"/>
      <c r="AD171" s="22"/>
      <c r="AE171" s="22"/>
      <c r="AF171" s="22"/>
      <c r="AG171" s="22"/>
      <c r="AH171" s="22"/>
      <c r="AI171" s="22"/>
      <c r="AJ171" s="22"/>
      <c r="AK171" s="22"/>
      <c r="AL171" s="22"/>
      <c r="AM171" s="22"/>
      <c r="AN171" s="22"/>
    </row>
    <row r="172" spans="1:40" x14ac:dyDescent="0.25">
      <c r="A172" s="22"/>
      <c r="B172" s="22"/>
      <c r="C172" s="22"/>
      <c r="D172" s="22"/>
      <c r="E172" s="22"/>
      <c r="F172" s="22"/>
      <c r="G172" s="22"/>
      <c r="H172" s="22"/>
      <c r="I172" s="22"/>
      <c r="J172" s="22"/>
      <c r="K172" s="22"/>
      <c r="L172" s="22"/>
      <c r="M172" s="22"/>
      <c r="N172" s="22"/>
      <c r="O172" s="22"/>
      <c r="P172" s="22"/>
      <c r="Q172" s="22"/>
      <c r="R172" s="22"/>
      <c r="S172" s="22"/>
      <c r="T172" s="22"/>
      <c r="U172" s="22"/>
      <c r="V172" s="22"/>
      <c r="W172" s="22"/>
      <c r="X172" s="22"/>
      <c r="Y172" s="22"/>
      <c r="Z172" s="22"/>
      <c r="AA172" s="22"/>
      <c r="AB172" s="22"/>
      <c r="AC172" s="22"/>
      <c r="AD172" s="22"/>
      <c r="AE172" s="22"/>
      <c r="AF172" s="22"/>
      <c r="AG172" s="22"/>
      <c r="AH172" s="22"/>
      <c r="AI172" s="22"/>
      <c r="AJ172" s="22"/>
      <c r="AK172" s="22"/>
      <c r="AL172" s="22"/>
      <c r="AM172" s="22"/>
      <c r="AN172" s="22"/>
    </row>
    <row r="173" spans="1:40" x14ac:dyDescent="0.25">
      <c r="A173" s="22"/>
      <c r="B173" s="22"/>
      <c r="C173" s="22"/>
      <c r="D173" s="22"/>
      <c r="E173" s="22"/>
      <c r="F173" s="22"/>
      <c r="G173" s="22"/>
      <c r="H173" s="22"/>
      <c r="I173" s="22"/>
      <c r="J173" s="22"/>
      <c r="K173" s="22"/>
      <c r="L173" s="22"/>
      <c r="M173" s="22"/>
      <c r="N173" s="22"/>
      <c r="O173" s="22"/>
      <c r="P173" s="22"/>
      <c r="Q173" s="22"/>
      <c r="R173" s="22"/>
      <c r="S173" s="22"/>
      <c r="T173" s="22"/>
      <c r="U173" s="22"/>
      <c r="V173" s="22"/>
      <c r="W173" s="22"/>
      <c r="X173" s="22"/>
      <c r="Y173" s="22"/>
      <c r="Z173" s="22"/>
      <c r="AA173" s="22"/>
      <c r="AB173" s="22"/>
      <c r="AC173" s="22"/>
      <c r="AD173" s="22"/>
      <c r="AE173" s="22"/>
      <c r="AF173" s="22"/>
      <c r="AG173" s="22"/>
      <c r="AH173" s="22"/>
      <c r="AI173" s="22"/>
      <c r="AJ173" s="22"/>
      <c r="AK173" s="22"/>
      <c r="AL173" s="22"/>
      <c r="AM173" s="22"/>
      <c r="AN173" s="22"/>
    </row>
    <row r="174" spans="1:40" x14ac:dyDescent="0.25">
      <c r="A174" s="22"/>
      <c r="B174" s="22"/>
      <c r="C174" s="22"/>
      <c r="D174" s="22"/>
      <c r="E174" s="22"/>
      <c r="F174" s="22"/>
      <c r="G174" s="22"/>
      <c r="H174" s="22"/>
      <c r="I174" s="22"/>
      <c r="J174" s="22"/>
      <c r="K174" s="22"/>
      <c r="L174" s="22"/>
      <c r="M174" s="22"/>
      <c r="N174" s="22"/>
      <c r="O174" s="22"/>
      <c r="P174" s="22"/>
      <c r="Q174" s="22"/>
      <c r="R174" s="22"/>
      <c r="S174" s="22"/>
      <c r="T174" s="22"/>
      <c r="U174" s="22"/>
      <c r="V174" s="22"/>
      <c r="W174" s="22"/>
      <c r="X174" s="22"/>
      <c r="Y174" s="22"/>
      <c r="Z174" s="22"/>
      <c r="AA174" s="22"/>
      <c r="AB174" s="22"/>
      <c r="AC174" s="22"/>
      <c r="AD174" s="22"/>
      <c r="AE174" s="22"/>
      <c r="AF174" s="22"/>
      <c r="AG174" s="22"/>
      <c r="AH174" s="22"/>
      <c r="AI174" s="22"/>
      <c r="AJ174" s="22"/>
      <c r="AK174" s="22"/>
      <c r="AL174" s="22"/>
      <c r="AM174" s="22"/>
      <c r="AN174" s="22"/>
    </row>
    <row r="175" spans="1:40" x14ac:dyDescent="0.25">
      <c r="A175" s="22"/>
      <c r="B175" s="22"/>
      <c r="C175" s="22"/>
      <c r="D175" s="22"/>
      <c r="E175" s="22"/>
      <c r="F175" s="22"/>
      <c r="G175" s="22"/>
      <c r="H175" s="22"/>
      <c r="I175" s="22"/>
      <c r="J175" s="22"/>
      <c r="K175" s="22"/>
      <c r="L175" s="22"/>
      <c r="M175" s="22"/>
      <c r="N175" s="22"/>
      <c r="O175" s="22"/>
      <c r="P175" s="22"/>
      <c r="Q175" s="22"/>
      <c r="R175" s="22"/>
      <c r="S175" s="22"/>
      <c r="T175" s="22"/>
      <c r="U175" s="22"/>
      <c r="V175" s="22"/>
      <c r="W175" s="22"/>
      <c r="X175" s="22"/>
      <c r="Y175" s="22"/>
      <c r="Z175" s="22"/>
      <c r="AA175" s="22"/>
      <c r="AB175" s="22"/>
      <c r="AC175" s="22"/>
      <c r="AD175" s="22"/>
      <c r="AE175" s="22"/>
      <c r="AF175" s="22"/>
      <c r="AG175" s="22"/>
      <c r="AH175" s="22"/>
      <c r="AI175" s="22"/>
      <c r="AJ175" s="22"/>
      <c r="AK175" s="22"/>
      <c r="AL175" s="22"/>
      <c r="AM175" s="22"/>
      <c r="AN175" s="22"/>
    </row>
    <row r="176" spans="1:40" x14ac:dyDescent="0.25">
      <c r="A176" s="22"/>
      <c r="B176" s="22"/>
      <c r="C176" s="22"/>
      <c r="D176" s="22"/>
      <c r="E176" s="22"/>
      <c r="F176" s="22"/>
      <c r="G176" s="22"/>
      <c r="H176" s="22"/>
      <c r="I176" s="22"/>
      <c r="J176" s="22"/>
      <c r="K176" s="22"/>
      <c r="L176" s="22"/>
      <c r="M176" s="22"/>
      <c r="N176" s="22"/>
      <c r="O176" s="22"/>
      <c r="P176" s="22"/>
      <c r="Q176" s="22"/>
      <c r="R176" s="22"/>
      <c r="S176" s="22"/>
      <c r="T176" s="22"/>
      <c r="U176" s="22"/>
      <c r="V176" s="22"/>
      <c r="W176" s="22"/>
      <c r="X176" s="22"/>
      <c r="Y176" s="22"/>
      <c r="Z176" s="22"/>
      <c r="AA176" s="22"/>
      <c r="AB176" s="22"/>
      <c r="AC176" s="22"/>
      <c r="AD176" s="22"/>
      <c r="AE176" s="22"/>
      <c r="AF176" s="22"/>
      <c r="AG176" s="22"/>
      <c r="AH176" s="22"/>
      <c r="AI176" s="22"/>
      <c r="AJ176" s="22"/>
      <c r="AK176" s="22"/>
      <c r="AL176" s="22"/>
      <c r="AM176" s="22"/>
      <c r="AN176" s="22"/>
    </row>
    <row r="177" spans="1:40" x14ac:dyDescent="0.25">
      <c r="A177" s="22"/>
      <c r="B177" s="22"/>
      <c r="C177" s="22"/>
      <c r="D177" s="22"/>
      <c r="E177" s="22"/>
      <c r="F177" s="22"/>
      <c r="G177" s="22"/>
      <c r="H177" s="22"/>
      <c r="I177" s="22"/>
      <c r="J177" s="22"/>
      <c r="K177" s="22"/>
      <c r="L177" s="22"/>
      <c r="M177" s="22"/>
      <c r="N177" s="22"/>
      <c r="O177" s="22"/>
      <c r="P177" s="22"/>
      <c r="Q177" s="22"/>
      <c r="R177" s="22"/>
      <c r="S177" s="22"/>
      <c r="T177" s="22"/>
      <c r="U177" s="22"/>
      <c r="V177" s="22"/>
      <c r="W177" s="22"/>
      <c r="X177" s="22"/>
      <c r="Y177" s="22"/>
      <c r="Z177" s="22"/>
      <c r="AA177" s="22"/>
      <c r="AB177" s="22"/>
      <c r="AC177" s="22"/>
      <c r="AD177" s="22"/>
      <c r="AE177" s="22"/>
      <c r="AF177" s="22"/>
      <c r="AG177" s="22"/>
      <c r="AH177" s="22"/>
      <c r="AI177" s="22"/>
      <c r="AJ177" s="22"/>
      <c r="AK177" s="22"/>
      <c r="AL177" s="22"/>
      <c r="AM177" s="22"/>
      <c r="AN177" s="22"/>
    </row>
    <row r="178" spans="1:40" x14ac:dyDescent="0.25">
      <c r="A178" s="22"/>
      <c r="B178" s="22"/>
      <c r="C178" s="22"/>
      <c r="D178" s="22"/>
      <c r="E178" s="22"/>
      <c r="F178" s="22"/>
      <c r="G178" s="22"/>
      <c r="H178" s="22"/>
      <c r="I178" s="22"/>
      <c r="J178" s="22"/>
      <c r="K178" s="22"/>
      <c r="L178" s="22"/>
      <c r="M178" s="22"/>
      <c r="N178" s="22"/>
      <c r="O178" s="22"/>
      <c r="P178" s="22"/>
      <c r="Q178" s="22"/>
      <c r="R178" s="22"/>
      <c r="S178" s="22"/>
      <c r="T178" s="22"/>
      <c r="U178" s="22"/>
      <c r="V178" s="22"/>
      <c r="W178" s="22"/>
      <c r="X178" s="22"/>
      <c r="Y178" s="22"/>
      <c r="Z178" s="22"/>
      <c r="AA178" s="22"/>
      <c r="AB178" s="22"/>
      <c r="AC178" s="22"/>
      <c r="AD178" s="22"/>
      <c r="AE178" s="22"/>
      <c r="AF178" s="22"/>
      <c r="AG178" s="22"/>
      <c r="AH178" s="22"/>
      <c r="AI178" s="22"/>
      <c r="AJ178" s="22"/>
      <c r="AK178" s="22"/>
      <c r="AL178" s="22"/>
      <c r="AM178" s="22"/>
      <c r="AN178" s="22"/>
    </row>
    <row r="179" spans="1:40" x14ac:dyDescent="0.25">
      <c r="A179" s="22"/>
      <c r="B179" s="22"/>
      <c r="C179" s="22"/>
      <c r="D179" s="22"/>
      <c r="E179" s="22"/>
      <c r="F179" s="22"/>
      <c r="G179" s="22"/>
      <c r="H179" s="22"/>
      <c r="I179" s="22"/>
      <c r="J179" s="22"/>
      <c r="K179" s="22"/>
      <c r="L179" s="22"/>
      <c r="M179" s="22"/>
      <c r="N179" s="22"/>
      <c r="O179" s="22"/>
      <c r="P179" s="22"/>
      <c r="Q179" s="22"/>
      <c r="R179" s="22"/>
      <c r="S179" s="22"/>
      <c r="T179" s="22"/>
      <c r="U179" s="22"/>
      <c r="V179" s="22"/>
      <c r="W179" s="22"/>
      <c r="X179" s="22"/>
      <c r="Y179" s="22"/>
      <c r="Z179" s="22"/>
      <c r="AA179" s="22"/>
      <c r="AB179" s="22"/>
      <c r="AC179" s="22"/>
      <c r="AD179" s="22"/>
      <c r="AE179" s="22"/>
      <c r="AF179" s="22"/>
      <c r="AG179" s="22"/>
      <c r="AH179" s="22"/>
      <c r="AI179" s="22"/>
      <c r="AJ179" s="22"/>
      <c r="AK179" s="22"/>
      <c r="AL179" s="22"/>
      <c r="AM179" s="22"/>
      <c r="AN179" s="22"/>
    </row>
    <row r="180" spans="1:40" x14ac:dyDescent="0.25">
      <c r="A180" s="22"/>
      <c r="B180" s="22"/>
      <c r="C180" s="22"/>
      <c r="D180" s="22"/>
      <c r="E180" s="22"/>
      <c r="F180" s="22"/>
      <c r="G180" s="22"/>
      <c r="H180" s="22"/>
      <c r="I180" s="22"/>
      <c r="J180" s="22"/>
      <c r="K180" s="22"/>
      <c r="L180" s="22"/>
      <c r="M180" s="22"/>
      <c r="N180" s="22"/>
      <c r="O180" s="22"/>
      <c r="P180" s="22"/>
      <c r="Q180" s="22"/>
      <c r="R180" s="22"/>
      <c r="S180" s="22"/>
      <c r="T180" s="22"/>
      <c r="U180" s="22"/>
      <c r="V180" s="22"/>
      <c r="W180" s="22"/>
      <c r="X180" s="22"/>
      <c r="Y180" s="22"/>
      <c r="Z180" s="22"/>
      <c r="AA180" s="22"/>
      <c r="AB180" s="22"/>
      <c r="AC180" s="22"/>
      <c r="AD180" s="22"/>
      <c r="AE180" s="22"/>
      <c r="AF180" s="22"/>
      <c r="AG180" s="22"/>
      <c r="AH180" s="22"/>
      <c r="AI180" s="22"/>
      <c r="AJ180" s="22"/>
      <c r="AK180" s="22"/>
      <c r="AL180" s="22"/>
      <c r="AM180" s="22"/>
      <c r="AN180" s="22"/>
    </row>
    <row r="181" spans="1:40" x14ac:dyDescent="0.25">
      <c r="A181" s="22"/>
      <c r="B181" s="22"/>
      <c r="C181" s="22"/>
      <c r="D181" s="22"/>
      <c r="E181" s="22"/>
      <c r="F181" s="22"/>
      <c r="G181" s="22"/>
      <c r="H181" s="22"/>
      <c r="I181" s="22"/>
      <c r="J181" s="22"/>
      <c r="K181" s="22"/>
      <c r="L181" s="22"/>
      <c r="M181" s="22"/>
      <c r="N181" s="22"/>
      <c r="O181" s="22"/>
      <c r="P181" s="22"/>
      <c r="Q181" s="22"/>
      <c r="R181" s="22"/>
      <c r="S181" s="22"/>
      <c r="T181" s="22"/>
      <c r="U181" s="22"/>
      <c r="V181" s="22"/>
      <c r="W181" s="22"/>
      <c r="X181" s="22"/>
      <c r="Y181" s="22"/>
      <c r="Z181" s="22"/>
      <c r="AA181" s="22"/>
      <c r="AB181" s="22"/>
      <c r="AC181" s="22"/>
      <c r="AD181" s="22"/>
      <c r="AE181" s="22"/>
      <c r="AF181" s="22"/>
      <c r="AG181" s="22"/>
      <c r="AH181" s="22"/>
      <c r="AI181" s="22"/>
      <c r="AJ181" s="22"/>
      <c r="AK181" s="22"/>
      <c r="AL181" s="22"/>
      <c r="AM181" s="22"/>
      <c r="AN181" s="22"/>
    </row>
    <row r="182" spans="1:40" x14ac:dyDescent="0.25">
      <c r="A182" s="22"/>
      <c r="B182" s="22"/>
      <c r="C182" s="22"/>
      <c r="D182" s="22"/>
      <c r="E182" s="22"/>
      <c r="F182" s="22"/>
      <c r="G182" s="22"/>
      <c r="H182" s="22"/>
      <c r="I182" s="22"/>
      <c r="J182" s="22"/>
      <c r="K182" s="22"/>
      <c r="L182" s="22"/>
      <c r="M182" s="22"/>
      <c r="N182" s="22"/>
      <c r="O182" s="22"/>
      <c r="P182" s="22"/>
      <c r="Q182" s="22"/>
      <c r="R182" s="22"/>
      <c r="S182" s="22"/>
      <c r="T182" s="22"/>
      <c r="U182" s="22"/>
      <c r="V182" s="22"/>
      <c r="W182" s="22"/>
      <c r="X182" s="22"/>
      <c r="Y182" s="22"/>
      <c r="Z182" s="22"/>
      <c r="AA182" s="22"/>
      <c r="AB182" s="22"/>
      <c r="AC182" s="22"/>
      <c r="AD182" s="22"/>
      <c r="AE182" s="22"/>
      <c r="AF182" s="22"/>
      <c r="AG182" s="22"/>
      <c r="AH182" s="22"/>
      <c r="AI182" s="22"/>
      <c r="AJ182" s="22"/>
      <c r="AK182" s="22"/>
      <c r="AL182" s="22"/>
      <c r="AM182" s="22"/>
      <c r="AN182" s="22"/>
    </row>
    <row r="183" spans="1:40" x14ac:dyDescent="0.25">
      <c r="A183" s="22"/>
      <c r="B183" s="22"/>
      <c r="C183" s="22"/>
      <c r="D183" s="22"/>
      <c r="E183" s="22"/>
      <c r="F183" s="22"/>
      <c r="G183" s="22"/>
      <c r="H183" s="22"/>
      <c r="I183" s="22"/>
      <c r="J183" s="22"/>
      <c r="K183" s="22"/>
      <c r="L183" s="22"/>
      <c r="M183" s="22"/>
      <c r="N183" s="22"/>
      <c r="O183" s="22"/>
      <c r="P183" s="22"/>
      <c r="Q183" s="22"/>
      <c r="R183" s="22"/>
      <c r="S183" s="22"/>
      <c r="T183" s="22"/>
      <c r="U183" s="22"/>
      <c r="V183" s="22"/>
      <c r="W183" s="22"/>
      <c r="X183" s="22"/>
      <c r="Y183" s="22"/>
      <c r="Z183" s="22"/>
      <c r="AA183" s="22"/>
      <c r="AB183" s="22"/>
      <c r="AC183" s="22"/>
      <c r="AD183" s="22"/>
      <c r="AE183" s="22"/>
      <c r="AF183" s="22"/>
      <c r="AG183" s="22"/>
      <c r="AH183" s="22"/>
      <c r="AI183" s="22"/>
      <c r="AJ183" s="22"/>
      <c r="AK183" s="22"/>
      <c r="AL183" s="22"/>
      <c r="AM183" s="22"/>
      <c r="AN183" s="22"/>
    </row>
    <row r="184" spans="1:40" x14ac:dyDescent="0.25">
      <c r="A184" s="22"/>
      <c r="B184" s="22"/>
      <c r="C184" s="22"/>
      <c r="D184" s="22"/>
      <c r="E184" s="22"/>
      <c r="F184" s="22"/>
      <c r="G184" s="22"/>
      <c r="H184" s="22"/>
      <c r="I184" s="22"/>
      <c r="J184" s="22"/>
      <c r="K184" s="22"/>
      <c r="L184" s="22"/>
      <c r="M184" s="22"/>
      <c r="N184" s="22"/>
      <c r="O184" s="22"/>
      <c r="P184" s="22"/>
      <c r="Q184" s="22"/>
      <c r="R184" s="22"/>
      <c r="S184" s="22"/>
      <c r="T184" s="22"/>
      <c r="U184" s="22"/>
      <c r="V184" s="22"/>
      <c r="W184" s="22"/>
      <c r="X184" s="22"/>
      <c r="Y184" s="22"/>
      <c r="Z184" s="22"/>
      <c r="AA184" s="22"/>
      <c r="AB184" s="22"/>
      <c r="AC184" s="22"/>
      <c r="AD184" s="22"/>
      <c r="AE184" s="22"/>
      <c r="AF184" s="22"/>
      <c r="AG184" s="22"/>
      <c r="AH184" s="22"/>
      <c r="AI184" s="22"/>
      <c r="AJ184" s="22"/>
      <c r="AK184" s="22"/>
      <c r="AL184" s="22"/>
      <c r="AM184" s="22"/>
      <c r="AN184" s="22"/>
    </row>
    <row r="185" spans="1:40" x14ac:dyDescent="0.25">
      <c r="A185" s="22"/>
      <c r="B185" s="22"/>
      <c r="C185" s="22"/>
      <c r="D185" s="22"/>
      <c r="E185" s="22"/>
      <c r="F185" s="22"/>
      <c r="G185" s="22"/>
      <c r="H185" s="22"/>
      <c r="I185" s="22"/>
      <c r="J185" s="22"/>
      <c r="K185" s="22"/>
      <c r="L185" s="22"/>
      <c r="M185" s="22"/>
      <c r="N185" s="22"/>
      <c r="O185" s="22"/>
      <c r="P185" s="22"/>
      <c r="Q185" s="22"/>
      <c r="R185" s="22"/>
      <c r="S185" s="22"/>
      <c r="T185" s="22"/>
      <c r="U185" s="22"/>
      <c r="V185" s="22"/>
      <c r="W185" s="22"/>
      <c r="X185" s="22"/>
      <c r="Y185" s="22"/>
      <c r="Z185" s="22"/>
      <c r="AA185" s="22"/>
      <c r="AB185" s="22"/>
      <c r="AC185" s="22"/>
      <c r="AD185" s="22"/>
      <c r="AE185" s="22"/>
      <c r="AF185" s="22"/>
      <c r="AG185" s="22"/>
      <c r="AH185" s="22"/>
      <c r="AI185" s="22"/>
      <c r="AJ185" s="22"/>
      <c r="AK185" s="22"/>
      <c r="AL185" s="22"/>
      <c r="AM185" s="22"/>
      <c r="AN185" s="22"/>
    </row>
    <row r="186" spans="1:40" x14ac:dyDescent="0.25">
      <c r="A186" s="22"/>
      <c r="B186" s="22"/>
      <c r="C186" s="22"/>
      <c r="D186" s="22"/>
      <c r="E186" s="22"/>
      <c r="F186" s="22"/>
      <c r="G186" s="22"/>
      <c r="H186" s="22"/>
      <c r="I186" s="22"/>
      <c r="J186" s="22"/>
      <c r="K186" s="22"/>
      <c r="L186" s="22"/>
      <c r="M186" s="22"/>
      <c r="N186" s="22"/>
      <c r="O186" s="22"/>
      <c r="P186" s="22"/>
      <c r="Q186" s="22"/>
      <c r="R186" s="22"/>
      <c r="S186" s="22"/>
      <c r="T186" s="22"/>
      <c r="U186" s="22"/>
      <c r="V186" s="22"/>
      <c r="W186" s="22"/>
      <c r="X186" s="22"/>
      <c r="Y186" s="22"/>
      <c r="Z186" s="22"/>
      <c r="AA186" s="22"/>
      <c r="AB186" s="22"/>
      <c r="AC186" s="22"/>
      <c r="AD186" s="22"/>
      <c r="AE186" s="22"/>
      <c r="AF186" s="22"/>
      <c r="AG186" s="22"/>
      <c r="AH186" s="22"/>
      <c r="AI186" s="22"/>
      <c r="AJ186" s="22"/>
      <c r="AK186" s="22"/>
      <c r="AL186" s="22"/>
      <c r="AM186" s="22"/>
      <c r="AN186" s="22"/>
    </row>
    <row r="187" spans="1:40" x14ac:dyDescent="0.25">
      <c r="A187" s="22"/>
      <c r="B187" s="22"/>
      <c r="C187" s="22"/>
      <c r="D187" s="22"/>
      <c r="E187" s="22"/>
      <c r="F187" s="22"/>
      <c r="G187" s="22"/>
      <c r="H187" s="22"/>
      <c r="I187" s="22"/>
      <c r="J187" s="22"/>
      <c r="K187" s="22"/>
      <c r="L187" s="22"/>
      <c r="M187" s="22"/>
      <c r="N187" s="22"/>
      <c r="O187" s="22"/>
      <c r="P187" s="22"/>
      <c r="Q187" s="22"/>
      <c r="R187" s="22"/>
      <c r="S187" s="22"/>
      <c r="T187" s="22"/>
      <c r="U187" s="22"/>
      <c r="V187" s="22"/>
      <c r="W187" s="22"/>
      <c r="X187" s="22"/>
      <c r="Y187" s="22"/>
      <c r="Z187" s="22"/>
      <c r="AA187" s="22"/>
      <c r="AB187" s="22"/>
      <c r="AC187" s="22"/>
      <c r="AD187" s="22"/>
      <c r="AE187" s="22"/>
      <c r="AF187" s="22"/>
      <c r="AG187" s="22"/>
      <c r="AH187" s="22"/>
      <c r="AI187" s="22"/>
      <c r="AJ187" s="22"/>
      <c r="AK187" s="22"/>
      <c r="AL187" s="22"/>
      <c r="AM187" s="22"/>
      <c r="AN187" s="22"/>
    </row>
    <row r="188" spans="1:40" x14ac:dyDescent="0.25">
      <c r="A188" s="22"/>
      <c r="B188" s="22"/>
      <c r="C188" s="22"/>
      <c r="D188" s="22"/>
      <c r="E188" s="22"/>
      <c r="F188" s="22"/>
      <c r="G188" s="22"/>
      <c r="H188" s="22"/>
      <c r="I188" s="22"/>
      <c r="J188" s="22"/>
      <c r="K188" s="22"/>
      <c r="L188" s="22"/>
      <c r="M188" s="22"/>
      <c r="N188" s="22"/>
      <c r="O188" s="22"/>
      <c r="P188" s="22"/>
      <c r="Q188" s="22"/>
      <c r="R188" s="22"/>
      <c r="S188" s="22"/>
      <c r="T188" s="22"/>
      <c r="U188" s="22"/>
      <c r="V188" s="22"/>
      <c r="W188" s="22"/>
      <c r="X188" s="22"/>
      <c r="Y188" s="22"/>
      <c r="Z188" s="22"/>
      <c r="AA188" s="22"/>
      <c r="AB188" s="22"/>
      <c r="AC188" s="22"/>
      <c r="AD188" s="22"/>
      <c r="AE188" s="22"/>
      <c r="AF188" s="22"/>
      <c r="AG188" s="22"/>
      <c r="AH188" s="22"/>
      <c r="AI188" s="22"/>
      <c r="AJ188" s="22"/>
      <c r="AK188" s="22"/>
      <c r="AL188" s="22"/>
      <c r="AM188" s="22"/>
      <c r="AN188" s="22"/>
    </row>
    <row r="189" spans="1:40" x14ac:dyDescent="0.25">
      <c r="A189" s="22"/>
      <c r="B189" s="22"/>
      <c r="C189" s="22"/>
      <c r="D189" s="22"/>
      <c r="E189" s="22"/>
      <c r="F189" s="22"/>
      <c r="G189" s="22"/>
      <c r="H189" s="22"/>
      <c r="I189" s="22"/>
      <c r="J189" s="22"/>
      <c r="K189" s="22"/>
      <c r="L189" s="22"/>
      <c r="M189" s="22"/>
      <c r="N189" s="22"/>
      <c r="O189" s="22"/>
      <c r="P189" s="22"/>
      <c r="Q189" s="22"/>
      <c r="R189" s="22"/>
      <c r="S189" s="22"/>
      <c r="T189" s="22"/>
      <c r="U189" s="22"/>
      <c r="V189" s="22"/>
      <c r="W189" s="22"/>
      <c r="X189" s="22"/>
      <c r="Y189" s="22"/>
      <c r="Z189" s="22"/>
      <c r="AA189" s="22"/>
      <c r="AB189" s="22"/>
      <c r="AC189" s="22"/>
      <c r="AD189" s="22"/>
      <c r="AE189" s="22"/>
      <c r="AF189" s="22"/>
      <c r="AG189" s="22"/>
      <c r="AH189" s="22"/>
      <c r="AI189" s="22"/>
      <c r="AJ189" s="22"/>
      <c r="AK189" s="22"/>
      <c r="AL189" s="22"/>
      <c r="AM189" s="22"/>
      <c r="AN189" s="22"/>
    </row>
    <row r="190" spans="1:40" x14ac:dyDescent="0.25">
      <c r="A190" s="22"/>
      <c r="B190" s="22"/>
      <c r="C190" s="22"/>
      <c r="D190" s="22"/>
      <c r="E190" s="22"/>
      <c r="F190" s="22"/>
      <c r="G190" s="22"/>
      <c r="H190" s="22"/>
      <c r="I190" s="22"/>
      <c r="J190" s="22"/>
      <c r="K190" s="22"/>
      <c r="L190" s="22"/>
      <c r="M190" s="22"/>
      <c r="N190" s="22"/>
      <c r="O190" s="22"/>
      <c r="P190" s="22"/>
      <c r="Q190" s="22"/>
      <c r="R190" s="22"/>
      <c r="S190" s="22"/>
      <c r="T190" s="22"/>
      <c r="U190" s="22"/>
      <c r="V190" s="22"/>
      <c r="W190" s="22"/>
      <c r="X190" s="22"/>
      <c r="Y190" s="22"/>
      <c r="Z190" s="22"/>
      <c r="AA190" s="22"/>
      <c r="AB190" s="22"/>
      <c r="AC190" s="22"/>
      <c r="AD190" s="22"/>
      <c r="AE190" s="22"/>
      <c r="AF190" s="22"/>
      <c r="AG190" s="22"/>
      <c r="AH190" s="22"/>
      <c r="AI190" s="22"/>
      <c r="AJ190" s="22"/>
      <c r="AK190" s="22"/>
      <c r="AL190" s="22"/>
      <c r="AM190" s="22"/>
      <c r="AN190" s="22"/>
    </row>
    <row r="191" spans="1:40" x14ac:dyDescent="0.25">
      <c r="A191" s="22"/>
      <c r="B191" s="22"/>
      <c r="C191" s="22"/>
      <c r="D191" s="22"/>
      <c r="E191" s="22"/>
      <c r="F191" s="22"/>
      <c r="G191" s="22"/>
      <c r="H191" s="22"/>
      <c r="I191" s="22"/>
      <c r="J191" s="22"/>
      <c r="K191" s="22"/>
      <c r="L191" s="22"/>
      <c r="M191" s="22"/>
      <c r="N191" s="22"/>
      <c r="O191" s="22"/>
      <c r="P191" s="22"/>
      <c r="Q191" s="22"/>
      <c r="R191" s="22"/>
      <c r="S191" s="22"/>
      <c r="T191" s="22"/>
      <c r="U191" s="22"/>
      <c r="V191" s="22"/>
      <c r="W191" s="22"/>
      <c r="X191" s="22"/>
      <c r="Y191" s="22"/>
      <c r="Z191" s="22"/>
      <c r="AA191" s="22"/>
      <c r="AB191" s="22"/>
      <c r="AC191" s="22"/>
      <c r="AD191" s="22"/>
      <c r="AE191" s="22"/>
      <c r="AF191" s="22"/>
      <c r="AG191" s="22"/>
      <c r="AH191" s="22"/>
      <c r="AI191" s="22"/>
      <c r="AJ191" s="22"/>
      <c r="AK191" s="22"/>
      <c r="AL191" s="22"/>
      <c r="AM191" s="22"/>
      <c r="AN191" s="22"/>
    </row>
    <row r="192" spans="1:40" x14ac:dyDescent="0.25">
      <c r="A192" s="22"/>
      <c r="B192" s="22"/>
      <c r="C192" s="22"/>
      <c r="D192" s="22"/>
      <c r="E192" s="22"/>
      <c r="F192" s="22"/>
      <c r="G192" s="22"/>
      <c r="H192" s="22"/>
      <c r="I192" s="22"/>
      <c r="J192" s="22"/>
      <c r="K192" s="22"/>
      <c r="L192" s="22"/>
      <c r="M192" s="22"/>
      <c r="N192" s="22"/>
      <c r="O192" s="22"/>
      <c r="P192" s="22"/>
      <c r="Q192" s="22"/>
      <c r="R192" s="22"/>
      <c r="S192" s="22"/>
      <c r="T192" s="22"/>
      <c r="U192" s="22"/>
      <c r="V192" s="22"/>
      <c r="W192" s="22"/>
      <c r="X192" s="22"/>
      <c r="Y192" s="22"/>
      <c r="Z192" s="22"/>
      <c r="AA192" s="22"/>
      <c r="AB192" s="22"/>
      <c r="AC192" s="22"/>
      <c r="AD192" s="22"/>
      <c r="AE192" s="22"/>
      <c r="AF192" s="22"/>
      <c r="AG192" s="22"/>
      <c r="AH192" s="22"/>
      <c r="AI192" s="22"/>
      <c r="AJ192" s="22"/>
      <c r="AK192" s="22"/>
      <c r="AL192" s="22"/>
      <c r="AM192" s="22"/>
      <c r="AN192" s="22"/>
    </row>
    <row r="193" spans="1:40" x14ac:dyDescent="0.25">
      <c r="A193" s="22"/>
      <c r="B193" s="22"/>
      <c r="C193" s="22"/>
      <c r="D193" s="22"/>
      <c r="E193" s="22"/>
      <c r="F193" s="22"/>
      <c r="G193" s="22"/>
      <c r="H193" s="22"/>
      <c r="I193" s="22"/>
      <c r="J193" s="22"/>
      <c r="K193" s="22"/>
      <c r="L193" s="22"/>
      <c r="M193" s="22"/>
      <c r="N193" s="22"/>
      <c r="O193" s="22"/>
      <c r="P193" s="22"/>
      <c r="Q193" s="22"/>
      <c r="R193" s="22"/>
      <c r="S193" s="22"/>
      <c r="T193" s="22"/>
      <c r="U193" s="22"/>
      <c r="V193" s="22"/>
      <c r="W193" s="22"/>
      <c r="X193" s="22"/>
      <c r="Y193" s="22"/>
      <c r="Z193" s="22"/>
      <c r="AA193" s="22"/>
      <c r="AB193" s="22"/>
      <c r="AC193" s="22"/>
      <c r="AD193" s="22"/>
      <c r="AE193" s="22"/>
      <c r="AF193" s="22"/>
      <c r="AG193" s="22"/>
      <c r="AH193" s="22"/>
      <c r="AI193" s="22"/>
      <c r="AJ193" s="22"/>
      <c r="AK193" s="22"/>
      <c r="AL193" s="22"/>
      <c r="AM193" s="22"/>
      <c r="AN193" s="22"/>
    </row>
    <row r="194" spans="1:40" x14ac:dyDescent="0.25">
      <c r="A194" s="22"/>
      <c r="B194" s="22"/>
      <c r="C194" s="22"/>
      <c r="D194" s="22"/>
      <c r="E194" s="22"/>
      <c r="F194" s="22"/>
      <c r="G194" s="22"/>
      <c r="H194" s="22"/>
      <c r="I194" s="22"/>
      <c r="J194" s="22"/>
      <c r="K194" s="22"/>
      <c r="L194" s="22"/>
      <c r="M194" s="22"/>
      <c r="N194" s="22"/>
      <c r="O194" s="22"/>
      <c r="P194" s="22"/>
      <c r="Q194" s="22"/>
      <c r="R194" s="22"/>
      <c r="S194" s="22"/>
      <c r="T194" s="22"/>
      <c r="U194" s="22"/>
      <c r="V194" s="22"/>
      <c r="W194" s="22"/>
      <c r="X194" s="22"/>
      <c r="Y194" s="22"/>
      <c r="Z194" s="22"/>
      <c r="AA194" s="22"/>
      <c r="AB194" s="22"/>
      <c r="AC194" s="22"/>
      <c r="AD194" s="22"/>
      <c r="AE194" s="22"/>
      <c r="AF194" s="22"/>
      <c r="AG194" s="22"/>
      <c r="AH194" s="22"/>
      <c r="AI194" s="22"/>
      <c r="AJ194" s="22"/>
      <c r="AK194" s="22"/>
      <c r="AL194" s="22"/>
      <c r="AM194" s="22"/>
      <c r="AN194" s="22"/>
    </row>
    <row r="195" spans="1:40" x14ac:dyDescent="0.25">
      <c r="A195" s="22"/>
      <c r="B195" s="22"/>
      <c r="C195" s="22"/>
      <c r="D195" s="22"/>
      <c r="E195" s="22"/>
      <c r="F195" s="22"/>
      <c r="G195" s="22"/>
      <c r="H195" s="22"/>
      <c r="I195" s="22"/>
      <c r="J195" s="22"/>
      <c r="K195" s="22"/>
      <c r="L195" s="22"/>
      <c r="M195" s="22"/>
      <c r="N195" s="22"/>
      <c r="O195" s="22"/>
      <c r="P195" s="22"/>
      <c r="Q195" s="22"/>
      <c r="R195" s="22"/>
      <c r="S195" s="22"/>
      <c r="T195" s="22"/>
      <c r="U195" s="22"/>
      <c r="V195" s="22"/>
      <c r="W195" s="22"/>
      <c r="X195" s="22"/>
      <c r="Y195" s="22"/>
      <c r="Z195" s="22"/>
      <c r="AA195" s="22"/>
      <c r="AB195" s="22"/>
      <c r="AC195" s="22"/>
      <c r="AD195" s="22"/>
      <c r="AE195" s="22"/>
      <c r="AF195" s="22"/>
      <c r="AG195" s="22"/>
      <c r="AH195" s="22"/>
      <c r="AI195" s="22"/>
      <c r="AJ195" s="22"/>
      <c r="AK195" s="22"/>
      <c r="AL195" s="22"/>
      <c r="AM195" s="22"/>
      <c r="AN195" s="22"/>
    </row>
    <row r="196" spans="1:40" x14ac:dyDescent="0.25">
      <c r="A196" s="22"/>
      <c r="B196" s="22"/>
      <c r="C196" s="22"/>
      <c r="D196" s="22"/>
      <c r="E196" s="22"/>
      <c r="F196" s="22"/>
      <c r="G196" s="22"/>
      <c r="H196" s="22"/>
      <c r="I196" s="22"/>
      <c r="J196" s="22"/>
      <c r="K196" s="22"/>
      <c r="L196" s="22"/>
      <c r="M196" s="22"/>
      <c r="N196" s="22"/>
      <c r="O196" s="22"/>
      <c r="P196" s="22"/>
      <c r="Q196" s="22"/>
      <c r="R196" s="22"/>
      <c r="S196" s="22"/>
      <c r="T196" s="22"/>
      <c r="U196" s="22"/>
      <c r="V196" s="22"/>
      <c r="W196" s="22"/>
      <c r="X196" s="22"/>
      <c r="Y196" s="22"/>
      <c r="Z196" s="22"/>
      <c r="AA196" s="22"/>
      <c r="AB196" s="22"/>
      <c r="AC196" s="22"/>
      <c r="AD196" s="22"/>
      <c r="AE196" s="22"/>
      <c r="AF196" s="22"/>
      <c r="AG196" s="22"/>
      <c r="AH196" s="22"/>
      <c r="AI196" s="22"/>
      <c r="AJ196" s="22"/>
      <c r="AK196" s="22"/>
      <c r="AL196" s="22"/>
      <c r="AM196" s="22"/>
      <c r="AN196" s="22"/>
    </row>
    <row r="197" spans="1:40" x14ac:dyDescent="0.25">
      <c r="A197" s="22"/>
      <c r="B197" s="22"/>
      <c r="C197" s="22"/>
      <c r="D197" s="22"/>
      <c r="E197" s="22"/>
      <c r="F197" s="22"/>
      <c r="G197" s="22"/>
      <c r="H197" s="22"/>
      <c r="I197" s="22"/>
      <c r="J197" s="22"/>
      <c r="K197" s="22"/>
      <c r="L197" s="22"/>
      <c r="M197" s="22"/>
      <c r="N197" s="22"/>
      <c r="O197" s="22"/>
      <c r="P197" s="22"/>
      <c r="Q197" s="22"/>
      <c r="R197" s="22"/>
      <c r="S197" s="22"/>
      <c r="T197" s="22"/>
      <c r="U197" s="22"/>
      <c r="V197" s="22"/>
      <c r="W197" s="22"/>
      <c r="X197" s="22"/>
      <c r="Y197" s="22"/>
      <c r="Z197" s="22"/>
      <c r="AA197" s="22"/>
      <c r="AB197" s="22"/>
      <c r="AC197" s="22"/>
      <c r="AD197" s="22"/>
      <c r="AE197" s="22"/>
      <c r="AF197" s="22"/>
      <c r="AG197" s="22"/>
      <c r="AH197" s="22"/>
      <c r="AI197" s="22"/>
      <c r="AJ197" s="22"/>
      <c r="AK197" s="22"/>
      <c r="AL197" s="22"/>
      <c r="AM197" s="22"/>
      <c r="AN197" s="22"/>
    </row>
    <row r="198" spans="1:40" x14ac:dyDescent="0.25">
      <c r="A198" s="22"/>
      <c r="B198" s="22"/>
      <c r="C198" s="22"/>
      <c r="D198" s="22"/>
      <c r="E198" s="22"/>
      <c r="F198" s="22"/>
      <c r="G198" s="22"/>
      <c r="H198" s="22"/>
      <c r="I198" s="22"/>
      <c r="J198" s="22"/>
      <c r="K198" s="22"/>
      <c r="L198" s="22"/>
      <c r="M198" s="22"/>
      <c r="N198" s="22"/>
      <c r="O198" s="22"/>
      <c r="P198" s="22"/>
      <c r="Q198" s="22"/>
      <c r="R198" s="22"/>
      <c r="S198" s="22"/>
      <c r="T198" s="22"/>
      <c r="U198" s="22"/>
      <c r="V198" s="22"/>
      <c r="W198" s="22"/>
      <c r="X198" s="22"/>
      <c r="Y198" s="22"/>
      <c r="Z198" s="22"/>
      <c r="AA198" s="22"/>
      <c r="AB198" s="22"/>
      <c r="AC198" s="22"/>
      <c r="AD198" s="22"/>
      <c r="AE198" s="22"/>
      <c r="AF198" s="22"/>
      <c r="AG198" s="22"/>
      <c r="AH198" s="22"/>
      <c r="AI198" s="22"/>
      <c r="AJ198" s="22"/>
      <c r="AK198" s="22"/>
      <c r="AL198" s="22"/>
      <c r="AM198" s="22"/>
      <c r="AN198" s="22"/>
    </row>
    <row r="199" spans="1:40" x14ac:dyDescent="0.25">
      <c r="A199" s="22"/>
      <c r="B199" s="22"/>
      <c r="C199" s="22"/>
      <c r="D199" s="22"/>
      <c r="E199" s="22"/>
      <c r="F199" s="22"/>
      <c r="G199" s="22"/>
      <c r="H199" s="22"/>
      <c r="I199" s="22"/>
      <c r="J199" s="22"/>
      <c r="K199" s="22"/>
      <c r="L199" s="22"/>
      <c r="M199" s="22"/>
      <c r="N199" s="22"/>
      <c r="O199" s="22"/>
      <c r="P199" s="22"/>
      <c r="Q199" s="22"/>
      <c r="R199" s="22"/>
      <c r="S199" s="22"/>
      <c r="T199" s="22"/>
      <c r="U199" s="22"/>
      <c r="V199" s="22"/>
      <c r="W199" s="22"/>
      <c r="X199" s="22"/>
      <c r="Y199" s="22"/>
      <c r="Z199" s="22"/>
      <c r="AA199" s="22"/>
      <c r="AB199" s="22"/>
      <c r="AC199" s="22"/>
      <c r="AD199" s="22"/>
      <c r="AE199" s="22"/>
      <c r="AF199" s="22"/>
      <c r="AG199" s="22"/>
      <c r="AH199" s="22"/>
      <c r="AI199" s="22"/>
      <c r="AJ199" s="22"/>
      <c r="AK199" s="22"/>
      <c r="AL199" s="22"/>
      <c r="AM199" s="22"/>
      <c r="AN199" s="22"/>
    </row>
    <row r="200" spans="1:40" x14ac:dyDescent="0.25">
      <c r="A200" s="22"/>
      <c r="B200" s="22"/>
      <c r="C200" s="22"/>
      <c r="D200" s="22"/>
      <c r="E200" s="22"/>
      <c r="F200" s="22"/>
      <c r="G200" s="22"/>
      <c r="H200" s="22"/>
      <c r="I200" s="22"/>
      <c r="J200" s="22"/>
      <c r="K200" s="22"/>
      <c r="L200" s="22"/>
      <c r="M200" s="22"/>
      <c r="N200" s="22"/>
      <c r="O200" s="22"/>
      <c r="P200" s="22"/>
      <c r="Q200" s="22"/>
      <c r="R200" s="22"/>
      <c r="S200" s="22"/>
      <c r="T200" s="22"/>
      <c r="U200" s="22"/>
      <c r="V200" s="22"/>
      <c r="W200" s="22"/>
      <c r="X200" s="22"/>
      <c r="Y200" s="22"/>
      <c r="Z200" s="22"/>
      <c r="AA200" s="22"/>
      <c r="AB200" s="22"/>
      <c r="AC200" s="22"/>
      <c r="AD200" s="22"/>
      <c r="AE200" s="22"/>
      <c r="AF200" s="22"/>
      <c r="AG200" s="22"/>
      <c r="AH200" s="22"/>
      <c r="AI200" s="22"/>
      <c r="AJ200" s="22"/>
      <c r="AK200" s="22"/>
      <c r="AL200" s="22"/>
      <c r="AM200" s="22"/>
      <c r="AN200" s="22"/>
    </row>
    <row r="201" spans="1:40" x14ac:dyDescent="0.25">
      <c r="A201" s="22"/>
      <c r="B201" s="22"/>
      <c r="C201" s="22"/>
      <c r="D201" s="22"/>
      <c r="E201" s="22"/>
      <c r="F201" s="22"/>
      <c r="G201" s="22"/>
      <c r="H201" s="22"/>
      <c r="I201" s="22"/>
      <c r="J201" s="22"/>
      <c r="K201" s="22"/>
      <c r="L201" s="22"/>
      <c r="M201" s="22"/>
      <c r="N201" s="22"/>
      <c r="O201" s="22"/>
      <c r="P201" s="22"/>
      <c r="Q201" s="22"/>
      <c r="R201" s="22"/>
      <c r="S201" s="22"/>
      <c r="T201" s="22"/>
      <c r="U201" s="22"/>
      <c r="V201" s="22"/>
      <c r="W201" s="22"/>
      <c r="X201" s="22"/>
      <c r="Y201" s="22"/>
      <c r="Z201" s="22"/>
      <c r="AA201" s="22"/>
      <c r="AB201" s="22"/>
      <c r="AC201" s="22"/>
      <c r="AD201" s="22"/>
      <c r="AE201" s="22"/>
      <c r="AF201" s="22"/>
      <c r="AG201" s="22"/>
      <c r="AH201" s="22"/>
      <c r="AI201" s="22"/>
      <c r="AJ201" s="22"/>
      <c r="AK201" s="22"/>
      <c r="AL201" s="22"/>
      <c r="AM201" s="22"/>
      <c r="AN201" s="22"/>
    </row>
    <row r="202" spans="1:40" x14ac:dyDescent="0.25">
      <c r="A202" s="22"/>
      <c r="B202" s="22"/>
      <c r="C202" s="22"/>
      <c r="D202" s="22"/>
      <c r="E202" s="22"/>
      <c r="F202" s="22"/>
      <c r="G202" s="22"/>
      <c r="H202" s="22"/>
      <c r="I202" s="22"/>
      <c r="J202" s="22"/>
      <c r="K202" s="22"/>
      <c r="L202" s="22"/>
      <c r="M202" s="22"/>
      <c r="N202" s="22"/>
      <c r="O202" s="22"/>
      <c r="P202" s="22"/>
      <c r="Q202" s="22"/>
      <c r="R202" s="22"/>
      <c r="S202" s="22"/>
      <c r="T202" s="22"/>
      <c r="U202" s="22"/>
      <c r="V202" s="22"/>
      <c r="W202" s="22"/>
      <c r="X202" s="22"/>
      <c r="Y202" s="22"/>
      <c r="Z202" s="22"/>
      <c r="AA202" s="22"/>
      <c r="AB202" s="22"/>
      <c r="AC202" s="22"/>
      <c r="AD202" s="22"/>
      <c r="AE202" s="22"/>
      <c r="AF202" s="22"/>
      <c r="AG202" s="22"/>
      <c r="AH202" s="22"/>
      <c r="AI202" s="22"/>
      <c r="AJ202" s="22"/>
      <c r="AK202" s="22"/>
      <c r="AL202" s="22"/>
      <c r="AM202" s="22"/>
      <c r="AN202" s="22"/>
    </row>
    <row r="203" spans="1:40" x14ac:dyDescent="0.25">
      <c r="A203" s="22"/>
      <c r="B203" s="22"/>
      <c r="C203" s="22"/>
      <c r="D203" s="22"/>
      <c r="E203" s="22"/>
      <c r="F203" s="22"/>
      <c r="G203" s="22"/>
      <c r="H203" s="22"/>
      <c r="I203" s="22"/>
      <c r="J203" s="22"/>
      <c r="K203" s="22"/>
      <c r="L203" s="22"/>
      <c r="M203" s="22"/>
      <c r="N203" s="22"/>
      <c r="O203" s="22"/>
      <c r="P203" s="22"/>
      <c r="Q203" s="22"/>
      <c r="R203" s="22"/>
      <c r="S203" s="22"/>
      <c r="T203" s="22"/>
      <c r="U203" s="22"/>
      <c r="V203" s="22"/>
      <c r="W203" s="22"/>
      <c r="X203" s="22"/>
      <c r="Y203" s="22"/>
      <c r="Z203" s="22"/>
      <c r="AA203" s="22"/>
      <c r="AB203" s="22"/>
      <c r="AC203" s="22"/>
      <c r="AD203" s="22"/>
      <c r="AE203" s="22"/>
      <c r="AF203" s="22"/>
      <c r="AG203" s="22"/>
      <c r="AH203" s="22"/>
      <c r="AI203" s="22"/>
      <c r="AJ203" s="22"/>
      <c r="AK203" s="22"/>
      <c r="AL203" s="22"/>
      <c r="AM203" s="22"/>
      <c r="AN203" s="22"/>
    </row>
    <row r="204" spans="1:40" x14ac:dyDescent="0.25">
      <c r="A204" s="22"/>
      <c r="B204" s="22"/>
      <c r="C204" s="22"/>
      <c r="D204" s="22"/>
      <c r="E204" s="22"/>
      <c r="F204" s="22"/>
      <c r="G204" s="22"/>
      <c r="H204" s="22"/>
      <c r="I204" s="22"/>
      <c r="J204" s="22"/>
      <c r="K204" s="22"/>
      <c r="L204" s="22"/>
      <c r="M204" s="22"/>
      <c r="N204" s="22"/>
      <c r="O204" s="22"/>
      <c r="P204" s="22"/>
      <c r="Q204" s="22"/>
      <c r="R204" s="22"/>
      <c r="S204" s="22"/>
      <c r="T204" s="22"/>
      <c r="U204" s="22"/>
      <c r="V204" s="22"/>
      <c r="W204" s="22"/>
      <c r="X204" s="22"/>
      <c r="Y204" s="22"/>
      <c r="Z204" s="22"/>
      <c r="AA204" s="22"/>
      <c r="AB204" s="22"/>
      <c r="AC204" s="22"/>
      <c r="AD204" s="22"/>
      <c r="AE204" s="22"/>
      <c r="AF204" s="22"/>
      <c r="AG204" s="22"/>
      <c r="AH204" s="22"/>
      <c r="AI204" s="22"/>
      <c r="AJ204" s="22"/>
      <c r="AK204" s="22"/>
      <c r="AL204" s="22"/>
      <c r="AM204" s="22"/>
      <c r="AN204" s="22"/>
    </row>
    <row r="205" spans="1:40" x14ac:dyDescent="0.25">
      <c r="A205" s="22"/>
      <c r="B205" s="22"/>
      <c r="C205" s="22"/>
      <c r="D205" s="22"/>
      <c r="E205" s="22"/>
      <c r="F205" s="22"/>
      <c r="G205" s="22"/>
      <c r="H205" s="22"/>
      <c r="I205" s="22"/>
      <c r="J205" s="22"/>
      <c r="K205" s="22"/>
      <c r="L205" s="22"/>
      <c r="M205" s="22"/>
      <c r="N205" s="22"/>
      <c r="O205" s="22"/>
      <c r="P205" s="22"/>
      <c r="Q205" s="22"/>
      <c r="R205" s="22"/>
      <c r="S205" s="22"/>
      <c r="T205" s="22"/>
      <c r="U205" s="22"/>
      <c r="V205" s="22"/>
      <c r="W205" s="22"/>
      <c r="X205" s="22"/>
      <c r="Y205" s="22"/>
      <c r="Z205" s="22"/>
      <c r="AA205" s="22"/>
      <c r="AB205" s="22"/>
      <c r="AC205" s="22"/>
      <c r="AD205" s="22"/>
      <c r="AE205" s="22"/>
      <c r="AF205" s="22"/>
      <c r="AG205" s="22"/>
      <c r="AH205" s="22"/>
      <c r="AI205" s="22"/>
      <c r="AJ205" s="22"/>
      <c r="AK205" s="22"/>
      <c r="AL205" s="22"/>
      <c r="AM205" s="22"/>
      <c r="AN205" s="22"/>
    </row>
    <row r="206" spans="1:40" x14ac:dyDescent="0.25">
      <c r="A206" s="22"/>
      <c r="B206" s="22"/>
      <c r="C206" s="22"/>
      <c r="D206" s="22"/>
      <c r="E206" s="22"/>
      <c r="F206" s="22"/>
      <c r="G206" s="22"/>
      <c r="H206" s="22"/>
      <c r="I206" s="22"/>
      <c r="J206" s="22"/>
      <c r="K206" s="22"/>
      <c r="L206" s="22"/>
      <c r="M206" s="22"/>
      <c r="N206" s="22"/>
      <c r="O206" s="22"/>
      <c r="P206" s="22"/>
      <c r="Q206" s="22"/>
      <c r="R206" s="22"/>
      <c r="S206" s="22"/>
      <c r="T206" s="22"/>
      <c r="U206" s="22"/>
      <c r="V206" s="22"/>
      <c r="W206" s="22"/>
      <c r="X206" s="22"/>
      <c r="Y206" s="22"/>
      <c r="Z206" s="22"/>
      <c r="AA206" s="22"/>
      <c r="AB206" s="22"/>
      <c r="AC206" s="22"/>
      <c r="AD206" s="22"/>
      <c r="AE206" s="22"/>
      <c r="AF206" s="22"/>
      <c r="AG206" s="22"/>
      <c r="AH206" s="22"/>
      <c r="AI206" s="22"/>
      <c r="AJ206" s="22"/>
      <c r="AK206" s="22"/>
      <c r="AL206" s="22"/>
      <c r="AM206" s="22"/>
      <c r="AN206" s="22"/>
    </row>
    <row r="207" spans="1:40" x14ac:dyDescent="0.25">
      <c r="A207" s="22"/>
      <c r="B207" s="22"/>
      <c r="C207" s="22"/>
      <c r="D207" s="22"/>
      <c r="E207" s="22"/>
      <c r="F207" s="22"/>
      <c r="G207" s="22"/>
      <c r="H207" s="22"/>
      <c r="I207" s="22"/>
      <c r="J207" s="22"/>
      <c r="K207" s="22"/>
      <c r="L207" s="22"/>
      <c r="M207" s="22"/>
      <c r="N207" s="22"/>
      <c r="O207" s="22"/>
      <c r="P207" s="22"/>
      <c r="Q207" s="22"/>
      <c r="R207" s="22"/>
      <c r="S207" s="22"/>
      <c r="T207" s="22"/>
      <c r="U207" s="22"/>
      <c r="V207" s="22"/>
      <c r="W207" s="22"/>
      <c r="X207" s="22"/>
      <c r="Y207" s="22"/>
      <c r="Z207" s="22"/>
      <c r="AA207" s="22"/>
      <c r="AB207" s="22"/>
      <c r="AC207" s="22"/>
      <c r="AD207" s="22"/>
      <c r="AE207" s="22"/>
      <c r="AF207" s="22"/>
      <c r="AG207" s="22"/>
      <c r="AH207" s="22"/>
      <c r="AI207" s="22"/>
      <c r="AJ207" s="22"/>
      <c r="AK207" s="22"/>
      <c r="AL207" s="22"/>
      <c r="AM207" s="22"/>
      <c r="AN207" s="22"/>
    </row>
    <row r="208" spans="1:40" x14ac:dyDescent="0.25">
      <c r="A208" s="22"/>
      <c r="B208" s="22"/>
      <c r="C208" s="22"/>
      <c r="D208" s="22"/>
      <c r="E208" s="22"/>
      <c r="F208" s="22"/>
      <c r="G208" s="22"/>
      <c r="H208" s="22"/>
      <c r="I208" s="22"/>
      <c r="J208" s="22"/>
      <c r="K208" s="22"/>
      <c r="L208" s="22"/>
      <c r="M208" s="22"/>
      <c r="N208" s="22"/>
      <c r="O208" s="22"/>
      <c r="P208" s="22"/>
      <c r="Q208" s="22"/>
      <c r="R208" s="22"/>
      <c r="S208" s="22"/>
      <c r="T208" s="22"/>
      <c r="U208" s="22"/>
      <c r="V208" s="22"/>
      <c r="W208" s="22"/>
      <c r="X208" s="22"/>
      <c r="Y208" s="22"/>
      <c r="Z208" s="22"/>
      <c r="AA208" s="22"/>
      <c r="AB208" s="22"/>
      <c r="AC208" s="22"/>
      <c r="AD208" s="22"/>
      <c r="AE208" s="22"/>
      <c r="AF208" s="22"/>
      <c r="AG208" s="22"/>
      <c r="AH208" s="22"/>
      <c r="AI208" s="22"/>
      <c r="AJ208" s="22"/>
      <c r="AK208" s="22"/>
      <c r="AL208" s="22"/>
      <c r="AM208" s="22"/>
      <c r="AN208" s="22"/>
    </row>
    <row r="209" spans="1:40" x14ac:dyDescent="0.25">
      <c r="A209" s="22"/>
      <c r="B209" s="22"/>
      <c r="C209" s="22"/>
      <c r="D209" s="22"/>
      <c r="E209" s="22"/>
      <c r="F209" s="22"/>
      <c r="G209" s="22"/>
      <c r="H209" s="22"/>
      <c r="I209" s="22"/>
      <c r="J209" s="22"/>
      <c r="K209" s="22"/>
      <c r="L209" s="22"/>
      <c r="M209" s="22"/>
      <c r="N209" s="22"/>
      <c r="O209" s="22"/>
      <c r="P209" s="22"/>
      <c r="Q209" s="22"/>
      <c r="R209" s="22"/>
      <c r="S209" s="22"/>
      <c r="T209" s="22"/>
      <c r="U209" s="22"/>
      <c r="V209" s="22"/>
      <c r="W209" s="22"/>
      <c r="X209" s="22"/>
      <c r="Y209" s="22"/>
      <c r="Z209" s="22"/>
      <c r="AA209" s="22"/>
      <c r="AB209" s="22"/>
      <c r="AC209" s="22"/>
      <c r="AD209" s="22"/>
      <c r="AE209" s="22"/>
      <c r="AF209" s="22"/>
      <c r="AG209" s="22"/>
      <c r="AH209" s="22"/>
      <c r="AI209" s="22"/>
      <c r="AJ209" s="22"/>
      <c r="AK209" s="22"/>
      <c r="AL209" s="22"/>
      <c r="AM209" s="22"/>
      <c r="AN209" s="22"/>
    </row>
    <row r="210" spans="1:40" x14ac:dyDescent="0.25">
      <c r="A210" s="22"/>
      <c r="B210" s="22"/>
      <c r="C210" s="22"/>
      <c r="D210" s="22"/>
      <c r="E210" s="22"/>
      <c r="F210" s="22"/>
      <c r="G210" s="22"/>
      <c r="H210" s="22"/>
      <c r="I210" s="22"/>
      <c r="J210" s="22"/>
      <c r="K210" s="22"/>
      <c r="L210" s="22"/>
      <c r="M210" s="22"/>
      <c r="N210" s="22"/>
      <c r="O210" s="22"/>
      <c r="P210" s="22"/>
      <c r="Q210" s="22"/>
      <c r="R210" s="22"/>
      <c r="S210" s="22"/>
      <c r="T210" s="22"/>
      <c r="U210" s="22"/>
      <c r="V210" s="22"/>
      <c r="W210" s="22"/>
      <c r="X210" s="22"/>
      <c r="Y210" s="22"/>
      <c r="Z210" s="22"/>
      <c r="AA210" s="22"/>
      <c r="AB210" s="22"/>
      <c r="AC210" s="22"/>
      <c r="AD210" s="22"/>
      <c r="AE210" s="22"/>
      <c r="AF210" s="22"/>
      <c r="AG210" s="22"/>
      <c r="AH210" s="22"/>
      <c r="AI210" s="22"/>
      <c r="AJ210" s="22"/>
      <c r="AK210" s="22"/>
      <c r="AL210" s="22"/>
      <c r="AM210" s="22"/>
      <c r="AN210" s="22"/>
    </row>
    <row r="211" spans="1:40" x14ac:dyDescent="0.25">
      <c r="A211" s="22"/>
      <c r="B211" s="22"/>
      <c r="C211" s="22"/>
      <c r="D211" s="22"/>
      <c r="E211" s="22"/>
      <c r="F211" s="22"/>
      <c r="G211" s="22"/>
      <c r="H211" s="22"/>
      <c r="I211" s="22"/>
      <c r="J211" s="22"/>
      <c r="K211" s="22"/>
      <c r="L211" s="22"/>
      <c r="M211" s="22"/>
      <c r="N211" s="22"/>
      <c r="O211" s="22"/>
      <c r="P211" s="22"/>
      <c r="Q211" s="22"/>
      <c r="R211" s="22"/>
      <c r="S211" s="22"/>
      <c r="T211" s="22"/>
      <c r="U211" s="22"/>
      <c r="V211" s="22"/>
      <c r="W211" s="22"/>
      <c r="X211" s="22"/>
      <c r="Y211" s="22"/>
      <c r="Z211" s="22"/>
      <c r="AA211" s="22"/>
      <c r="AB211" s="22"/>
      <c r="AC211" s="22"/>
      <c r="AD211" s="22"/>
      <c r="AE211" s="22"/>
      <c r="AF211" s="22"/>
      <c r="AG211" s="22"/>
      <c r="AH211" s="22"/>
      <c r="AI211" s="22"/>
      <c r="AJ211" s="22"/>
      <c r="AK211" s="22"/>
      <c r="AL211" s="22"/>
      <c r="AM211" s="22"/>
      <c r="AN211" s="22"/>
    </row>
    <row r="212" spans="1:40" x14ac:dyDescent="0.25">
      <c r="A212" s="22"/>
      <c r="B212" s="22"/>
      <c r="C212" s="22"/>
      <c r="D212" s="22"/>
      <c r="E212" s="22"/>
      <c r="F212" s="22"/>
      <c r="G212" s="22"/>
      <c r="H212" s="22"/>
      <c r="I212" s="22"/>
      <c r="J212" s="22"/>
      <c r="K212" s="22"/>
      <c r="L212" s="22"/>
      <c r="M212" s="22"/>
      <c r="N212" s="22"/>
      <c r="O212" s="22"/>
      <c r="P212" s="22"/>
      <c r="Q212" s="22"/>
      <c r="R212" s="22"/>
      <c r="S212" s="22"/>
      <c r="T212" s="22"/>
      <c r="U212" s="22"/>
      <c r="V212" s="22"/>
      <c r="W212" s="22"/>
      <c r="X212" s="22"/>
      <c r="Y212" s="22"/>
      <c r="Z212" s="22"/>
      <c r="AA212" s="22"/>
      <c r="AB212" s="22"/>
      <c r="AC212" s="22"/>
      <c r="AD212" s="22"/>
      <c r="AE212" s="22"/>
      <c r="AF212" s="22"/>
      <c r="AG212" s="22"/>
      <c r="AH212" s="22"/>
      <c r="AI212" s="22"/>
      <c r="AJ212" s="22"/>
      <c r="AK212" s="22"/>
      <c r="AL212" s="22"/>
      <c r="AM212" s="22"/>
      <c r="AN212" s="22"/>
    </row>
    <row r="213" spans="1:40" x14ac:dyDescent="0.25">
      <c r="A213" s="22"/>
      <c r="B213" s="22"/>
      <c r="C213" s="22"/>
      <c r="D213" s="22"/>
      <c r="E213" s="22"/>
      <c r="F213" s="22"/>
      <c r="G213" s="22"/>
      <c r="H213" s="22"/>
      <c r="I213" s="22"/>
      <c r="J213" s="22"/>
      <c r="K213" s="22"/>
      <c r="L213" s="22"/>
      <c r="M213" s="22"/>
      <c r="N213" s="22"/>
      <c r="O213" s="22"/>
      <c r="P213" s="22"/>
      <c r="Q213" s="22"/>
      <c r="R213" s="22"/>
      <c r="S213" s="22"/>
      <c r="T213" s="22"/>
      <c r="U213" s="22"/>
      <c r="V213" s="22"/>
      <c r="W213" s="22"/>
      <c r="X213" s="22"/>
      <c r="Y213" s="22"/>
      <c r="Z213" s="22"/>
      <c r="AA213" s="22"/>
      <c r="AB213" s="22"/>
      <c r="AC213" s="22"/>
      <c r="AD213" s="22"/>
      <c r="AE213" s="22"/>
      <c r="AF213" s="22"/>
      <c r="AG213" s="22"/>
      <c r="AH213" s="22"/>
      <c r="AI213" s="22"/>
      <c r="AJ213" s="22"/>
      <c r="AK213" s="22"/>
      <c r="AL213" s="22"/>
      <c r="AM213" s="22"/>
      <c r="AN213" s="22"/>
    </row>
    <row r="214" spans="1:40" x14ac:dyDescent="0.25">
      <c r="A214" s="22"/>
      <c r="B214" s="22"/>
      <c r="C214" s="22"/>
      <c r="D214" s="22"/>
      <c r="E214" s="22"/>
      <c r="F214" s="22"/>
      <c r="G214" s="22"/>
      <c r="H214" s="22"/>
      <c r="I214" s="22"/>
      <c r="J214" s="22"/>
      <c r="K214" s="22"/>
      <c r="L214" s="22"/>
      <c r="M214" s="22"/>
      <c r="N214" s="22"/>
      <c r="O214" s="22"/>
      <c r="P214" s="22"/>
      <c r="Q214" s="22"/>
      <c r="R214" s="22"/>
      <c r="S214" s="22"/>
      <c r="T214" s="22"/>
      <c r="U214" s="22"/>
      <c r="V214" s="22"/>
      <c r="W214" s="22"/>
      <c r="X214" s="22"/>
      <c r="Y214" s="22"/>
      <c r="Z214" s="22"/>
      <c r="AA214" s="22"/>
      <c r="AB214" s="22"/>
      <c r="AC214" s="22"/>
      <c r="AD214" s="22"/>
      <c r="AE214" s="22"/>
      <c r="AF214" s="22"/>
      <c r="AG214" s="22"/>
      <c r="AH214" s="22"/>
      <c r="AI214" s="22"/>
      <c r="AJ214" s="22"/>
      <c r="AK214" s="22"/>
      <c r="AL214" s="22"/>
      <c r="AM214" s="22"/>
      <c r="AN214" s="22"/>
    </row>
    <row r="215" spans="1:40" x14ac:dyDescent="0.25">
      <c r="A215" s="22"/>
      <c r="B215" s="22"/>
      <c r="C215" s="22"/>
      <c r="D215" s="22"/>
      <c r="E215" s="22"/>
      <c r="F215" s="22"/>
      <c r="G215" s="22"/>
      <c r="H215" s="22"/>
      <c r="I215" s="22"/>
      <c r="J215" s="22"/>
      <c r="K215" s="22"/>
      <c r="L215" s="22"/>
      <c r="M215" s="22"/>
      <c r="N215" s="22"/>
      <c r="O215" s="22"/>
      <c r="P215" s="22"/>
      <c r="Q215" s="22"/>
      <c r="R215" s="22"/>
      <c r="S215" s="22"/>
      <c r="T215" s="22"/>
      <c r="U215" s="22"/>
      <c r="V215" s="22"/>
      <c r="W215" s="22"/>
      <c r="X215" s="22"/>
      <c r="Y215" s="22"/>
      <c r="Z215" s="22"/>
      <c r="AA215" s="22"/>
      <c r="AB215" s="22"/>
      <c r="AC215" s="22"/>
      <c r="AD215" s="22"/>
      <c r="AE215" s="22"/>
      <c r="AF215" s="22"/>
      <c r="AG215" s="22"/>
      <c r="AH215" s="22"/>
      <c r="AI215" s="22"/>
      <c r="AJ215" s="22"/>
      <c r="AK215" s="22"/>
      <c r="AL215" s="22"/>
      <c r="AM215" s="22"/>
      <c r="AN215" s="22"/>
    </row>
    <row r="216" spans="1:40" x14ac:dyDescent="0.25">
      <c r="A216" s="22"/>
      <c r="B216" s="22"/>
      <c r="C216" s="22"/>
      <c r="D216" s="22"/>
      <c r="E216" s="22"/>
      <c r="F216" s="22"/>
      <c r="G216" s="22"/>
      <c r="H216" s="22"/>
      <c r="I216" s="22"/>
      <c r="J216" s="22"/>
      <c r="K216" s="22"/>
      <c r="L216" s="22"/>
      <c r="M216" s="22"/>
      <c r="N216" s="22"/>
      <c r="O216" s="22"/>
      <c r="P216" s="22"/>
      <c r="Q216" s="22"/>
      <c r="R216" s="22"/>
      <c r="S216" s="22"/>
      <c r="T216" s="22"/>
      <c r="U216" s="22"/>
      <c r="V216" s="22"/>
      <c r="W216" s="22"/>
      <c r="X216" s="22"/>
      <c r="Y216" s="22"/>
      <c r="Z216" s="22"/>
      <c r="AA216" s="22"/>
      <c r="AB216" s="22"/>
      <c r="AC216" s="22"/>
      <c r="AD216" s="22"/>
      <c r="AE216" s="22"/>
      <c r="AF216" s="22"/>
      <c r="AG216" s="22"/>
      <c r="AH216" s="22"/>
      <c r="AI216" s="22"/>
      <c r="AJ216" s="22"/>
      <c r="AK216" s="22"/>
      <c r="AL216" s="22"/>
      <c r="AM216" s="22"/>
      <c r="AN216" s="22"/>
    </row>
    <row r="217" spans="1:40" x14ac:dyDescent="0.25">
      <c r="A217" s="22"/>
      <c r="B217" s="22"/>
      <c r="C217" s="22"/>
      <c r="D217" s="22"/>
      <c r="E217" s="22"/>
      <c r="F217" s="22"/>
      <c r="G217" s="22"/>
      <c r="H217" s="22"/>
      <c r="I217" s="22"/>
      <c r="J217" s="22"/>
      <c r="K217" s="22"/>
      <c r="L217" s="22"/>
      <c r="M217" s="22"/>
      <c r="N217" s="22"/>
      <c r="O217" s="22"/>
      <c r="P217" s="22"/>
      <c r="Q217" s="22"/>
      <c r="R217" s="22"/>
      <c r="S217" s="22"/>
      <c r="T217" s="22"/>
      <c r="U217" s="22"/>
      <c r="V217" s="22"/>
      <c r="W217" s="22"/>
      <c r="X217" s="22"/>
      <c r="Y217" s="22"/>
      <c r="Z217" s="22"/>
      <c r="AA217" s="22"/>
      <c r="AB217" s="22"/>
      <c r="AC217" s="22"/>
      <c r="AD217" s="22"/>
      <c r="AE217" s="22"/>
      <c r="AF217" s="22"/>
      <c r="AG217" s="22"/>
      <c r="AH217" s="22"/>
      <c r="AI217" s="22"/>
      <c r="AJ217" s="22"/>
      <c r="AK217" s="22"/>
      <c r="AL217" s="22"/>
      <c r="AM217" s="22"/>
      <c r="AN217" s="22"/>
    </row>
    <row r="218" spans="1:40" x14ac:dyDescent="0.25">
      <c r="A218" s="22"/>
      <c r="B218" s="22"/>
      <c r="C218" s="22"/>
      <c r="D218" s="22"/>
      <c r="E218" s="22"/>
      <c r="F218" s="22"/>
      <c r="G218" s="22"/>
      <c r="H218" s="22"/>
      <c r="I218" s="22"/>
      <c r="J218" s="22"/>
      <c r="K218" s="22"/>
      <c r="L218" s="22"/>
      <c r="M218" s="22"/>
      <c r="N218" s="22"/>
      <c r="O218" s="22"/>
      <c r="P218" s="22"/>
      <c r="Q218" s="22"/>
      <c r="R218" s="22"/>
      <c r="S218" s="22"/>
      <c r="T218" s="22"/>
      <c r="U218" s="22"/>
      <c r="V218" s="22"/>
      <c r="W218" s="22"/>
      <c r="X218" s="22"/>
      <c r="Y218" s="22"/>
      <c r="Z218" s="22"/>
      <c r="AA218" s="22"/>
      <c r="AB218" s="22"/>
      <c r="AC218" s="22"/>
      <c r="AD218" s="22"/>
      <c r="AE218" s="22"/>
      <c r="AF218" s="22"/>
      <c r="AG218" s="22"/>
      <c r="AH218" s="22"/>
      <c r="AI218" s="22"/>
      <c r="AJ218" s="22"/>
      <c r="AK218" s="22"/>
      <c r="AL218" s="22"/>
      <c r="AM218" s="22"/>
      <c r="AN218" s="22"/>
    </row>
    <row r="219" spans="1:40" x14ac:dyDescent="0.25">
      <c r="A219" s="22"/>
      <c r="B219" s="22"/>
      <c r="C219" s="22"/>
      <c r="D219" s="22"/>
      <c r="E219" s="22"/>
      <c r="F219" s="22"/>
      <c r="G219" s="22"/>
      <c r="H219" s="22"/>
      <c r="I219" s="22"/>
      <c r="J219" s="22"/>
      <c r="K219" s="22"/>
      <c r="L219" s="22"/>
      <c r="M219" s="22"/>
      <c r="N219" s="22"/>
      <c r="O219" s="22"/>
      <c r="P219" s="22"/>
      <c r="Q219" s="22"/>
      <c r="R219" s="22"/>
      <c r="S219" s="22"/>
      <c r="T219" s="22"/>
      <c r="U219" s="22"/>
      <c r="V219" s="22"/>
      <c r="W219" s="22"/>
      <c r="X219" s="22"/>
      <c r="Y219" s="22"/>
      <c r="Z219" s="22"/>
      <c r="AA219" s="22"/>
      <c r="AB219" s="22"/>
      <c r="AC219" s="22"/>
      <c r="AD219" s="22"/>
      <c r="AE219" s="22"/>
      <c r="AF219" s="22"/>
      <c r="AG219" s="22"/>
      <c r="AH219" s="22"/>
      <c r="AI219" s="22"/>
      <c r="AJ219" s="22"/>
      <c r="AK219" s="22"/>
      <c r="AL219" s="22"/>
      <c r="AM219" s="22"/>
      <c r="AN219" s="22"/>
    </row>
    <row r="220" spans="1:40" x14ac:dyDescent="0.25">
      <c r="A220" s="22"/>
      <c r="B220" s="22"/>
      <c r="C220" s="22"/>
      <c r="D220" s="22"/>
      <c r="E220" s="22"/>
      <c r="F220" s="22"/>
      <c r="G220" s="22"/>
      <c r="H220" s="22"/>
      <c r="I220" s="22"/>
      <c r="J220" s="22"/>
      <c r="K220" s="22"/>
      <c r="L220" s="22"/>
      <c r="M220" s="22"/>
      <c r="N220" s="22"/>
      <c r="O220" s="22"/>
      <c r="P220" s="22"/>
      <c r="Q220" s="22"/>
      <c r="R220" s="22"/>
      <c r="S220" s="22"/>
      <c r="T220" s="22"/>
      <c r="U220" s="22"/>
      <c r="V220" s="22"/>
      <c r="W220" s="22"/>
      <c r="X220" s="22"/>
      <c r="Y220" s="22"/>
      <c r="Z220" s="22"/>
      <c r="AA220" s="22"/>
      <c r="AB220" s="22"/>
      <c r="AC220" s="22"/>
      <c r="AD220" s="22"/>
      <c r="AE220" s="22"/>
      <c r="AF220" s="22"/>
      <c r="AG220" s="22"/>
      <c r="AH220" s="22"/>
      <c r="AI220" s="22"/>
      <c r="AJ220" s="22"/>
      <c r="AK220" s="22"/>
      <c r="AL220" s="22"/>
      <c r="AM220" s="22"/>
      <c r="AN220" s="22"/>
    </row>
    <row r="221" spans="1:40" x14ac:dyDescent="0.25">
      <c r="A221" s="22"/>
      <c r="B221" s="22"/>
      <c r="C221" s="22"/>
      <c r="D221" s="22"/>
      <c r="E221" s="22"/>
      <c r="F221" s="22"/>
      <c r="G221" s="22"/>
      <c r="H221" s="22"/>
      <c r="I221" s="22"/>
      <c r="J221" s="22"/>
      <c r="K221" s="22"/>
      <c r="L221" s="22"/>
      <c r="M221" s="22"/>
      <c r="N221" s="22"/>
      <c r="O221" s="22"/>
      <c r="P221" s="22"/>
      <c r="Q221" s="22"/>
      <c r="R221" s="22"/>
      <c r="S221" s="22"/>
      <c r="T221" s="22"/>
      <c r="U221" s="22"/>
      <c r="V221" s="22"/>
      <c r="W221" s="22"/>
      <c r="X221" s="22"/>
      <c r="Y221" s="22"/>
      <c r="Z221" s="22"/>
      <c r="AA221" s="22"/>
      <c r="AB221" s="22"/>
      <c r="AC221" s="22"/>
      <c r="AD221" s="22"/>
      <c r="AE221" s="22"/>
      <c r="AF221" s="22"/>
      <c r="AG221" s="22"/>
      <c r="AH221" s="22"/>
      <c r="AI221" s="22"/>
      <c r="AJ221" s="22"/>
      <c r="AK221" s="22"/>
      <c r="AL221" s="22"/>
      <c r="AM221" s="22"/>
      <c r="AN221" s="22"/>
    </row>
    <row r="222" spans="1:40" x14ac:dyDescent="0.25">
      <c r="A222" s="22"/>
      <c r="B222" s="22"/>
      <c r="C222" s="22"/>
      <c r="D222" s="22"/>
      <c r="E222" s="22"/>
      <c r="F222" s="22"/>
      <c r="G222" s="22"/>
      <c r="H222" s="22"/>
      <c r="I222" s="22"/>
      <c r="J222" s="22"/>
      <c r="K222" s="22"/>
      <c r="L222" s="22"/>
      <c r="M222" s="22"/>
      <c r="N222" s="22"/>
      <c r="O222" s="22"/>
      <c r="P222" s="22"/>
      <c r="Q222" s="22"/>
      <c r="R222" s="22"/>
      <c r="S222" s="22"/>
      <c r="T222" s="22"/>
      <c r="U222" s="22"/>
      <c r="V222" s="22"/>
      <c r="W222" s="22"/>
      <c r="X222" s="22"/>
      <c r="Y222" s="22"/>
      <c r="Z222" s="22"/>
      <c r="AA222" s="22"/>
      <c r="AB222" s="22"/>
      <c r="AC222" s="22"/>
      <c r="AD222" s="22"/>
      <c r="AE222" s="22"/>
      <c r="AF222" s="22"/>
      <c r="AG222" s="22"/>
      <c r="AH222" s="22"/>
      <c r="AI222" s="22"/>
      <c r="AJ222" s="22"/>
      <c r="AK222" s="22"/>
      <c r="AL222" s="22"/>
      <c r="AM222" s="22"/>
      <c r="AN222" s="22"/>
    </row>
    <row r="223" spans="1:40" x14ac:dyDescent="0.25">
      <c r="A223" s="22"/>
      <c r="B223" s="22"/>
      <c r="C223" s="22"/>
      <c r="D223" s="22"/>
      <c r="E223" s="22"/>
      <c r="F223" s="22"/>
      <c r="G223" s="22"/>
      <c r="H223" s="22"/>
      <c r="I223" s="22"/>
      <c r="J223" s="22"/>
      <c r="K223" s="22"/>
      <c r="L223" s="22"/>
      <c r="M223" s="22"/>
      <c r="N223" s="22"/>
      <c r="O223" s="22"/>
      <c r="P223" s="22"/>
      <c r="Q223" s="22"/>
      <c r="R223" s="22"/>
      <c r="S223" s="22"/>
      <c r="T223" s="22"/>
      <c r="U223" s="22"/>
      <c r="V223" s="22"/>
      <c r="W223" s="22"/>
      <c r="X223" s="22"/>
      <c r="Y223" s="22"/>
      <c r="Z223" s="22"/>
      <c r="AA223" s="22"/>
      <c r="AB223" s="22"/>
      <c r="AC223" s="22"/>
      <c r="AD223" s="22"/>
      <c r="AE223" s="22"/>
      <c r="AF223" s="22"/>
      <c r="AG223" s="22"/>
      <c r="AH223" s="22"/>
      <c r="AI223" s="22"/>
      <c r="AJ223" s="22"/>
      <c r="AK223" s="22"/>
      <c r="AL223" s="22"/>
      <c r="AM223" s="22"/>
      <c r="AN223" s="22"/>
    </row>
    <row r="224" spans="1:40" x14ac:dyDescent="0.25">
      <c r="A224" s="22"/>
      <c r="B224" s="22"/>
      <c r="C224" s="22"/>
      <c r="D224" s="22"/>
      <c r="E224" s="22"/>
      <c r="F224" s="22"/>
      <c r="G224" s="22"/>
      <c r="H224" s="22"/>
      <c r="I224" s="22"/>
      <c r="J224" s="22"/>
      <c r="K224" s="22"/>
      <c r="L224" s="22"/>
      <c r="M224" s="22"/>
      <c r="N224" s="22"/>
      <c r="O224" s="22"/>
      <c r="P224" s="22"/>
      <c r="Q224" s="22"/>
      <c r="R224" s="22"/>
      <c r="S224" s="22"/>
      <c r="T224" s="22"/>
      <c r="U224" s="22"/>
      <c r="V224" s="22"/>
      <c r="W224" s="22"/>
      <c r="X224" s="22"/>
      <c r="Y224" s="22"/>
      <c r="Z224" s="22"/>
      <c r="AA224" s="22"/>
      <c r="AB224" s="22"/>
      <c r="AC224" s="22"/>
      <c r="AD224" s="22"/>
      <c r="AE224" s="22"/>
      <c r="AF224" s="22"/>
      <c r="AG224" s="22"/>
      <c r="AH224" s="22"/>
      <c r="AI224" s="22"/>
      <c r="AJ224" s="22"/>
      <c r="AK224" s="22"/>
      <c r="AL224" s="22"/>
      <c r="AM224" s="22"/>
      <c r="AN224" s="22"/>
    </row>
    <row r="225" spans="1:40" x14ac:dyDescent="0.25">
      <c r="A225" s="22"/>
      <c r="B225" s="22"/>
      <c r="C225" s="22"/>
      <c r="D225" s="22"/>
      <c r="E225" s="22"/>
      <c r="F225" s="22"/>
      <c r="G225" s="22"/>
      <c r="H225" s="22"/>
      <c r="I225" s="22"/>
      <c r="J225" s="22"/>
      <c r="K225" s="22"/>
      <c r="L225" s="22"/>
      <c r="M225" s="22"/>
      <c r="N225" s="22"/>
      <c r="O225" s="22"/>
      <c r="P225" s="22"/>
      <c r="Q225" s="22"/>
      <c r="R225" s="22"/>
      <c r="S225" s="22"/>
      <c r="T225" s="22"/>
      <c r="U225" s="22"/>
      <c r="V225" s="22"/>
      <c r="W225" s="22"/>
      <c r="X225" s="22"/>
      <c r="Y225" s="22"/>
      <c r="Z225" s="22"/>
      <c r="AA225" s="22"/>
      <c r="AB225" s="22"/>
      <c r="AC225" s="22"/>
      <c r="AD225" s="22"/>
      <c r="AE225" s="22"/>
      <c r="AF225" s="22"/>
      <c r="AG225" s="22"/>
      <c r="AH225" s="22"/>
      <c r="AI225" s="22"/>
      <c r="AJ225" s="22"/>
      <c r="AK225" s="22"/>
      <c r="AL225" s="22"/>
      <c r="AM225" s="22"/>
      <c r="AN225" s="22"/>
    </row>
    <row r="226" spans="1:40" x14ac:dyDescent="0.25">
      <c r="A226" s="22"/>
      <c r="B226" s="22"/>
      <c r="C226" s="22"/>
      <c r="D226" s="22"/>
      <c r="E226" s="22"/>
      <c r="F226" s="22"/>
      <c r="G226" s="22"/>
      <c r="H226" s="22"/>
      <c r="I226" s="22"/>
      <c r="J226" s="22"/>
      <c r="K226" s="22"/>
      <c r="L226" s="22"/>
      <c r="M226" s="22"/>
      <c r="N226" s="22"/>
      <c r="O226" s="22"/>
      <c r="P226" s="22"/>
      <c r="Q226" s="22"/>
      <c r="R226" s="22"/>
      <c r="S226" s="22"/>
      <c r="T226" s="22"/>
      <c r="U226" s="22"/>
      <c r="V226" s="22"/>
      <c r="W226" s="22"/>
      <c r="X226" s="22"/>
      <c r="Y226" s="22"/>
      <c r="Z226" s="22"/>
      <c r="AA226" s="22"/>
      <c r="AB226" s="22"/>
      <c r="AC226" s="22"/>
      <c r="AD226" s="22"/>
      <c r="AE226" s="22"/>
      <c r="AF226" s="22"/>
      <c r="AG226" s="22"/>
      <c r="AH226" s="22"/>
      <c r="AI226" s="22"/>
      <c r="AJ226" s="22"/>
      <c r="AK226" s="22"/>
      <c r="AL226" s="22"/>
      <c r="AM226" s="22"/>
      <c r="AN226" s="22"/>
    </row>
    <row r="227" spans="1:40" x14ac:dyDescent="0.25">
      <c r="A227" s="22"/>
      <c r="B227" s="22"/>
      <c r="C227" s="22"/>
      <c r="D227" s="22"/>
      <c r="E227" s="22"/>
      <c r="F227" s="22"/>
      <c r="G227" s="22"/>
      <c r="H227" s="22"/>
      <c r="I227" s="22"/>
      <c r="J227" s="22"/>
      <c r="K227" s="22"/>
      <c r="L227" s="22"/>
      <c r="M227" s="22"/>
      <c r="N227" s="22"/>
      <c r="O227" s="22"/>
      <c r="P227" s="22"/>
      <c r="Q227" s="22"/>
      <c r="R227" s="22"/>
      <c r="S227" s="22"/>
      <c r="T227" s="22"/>
      <c r="U227" s="22"/>
      <c r="V227" s="22"/>
      <c r="W227" s="22"/>
      <c r="X227" s="22"/>
      <c r="Y227" s="22"/>
      <c r="Z227" s="22"/>
      <c r="AA227" s="22"/>
      <c r="AB227" s="22"/>
      <c r="AC227" s="22"/>
      <c r="AD227" s="22"/>
      <c r="AE227" s="22"/>
      <c r="AF227" s="22"/>
      <c r="AG227" s="22"/>
      <c r="AH227" s="22"/>
      <c r="AI227" s="22"/>
      <c r="AJ227" s="22"/>
      <c r="AK227" s="22"/>
      <c r="AL227" s="22"/>
      <c r="AM227" s="22"/>
      <c r="AN227" s="22"/>
    </row>
    <row r="228" spans="1:40" x14ac:dyDescent="0.25">
      <c r="A228" s="22"/>
      <c r="B228" s="22"/>
      <c r="C228" s="22"/>
      <c r="D228" s="22"/>
      <c r="E228" s="22"/>
      <c r="F228" s="22"/>
      <c r="G228" s="22"/>
      <c r="H228" s="22"/>
      <c r="I228" s="22"/>
      <c r="J228" s="22"/>
      <c r="K228" s="22"/>
      <c r="L228" s="22"/>
      <c r="M228" s="22"/>
      <c r="N228" s="22"/>
      <c r="O228" s="22"/>
      <c r="P228" s="22"/>
      <c r="Q228" s="22"/>
      <c r="R228" s="22"/>
      <c r="S228" s="22"/>
      <c r="T228" s="22"/>
      <c r="U228" s="22"/>
      <c r="V228" s="22"/>
      <c r="W228" s="22"/>
      <c r="X228" s="22"/>
      <c r="Y228" s="22"/>
      <c r="Z228" s="22"/>
      <c r="AA228" s="22"/>
      <c r="AB228" s="22"/>
      <c r="AC228" s="22"/>
      <c r="AD228" s="22"/>
      <c r="AE228" s="22"/>
      <c r="AF228" s="22"/>
      <c r="AG228" s="22"/>
      <c r="AH228" s="22"/>
      <c r="AI228" s="22"/>
      <c r="AJ228" s="22"/>
      <c r="AK228" s="22"/>
      <c r="AL228" s="22"/>
      <c r="AM228" s="22"/>
      <c r="AN228" s="22"/>
    </row>
    <row r="229" spans="1:40" x14ac:dyDescent="0.25">
      <c r="A229" s="22"/>
      <c r="B229" s="22"/>
      <c r="C229" s="22"/>
      <c r="D229" s="22"/>
      <c r="E229" s="22"/>
      <c r="F229" s="22"/>
      <c r="G229" s="22"/>
      <c r="H229" s="22"/>
      <c r="I229" s="22"/>
      <c r="J229" s="22"/>
      <c r="K229" s="22"/>
      <c r="L229" s="22"/>
      <c r="M229" s="22"/>
      <c r="N229" s="22"/>
      <c r="O229" s="22"/>
      <c r="P229" s="22"/>
      <c r="Q229" s="22"/>
      <c r="R229" s="22"/>
      <c r="S229" s="22"/>
      <c r="T229" s="22"/>
      <c r="U229" s="22"/>
      <c r="V229" s="22"/>
      <c r="W229" s="22"/>
      <c r="X229" s="22"/>
      <c r="Y229" s="22"/>
      <c r="Z229" s="22"/>
      <c r="AA229" s="22"/>
      <c r="AB229" s="22"/>
      <c r="AC229" s="22"/>
      <c r="AD229" s="22"/>
      <c r="AE229" s="22"/>
      <c r="AF229" s="22"/>
      <c r="AG229" s="22"/>
      <c r="AH229" s="22"/>
      <c r="AI229" s="22"/>
      <c r="AJ229" s="22"/>
      <c r="AK229" s="22"/>
      <c r="AL229" s="22"/>
      <c r="AM229" s="22"/>
      <c r="AN229" s="22"/>
    </row>
    <row r="230" spans="1:40" x14ac:dyDescent="0.25">
      <c r="A230" s="22"/>
      <c r="B230" s="22"/>
      <c r="C230" s="22"/>
      <c r="D230" s="22"/>
      <c r="E230" s="22"/>
      <c r="F230" s="22"/>
      <c r="G230" s="22"/>
      <c r="H230" s="22"/>
      <c r="I230" s="22"/>
      <c r="J230" s="22"/>
      <c r="K230" s="22"/>
      <c r="L230" s="22"/>
      <c r="M230" s="22"/>
      <c r="N230" s="22"/>
      <c r="O230" s="22"/>
      <c r="P230" s="22"/>
      <c r="Q230" s="22"/>
      <c r="R230" s="22"/>
      <c r="S230" s="22"/>
      <c r="T230" s="22"/>
      <c r="U230" s="22"/>
      <c r="V230" s="22"/>
      <c r="W230" s="22"/>
      <c r="X230" s="22"/>
      <c r="Y230" s="22"/>
      <c r="Z230" s="22"/>
      <c r="AA230" s="22"/>
      <c r="AB230" s="22"/>
      <c r="AC230" s="22"/>
      <c r="AD230" s="22"/>
      <c r="AE230" s="22"/>
      <c r="AF230" s="22"/>
      <c r="AG230" s="22"/>
      <c r="AH230" s="22"/>
      <c r="AI230" s="22"/>
      <c r="AJ230" s="22"/>
      <c r="AK230" s="22"/>
      <c r="AL230" s="22"/>
      <c r="AM230" s="22"/>
      <c r="AN230" s="22"/>
    </row>
    <row r="231" spans="1:40" x14ac:dyDescent="0.25">
      <c r="A231" s="22"/>
      <c r="B231" s="22"/>
      <c r="C231" s="22"/>
      <c r="D231" s="22"/>
      <c r="E231" s="22"/>
      <c r="F231" s="22"/>
      <c r="G231" s="22"/>
      <c r="H231" s="22"/>
      <c r="I231" s="22"/>
      <c r="J231" s="22"/>
      <c r="K231" s="22"/>
      <c r="L231" s="22"/>
      <c r="M231" s="22"/>
      <c r="N231" s="22"/>
      <c r="O231" s="22"/>
      <c r="P231" s="22"/>
      <c r="Q231" s="22"/>
      <c r="R231" s="22"/>
      <c r="S231" s="22"/>
      <c r="T231" s="22"/>
      <c r="U231" s="22"/>
      <c r="V231" s="22"/>
      <c r="W231" s="22"/>
      <c r="X231" s="22"/>
      <c r="Y231" s="22"/>
      <c r="Z231" s="22"/>
      <c r="AA231" s="22"/>
      <c r="AB231" s="22"/>
      <c r="AC231" s="22"/>
      <c r="AD231" s="22"/>
      <c r="AE231" s="22"/>
      <c r="AF231" s="22"/>
      <c r="AG231" s="22"/>
      <c r="AH231" s="22"/>
      <c r="AI231" s="22"/>
      <c r="AJ231" s="22"/>
      <c r="AK231" s="22"/>
      <c r="AL231" s="22"/>
      <c r="AM231" s="22"/>
      <c r="AN231" s="22"/>
    </row>
    <row r="232" spans="1:40" x14ac:dyDescent="0.25">
      <c r="A232" s="22"/>
      <c r="B232" s="22"/>
      <c r="C232" s="22"/>
      <c r="D232" s="22"/>
      <c r="E232" s="22"/>
      <c r="F232" s="22"/>
      <c r="G232" s="22"/>
      <c r="H232" s="22"/>
      <c r="I232" s="22"/>
      <c r="J232" s="22"/>
      <c r="K232" s="22"/>
      <c r="L232" s="22"/>
      <c r="M232" s="22"/>
      <c r="N232" s="22"/>
      <c r="O232" s="22"/>
      <c r="P232" s="22"/>
      <c r="Q232" s="22"/>
      <c r="R232" s="22"/>
      <c r="S232" s="22"/>
      <c r="T232" s="22"/>
      <c r="U232" s="22"/>
      <c r="V232" s="22"/>
      <c r="W232" s="22"/>
      <c r="X232" s="22"/>
      <c r="Y232" s="22"/>
      <c r="Z232" s="22"/>
      <c r="AA232" s="22"/>
      <c r="AB232" s="22"/>
      <c r="AC232" s="22"/>
      <c r="AD232" s="22"/>
      <c r="AE232" s="22"/>
      <c r="AF232" s="22"/>
      <c r="AG232" s="22"/>
      <c r="AH232" s="22"/>
      <c r="AI232" s="22"/>
      <c r="AJ232" s="22"/>
      <c r="AK232" s="22"/>
      <c r="AL232" s="22"/>
      <c r="AM232" s="22"/>
      <c r="AN232" s="22"/>
    </row>
    <row r="233" spans="1:40" x14ac:dyDescent="0.25">
      <c r="A233" s="22"/>
      <c r="B233" s="22"/>
      <c r="C233" s="22"/>
      <c r="D233" s="22"/>
      <c r="E233" s="22"/>
      <c r="F233" s="22"/>
      <c r="G233" s="22"/>
      <c r="H233" s="22"/>
      <c r="I233" s="22"/>
      <c r="J233" s="22"/>
      <c r="K233" s="22"/>
      <c r="L233" s="22"/>
      <c r="M233" s="22"/>
      <c r="N233" s="22"/>
      <c r="O233" s="22"/>
      <c r="P233" s="22"/>
      <c r="Q233" s="22"/>
      <c r="R233" s="22"/>
      <c r="S233" s="22"/>
      <c r="T233" s="22"/>
      <c r="U233" s="22"/>
      <c r="V233" s="22"/>
      <c r="W233" s="22"/>
      <c r="X233" s="22"/>
      <c r="Y233" s="22"/>
      <c r="Z233" s="22"/>
      <c r="AA233" s="22"/>
      <c r="AB233" s="22"/>
      <c r="AC233" s="22"/>
      <c r="AD233" s="22"/>
      <c r="AE233" s="22"/>
      <c r="AF233" s="22"/>
      <c r="AG233" s="22"/>
      <c r="AH233" s="22"/>
      <c r="AI233" s="22"/>
      <c r="AJ233" s="22"/>
      <c r="AK233" s="22"/>
      <c r="AL233" s="22"/>
      <c r="AM233" s="22"/>
      <c r="AN233" s="22"/>
    </row>
    <row r="234" spans="1:40" x14ac:dyDescent="0.25">
      <c r="A234" s="22"/>
      <c r="B234" s="22"/>
      <c r="C234" s="22"/>
      <c r="D234" s="22"/>
      <c r="E234" s="22"/>
      <c r="F234" s="22"/>
      <c r="G234" s="22"/>
      <c r="H234" s="22"/>
      <c r="I234" s="22"/>
      <c r="J234" s="22"/>
      <c r="K234" s="22"/>
      <c r="L234" s="22"/>
      <c r="M234" s="22"/>
      <c r="N234" s="22"/>
      <c r="O234" s="22"/>
      <c r="P234" s="22"/>
      <c r="Q234" s="22"/>
      <c r="R234" s="22"/>
      <c r="S234" s="22"/>
      <c r="T234" s="22"/>
      <c r="U234" s="22"/>
      <c r="V234" s="22"/>
      <c r="W234" s="22"/>
      <c r="X234" s="22"/>
      <c r="Y234" s="22"/>
      <c r="Z234" s="22"/>
      <c r="AA234" s="22"/>
      <c r="AB234" s="22"/>
      <c r="AC234" s="22"/>
      <c r="AD234" s="22"/>
      <c r="AE234" s="22"/>
      <c r="AF234" s="22"/>
      <c r="AG234" s="22"/>
      <c r="AH234" s="22"/>
      <c r="AI234" s="22"/>
      <c r="AJ234" s="22"/>
      <c r="AK234" s="22"/>
      <c r="AL234" s="22"/>
      <c r="AM234" s="22"/>
      <c r="AN234" s="22"/>
    </row>
    <row r="235" spans="1:40" x14ac:dyDescent="0.25">
      <c r="A235" s="22"/>
      <c r="B235" s="22"/>
      <c r="C235" s="22"/>
      <c r="D235" s="22"/>
      <c r="E235" s="22"/>
      <c r="F235" s="22"/>
      <c r="G235" s="22"/>
      <c r="H235" s="22"/>
      <c r="I235" s="22"/>
      <c r="J235" s="22"/>
      <c r="K235" s="22"/>
      <c r="L235" s="22"/>
      <c r="M235" s="22"/>
      <c r="N235" s="22"/>
      <c r="O235" s="22"/>
      <c r="P235" s="22"/>
      <c r="Q235" s="22"/>
      <c r="R235" s="22"/>
      <c r="S235" s="22"/>
      <c r="T235" s="22"/>
      <c r="U235" s="22"/>
      <c r="V235" s="22"/>
      <c r="W235" s="22"/>
      <c r="X235" s="22"/>
      <c r="Y235" s="22"/>
      <c r="Z235" s="22"/>
      <c r="AA235" s="22"/>
      <c r="AB235" s="22"/>
      <c r="AC235" s="22"/>
      <c r="AD235" s="22"/>
      <c r="AE235" s="22"/>
      <c r="AF235" s="22"/>
      <c r="AG235" s="22"/>
      <c r="AH235" s="22"/>
      <c r="AI235" s="22"/>
      <c r="AJ235" s="22"/>
      <c r="AK235" s="22"/>
      <c r="AL235" s="22"/>
      <c r="AM235" s="22"/>
      <c r="AN235" s="22"/>
    </row>
    <row r="236" spans="1:40" x14ac:dyDescent="0.25">
      <c r="A236" s="22"/>
      <c r="B236" s="22"/>
      <c r="C236" s="22"/>
      <c r="D236" s="22"/>
      <c r="E236" s="22"/>
      <c r="F236" s="22"/>
      <c r="G236" s="22"/>
      <c r="H236" s="22"/>
      <c r="I236" s="22"/>
      <c r="J236" s="22"/>
      <c r="K236" s="22"/>
      <c r="L236" s="22"/>
      <c r="M236" s="22"/>
      <c r="N236" s="22"/>
      <c r="O236" s="22"/>
      <c r="P236" s="22"/>
      <c r="Q236" s="22"/>
      <c r="R236" s="22"/>
      <c r="S236" s="22"/>
      <c r="T236" s="22"/>
      <c r="U236" s="22"/>
      <c r="V236" s="22"/>
      <c r="W236" s="22"/>
      <c r="X236" s="22"/>
      <c r="Y236" s="22"/>
      <c r="Z236" s="22"/>
      <c r="AA236" s="22"/>
      <c r="AB236" s="22"/>
      <c r="AC236" s="22"/>
      <c r="AD236" s="22"/>
      <c r="AE236" s="22"/>
      <c r="AF236" s="22"/>
      <c r="AG236" s="22"/>
      <c r="AH236" s="22"/>
      <c r="AI236" s="22"/>
      <c r="AJ236" s="22"/>
      <c r="AK236" s="22"/>
      <c r="AL236" s="22"/>
      <c r="AM236" s="22"/>
      <c r="AN236" s="22"/>
    </row>
    <row r="237" spans="1:40" x14ac:dyDescent="0.25">
      <c r="A237" s="22"/>
      <c r="B237" s="22"/>
      <c r="C237" s="22"/>
      <c r="D237" s="22"/>
      <c r="E237" s="22"/>
      <c r="F237" s="22"/>
      <c r="G237" s="22"/>
      <c r="H237" s="22"/>
      <c r="I237" s="22"/>
      <c r="J237" s="22"/>
      <c r="K237" s="22"/>
      <c r="L237" s="22"/>
      <c r="M237" s="22"/>
      <c r="N237" s="22"/>
      <c r="O237" s="22"/>
      <c r="P237" s="22"/>
      <c r="Q237" s="22"/>
      <c r="R237" s="22"/>
      <c r="S237" s="22"/>
      <c r="T237" s="22"/>
      <c r="U237" s="22"/>
      <c r="V237" s="22"/>
      <c r="W237" s="22"/>
      <c r="X237" s="22"/>
      <c r="Y237" s="22"/>
      <c r="Z237" s="22"/>
      <c r="AA237" s="22"/>
      <c r="AB237" s="22"/>
      <c r="AC237" s="22"/>
      <c r="AD237" s="22"/>
      <c r="AE237" s="22"/>
      <c r="AF237" s="22"/>
      <c r="AG237" s="22"/>
      <c r="AH237" s="22"/>
      <c r="AI237" s="22"/>
      <c r="AJ237" s="22"/>
      <c r="AK237" s="22"/>
      <c r="AL237" s="22"/>
      <c r="AM237" s="22"/>
      <c r="AN237" s="22"/>
    </row>
    <row r="238" spans="1:40" x14ac:dyDescent="0.25">
      <c r="A238" s="22"/>
      <c r="B238" s="22"/>
      <c r="C238" s="22"/>
      <c r="D238" s="22"/>
      <c r="E238" s="22"/>
      <c r="F238" s="22"/>
      <c r="G238" s="22"/>
      <c r="H238" s="22"/>
      <c r="I238" s="22"/>
      <c r="J238" s="22"/>
      <c r="K238" s="22"/>
      <c r="L238" s="22"/>
      <c r="M238" s="22"/>
      <c r="N238" s="22"/>
      <c r="O238" s="22"/>
      <c r="P238" s="22"/>
      <c r="Q238" s="22"/>
      <c r="R238" s="22"/>
      <c r="S238" s="22"/>
      <c r="T238" s="22"/>
      <c r="U238" s="22"/>
      <c r="V238" s="22"/>
      <c r="W238" s="22"/>
      <c r="X238" s="22"/>
      <c r="Y238" s="22"/>
      <c r="Z238" s="22"/>
      <c r="AA238" s="22"/>
      <c r="AB238" s="22"/>
      <c r="AC238" s="22"/>
      <c r="AD238" s="22"/>
      <c r="AE238" s="22"/>
      <c r="AF238" s="22"/>
      <c r="AG238" s="22"/>
      <c r="AH238" s="22"/>
      <c r="AI238" s="22"/>
      <c r="AJ238" s="22"/>
      <c r="AK238" s="22"/>
      <c r="AL238" s="22"/>
      <c r="AM238" s="22"/>
      <c r="AN238" s="22"/>
    </row>
    <row r="239" spans="1:40" x14ac:dyDescent="0.25">
      <c r="A239" s="22"/>
      <c r="B239" s="22"/>
      <c r="C239" s="22"/>
      <c r="D239" s="22"/>
      <c r="E239" s="22"/>
      <c r="F239" s="22"/>
      <c r="G239" s="22"/>
      <c r="H239" s="22"/>
      <c r="I239" s="22"/>
      <c r="J239" s="22"/>
      <c r="K239" s="22"/>
      <c r="L239" s="22"/>
      <c r="M239" s="22"/>
      <c r="N239" s="22"/>
      <c r="O239" s="22"/>
      <c r="P239" s="22"/>
      <c r="Q239" s="22"/>
      <c r="R239" s="22"/>
      <c r="S239" s="22"/>
      <c r="T239" s="22"/>
      <c r="U239" s="22"/>
      <c r="V239" s="22"/>
      <c r="W239" s="22"/>
      <c r="X239" s="22"/>
      <c r="Y239" s="22"/>
      <c r="Z239" s="22"/>
      <c r="AA239" s="22"/>
      <c r="AB239" s="22"/>
      <c r="AC239" s="22"/>
      <c r="AD239" s="22"/>
      <c r="AE239" s="22"/>
      <c r="AF239" s="22"/>
      <c r="AG239" s="22"/>
      <c r="AH239" s="22"/>
      <c r="AI239" s="22"/>
      <c r="AJ239" s="22"/>
      <c r="AK239" s="22"/>
      <c r="AL239" s="22"/>
      <c r="AM239" s="22"/>
      <c r="AN239" s="22"/>
    </row>
    <row r="240" spans="1:40" x14ac:dyDescent="0.25">
      <c r="A240" s="22"/>
      <c r="B240" s="22"/>
      <c r="C240" s="22"/>
      <c r="D240" s="22"/>
      <c r="E240" s="22"/>
      <c r="F240" s="22"/>
      <c r="G240" s="22"/>
      <c r="H240" s="22"/>
      <c r="I240" s="22"/>
      <c r="J240" s="22"/>
      <c r="K240" s="22"/>
      <c r="L240" s="22"/>
      <c r="M240" s="22"/>
      <c r="N240" s="22"/>
      <c r="O240" s="22"/>
      <c r="P240" s="22"/>
      <c r="Q240" s="22"/>
      <c r="R240" s="22"/>
      <c r="S240" s="22"/>
      <c r="T240" s="22"/>
      <c r="U240" s="22"/>
      <c r="V240" s="22"/>
      <c r="W240" s="22"/>
      <c r="X240" s="22"/>
      <c r="Y240" s="22"/>
      <c r="Z240" s="22"/>
      <c r="AA240" s="22"/>
      <c r="AB240" s="22"/>
      <c r="AC240" s="22"/>
      <c r="AD240" s="22"/>
      <c r="AE240" s="22"/>
      <c r="AF240" s="22"/>
      <c r="AG240" s="22"/>
      <c r="AH240" s="22"/>
      <c r="AI240" s="22"/>
      <c r="AJ240" s="22"/>
      <c r="AK240" s="22"/>
      <c r="AL240" s="22"/>
      <c r="AM240" s="22"/>
      <c r="AN240" s="22"/>
    </row>
    <row r="241" spans="1:40" x14ac:dyDescent="0.25">
      <c r="A241" s="22"/>
      <c r="B241" s="22"/>
      <c r="C241" s="22"/>
      <c r="D241" s="22"/>
      <c r="E241" s="22"/>
      <c r="F241" s="22"/>
      <c r="G241" s="22"/>
      <c r="H241" s="22"/>
      <c r="I241" s="22"/>
      <c r="J241" s="22"/>
      <c r="K241" s="22"/>
      <c r="L241" s="22"/>
      <c r="M241" s="22"/>
      <c r="N241" s="22"/>
      <c r="O241" s="22"/>
      <c r="P241" s="22"/>
      <c r="Q241" s="22"/>
      <c r="R241" s="22"/>
      <c r="S241" s="22"/>
      <c r="T241" s="22"/>
      <c r="U241" s="22"/>
      <c r="V241" s="22"/>
      <c r="W241" s="22"/>
      <c r="X241" s="22"/>
      <c r="Y241" s="22"/>
      <c r="Z241" s="22"/>
      <c r="AA241" s="22"/>
      <c r="AB241" s="22"/>
      <c r="AC241" s="22"/>
      <c r="AD241" s="22"/>
      <c r="AE241" s="22"/>
      <c r="AF241" s="22"/>
      <c r="AG241" s="22"/>
      <c r="AH241" s="22"/>
      <c r="AI241" s="22"/>
      <c r="AJ241" s="22"/>
      <c r="AK241" s="22"/>
      <c r="AL241" s="22"/>
      <c r="AM241" s="22"/>
      <c r="AN241" s="22"/>
    </row>
    <row r="242" spans="1:40" x14ac:dyDescent="0.25">
      <c r="A242" s="22"/>
      <c r="B242" s="22"/>
      <c r="C242" s="22"/>
      <c r="D242" s="22"/>
      <c r="E242" s="22"/>
      <c r="F242" s="22"/>
      <c r="G242" s="22"/>
      <c r="H242" s="22"/>
      <c r="I242" s="22"/>
      <c r="J242" s="22"/>
      <c r="K242" s="22"/>
      <c r="L242" s="22"/>
      <c r="M242" s="22"/>
      <c r="N242" s="22"/>
      <c r="O242" s="22"/>
      <c r="P242" s="22"/>
      <c r="Q242" s="22"/>
      <c r="R242" s="22"/>
      <c r="S242" s="22"/>
      <c r="T242" s="22"/>
      <c r="U242" s="22"/>
      <c r="V242" s="22"/>
      <c r="W242" s="22"/>
      <c r="X242" s="22"/>
      <c r="Y242" s="22"/>
      <c r="Z242" s="22"/>
      <c r="AA242" s="22"/>
      <c r="AB242" s="22"/>
      <c r="AC242" s="22"/>
      <c r="AD242" s="22"/>
      <c r="AE242" s="22"/>
      <c r="AF242" s="22"/>
      <c r="AG242" s="22"/>
      <c r="AH242" s="22"/>
      <c r="AI242" s="22"/>
      <c r="AJ242" s="22"/>
      <c r="AK242" s="22"/>
      <c r="AL242" s="22"/>
      <c r="AM242" s="22"/>
      <c r="AN242" s="22"/>
    </row>
    <row r="243" spans="1:40" x14ac:dyDescent="0.25">
      <c r="A243" s="22"/>
      <c r="B243" s="22"/>
      <c r="C243" s="22"/>
      <c r="D243" s="22"/>
      <c r="E243" s="22"/>
      <c r="F243" s="22"/>
      <c r="G243" s="22"/>
      <c r="H243" s="22"/>
      <c r="I243" s="22"/>
      <c r="J243" s="22"/>
      <c r="K243" s="22"/>
      <c r="L243" s="22"/>
      <c r="M243" s="22"/>
      <c r="N243" s="22"/>
      <c r="O243" s="22"/>
      <c r="P243" s="22"/>
      <c r="Q243" s="22"/>
      <c r="R243" s="22"/>
      <c r="S243" s="22"/>
      <c r="T243" s="22"/>
      <c r="U243" s="22"/>
      <c r="V243" s="22"/>
      <c r="W243" s="22"/>
      <c r="X243" s="22"/>
      <c r="Y243" s="22"/>
      <c r="Z243" s="22"/>
      <c r="AA243" s="22"/>
      <c r="AB243" s="22"/>
      <c r="AC243" s="22"/>
      <c r="AD243" s="22"/>
      <c r="AE243" s="22"/>
      <c r="AF243" s="22"/>
      <c r="AG243" s="22"/>
      <c r="AH243" s="22"/>
      <c r="AI243" s="22"/>
      <c r="AJ243" s="22"/>
      <c r="AK243" s="22"/>
      <c r="AL243" s="22"/>
      <c r="AM243" s="22"/>
      <c r="AN243" s="22"/>
    </row>
    <row r="244" spans="1:40" x14ac:dyDescent="0.25">
      <c r="A244" s="22"/>
      <c r="B244" s="22"/>
      <c r="C244" s="22"/>
      <c r="D244" s="22"/>
      <c r="E244" s="22"/>
      <c r="F244" s="22"/>
      <c r="G244" s="22"/>
      <c r="H244" s="22"/>
      <c r="I244" s="22"/>
      <c r="J244" s="22"/>
      <c r="K244" s="22"/>
      <c r="L244" s="22"/>
      <c r="M244" s="22"/>
      <c r="N244" s="22"/>
      <c r="O244" s="22"/>
      <c r="P244" s="22"/>
      <c r="Q244" s="22"/>
      <c r="R244" s="22"/>
      <c r="S244" s="22"/>
      <c r="T244" s="22"/>
      <c r="U244" s="22"/>
      <c r="V244" s="22"/>
      <c r="W244" s="22"/>
      <c r="X244" s="22"/>
      <c r="Y244" s="22"/>
      <c r="Z244" s="22"/>
      <c r="AA244" s="22"/>
      <c r="AB244" s="22"/>
      <c r="AC244" s="22"/>
      <c r="AD244" s="22"/>
      <c r="AE244" s="22"/>
      <c r="AF244" s="22"/>
      <c r="AG244" s="22"/>
      <c r="AH244" s="22"/>
      <c r="AI244" s="22"/>
      <c r="AJ244" s="22"/>
      <c r="AK244" s="22"/>
      <c r="AL244" s="22"/>
      <c r="AM244" s="22"/>
      <c r="AN244" s="22"/>
    </row>
    <row r="245" spans="1:40" x14ac:dyDescent="0.25">
      <c r="A245" s="22"/>
      <c r="B245" s="22"/>
      <c r="C245" s="22"/>
      <c r="D245" s="22"/>
      <c r="E245" s="22"/>
      <c r="F245" s="22"/>
      <c r="G245" s="22"/>
      <c r="H245" s="22"/>
      <c r="I245" s="22"/>
      <c r="J245" s="22"/>
      <c r="K245" s="22"/>
      <c r="L245" s="22"/>
      <c r="M245" s="22"/>
      <c r="N245" s="22"/>
      <c r="O245" s="22"/>
      <c r="P245" s="22"/>
      <c r="Q245" s="22"/>
      <c r="R245" s="22"/>
      <c r="S245" s="22"/>
      <c r="T245" s="22"/>
      <c r="U245" s="22"/>
      <c r="V245" s="22"/>
      <c r="W245" s="22"/>
      <c r="X245" s="22"/>
      <c r="Y245" s="22"/>
      <c r="Z245" s="22"/>
      <c r="AA245" s="22"/>
      <c r="AB245" s="22"/>
      <c r="AC245" s="22"/>
      <c r="AD245" s="22"/>
      <c r="AE245" s="22"/>
      <c r="AF245" s="22"/>
      <c r="AG245" s="22"/>
      <c r="AH245" s="22"/>
      <c r="AI245" s="22"/>
      <c r="AJ245" s="22"/>
      <c r="AK245" s="22"/>
      <c r="AL245" s="22"/>
      <c r="AM245" s="22"/>
      <c r="AN245" s="22"/>
    </row>
    <row r="246" spans="1:40" x14ac:dyDescent="0.25">
      <c r="A246" s="22"/>
      <c r="B246" s="22"/>
      <c r="C246" s="22"/>
      <c r="D246" s="22"/>
      <c r="E246" s="22"/>
      <c r="F246" s="22"/>
      <c r="G246" s="22"/>
      <c r="H246" s="22"/>
      <c r="I246" s="22"/>
      <c r="J246" s="22"/>
      <c r="K246" s="22"/>
      <c r="L246" s="22"/>
      <c r="M246" s="22"/>
      <c r="N246" s="22"/>
      <c r="O246" s="22"/>
      <c r="P246" s="22"/>
      <c r="Q246" s="22"/>
      <c r="R246" s="22"/>
      <c r="S246" s="22"/>
      <c r="T246" s="22"/>
      <c r="U246" s="22"/>
      <c r="V246" s="22"/>
      <c r="W246" s="22"/>
      <c r="X246" s="22"/>
      <c r="Y246" s="22"/>
      <c r="Z246" s="22"/>
      <c r="AA246" s="22"/>
      <c r="AB246" s="22"/>
      <c r="AC246" s="22"/>
      <c r="AD246" s="22"/>
      <c r="AE246" s="22"/>
      <c r="AF246" s="22"/>
      <c r="AG246" s="22"/>
      <c r="AH246" s="22"/>
      <c r="AI246" s="22"/>
      <c r="AJ246" s="22"/>
      <c r="AK246" s="22"/>
      <c r="AL246" s="22"/>
      <c r="AM246" s="22"/>
      <c r="AN246" s="22"/>
    </row>
    <row r="247" spans="1:40" x14ac:dyDescent="0.25">
      <c r="A247" s="22"/>
      <c r="B247" s="22"/>
      <c r="C247" s="22"/>
      <c r="D247" s="22"/>
      <c r="E247" s="22"/>
      <c r="F247" s="22"/>
      <c r="G247" s="22"/>
      <c r="H247" s="22"/>
      <c r="I247" s="22"/>
      <c r="J247" s="22"/>
      <c r="K247" s="22"/>
      <c r="L247" s="22"/>
      <c r="M247" s="22"/>
      <c r="N247" s="22"/>
      <c r="O247" s="22"/>
      <c r="P247" s="22"/>
      <c r="Q247" s="22"/>
      <c r="R247" s="22"/>
      <c r="S247" s="22"/>
      <c r="T247" s="22"/>
      <c r="U247" s="22"/>
      <c r="V247" s="22"/>
      <c r="W247" s="22"/>
      <c r="X247" s="22"/>
      <c r="Y247" s="22"/>
      <c r="Z247" s="22"/>
      <c r="AA247" s="22"/>
      <c r="AB247" s="22"/>
      <c r="AC247" s="22"/>
      <c r="AD247" s="22"/>
      <c r="AE247" s="22"/>
      <c r="AF247" s="22"/>
      <c r="AG247" s="22"/>
      <c r="AH247" s="22"/>
      <c r="AI247" s="22"/>
      <c r="AJ247" s="22"/>
      <c r="AK247" s="22"/>
      <c r="AL247" s="22"/>
      <c r="AM247" s="22"/>
      <c r="AN247" s="22"/>
    </row>
    <row r="248" spans="1:40" x14ac:dyDescent="0.25">
      <c r="A248" s="22"/>
      <c r="B248" s="22"/>
      <c r="C248" s="22"/>
      <c r="D248" s="22"/>
      <c r="E248" s="22"/>
      <c r="F248" s="22"/>
      <c r="G248" s="22"/>
      <c r="H248" s="22"/>
      <c r="I248" s="22"/>
      <c r="J248" s="22"/>
      <c r="K248" s="22"/>
      <c r="L248" s="22"/>
      <c r="M248" s="22"/>
      <c r="N248" s="22"/>
      <c r="O248" s="22"/>
      <c r="P248" s="22"/>
      <c r="Q248" s="22"/>
      <c r="R248" s="22"/>
      <c r="S248" s="22"/>
      <c r="T248" s="22"/>
      <c r="U248" s="22"/>
      <c r="V248" s="22"/>
      <c r="W248" s="22"/>
      <c r="X248" s="22"/>
      <c r="Y248" s="22"/>
      <c r="Z248" s="22"/>
      <c r="AA248" s="22"/>
      <c r="AB248" s="22"/>
      <c r="AC248" s="22"/>
      <c r="AD248" s="22"/>
      <c r="AE248" s="22"/>
      <c r="AF248" s="22"/>
      <c r="AG248" s="22"/>
      <c r="AH248" s="22"/>
      <c r="AI248" s="22"/>
      <c r="AJ248" s="22"/>
      <c r="AK248" s="22"/>
      <c r="AL248" s="22"/>
      <c r="AM248" s="22"/>
      <c r="AN248" s="22"/>
    </row>
    <row r="249" spans="1:40" x14ac:dyDescent="0.25">
      <c r="A249" s="22"/>
      <c r="B249" s="22"/>
      <c r="C249" s="22"/>
      <c r="D249" s="22"/>
      <c r="E249" s="22"/>
      <c r="F249" s="22"/>
      <c r="G249" s="22"/>
      <c r="H249" s="22"/>
      <c r="I249" s="22"/>
      <c r="J249" s="22"/>
      <c r="K249" s="22"/>
      <c r="L249" s="22"/>
      <c r="M249" s="22"/>
      <c r="N249" s="22"/>
      <c r="O249" s="22"/>
      <c r="P249" s="22"/>
      <c r="Q249" s="22"/>
      <c r="R249" s="22"/>
      <c r="S249" s="22"/>
      <c r="T249" s="22"/>
      <c r="U249" s="22"/>
      <c r="V249" s="22"/>
      <c r="W249" s="22"/>
      <c r="X249" s="22"/>
      <c r="Y249" s="22"/>
      <c r="Z249" s="22"/>
      <c r="AA249" s="22"/>
      <c r="AB249" s="22"/>
      <c r="AC249" s="22"/>
      <c r="AD249" s="22"/>
      <c r="AE249" s="22"/>
      <c r="AF249" s="22"/>
      <c r="AG249" s="22"/>
      <c r="AH249" s="22"/>
      <c r="AI249" s="22"/>
      <c r="AJ249" s="22"/>
      <c r="AK249" s="22"/>
      <c r="AL249" s="22"/>
      <c r="AM249" s="22"/>
      <c r="AN249" s="22"/>
    </row>
    <row r="250" spans="1:40" x14ac:dyDescent="0.25">
      <c r="A250" s="22"/>
      <c r="B250" s="22"/>
      <c r="C250" s="22"/>
      <c r="D250" s="22"/>
      <c r="E250" s="22"/>
      <c r="F250" s="22"/>
      <c r="G250" s="22"/>
      <c r="H250" s="22"/>
      <c r="I250" s="22"/>
      <c r="J250" s="22"/>
      <c r="K250" s="22"/>
      <c r="L250" s="22"/>
      <c r="M250" s="22"/>
      <c r="N250" s="22"/>
      <c r="O250" s="22"/>
      <c r="P250" s="22"/>
      <c r="Q250" s="22"/>
      <c r="R250" s="22"/>
      <c r="S250" s="22"/>
      <c r="T250" s="22"/>
      <c r="U250" s="22"/>
      <c r="V250" s="22"/>
      <c r="W250" s="22"/>
      <c r="X250" s="22"/>
      <c r="Y250" s="22"/>
      <c r="Z250" s="22"/>
      <c r="AA250" s="22"/>
      <c r="AB250" s="22"/>
      <c r="AC250" s="22"/>
      <c r="AD250" s="22"/>
      <c r="AE250" s="22"/>
      <c r="AF250" s="22"/>
      <c r="AG250" s="22"/>
      <c r="AH250" s="22"/>
      <c r="AI250" s="22"/>
      <c r="AJ250" s="22"/>
      <c r="AK250" s="22"/>
      <c r="AL250" s="22"/>
      <c r="AM250" s="22"/>
      <c r="AN250" s="22"/>
    </row>
    <row r="251" spans="1:40" x14ac:dyDescent="0.25">
      <c r="A251" s="22"/>
      <c r="B251" s="22"/>
      <c r="C251" s="22"/>
      <c r="D251" s="22"/>
      <c r="E251" s="22"/>
      <c r="F251" s="22"/>
      <c r="G251" s="22"/>
      <c r="H251" s="22"/>
      <c r="I251" s="22"/>
      <c r="J251" s="22"/>
      <c r="K251" s="22"/>
      <c r="L251" s="22"/>
      <c r="M251" s="22"/>
      <c r="N251" s="22"/>
      <c r="O251" s="22"/>
      <c r="P251" s="22"/>
      <c r="Q251" s="22"/>
      <c r="R251" s="22"/>
      <c r="S251" s="22"/>
      <c r="T251" s="22"/>
      <c r="U251" s="22"/>
      <c r="V251" s="22"/>
      <c r="W251" s="22"/>
      <c r="X251" s="22"/>
      <c r="Y251" s="22"/>
      <c r="Z251" s="22"/>
      <c r="AA251" s="22"/>
      <c r="AB251" s="22"/>
      <c r="AC251" s="22"/>
      <c r="AD251" s="22"/>
      <c r="AE251" s="22"/>
      <c r="AF251" s="22"/>
      <c r="AG251" s="22"/>
      <c r="AH251" s="22"/>
      <c r="AI251" s="22"/>
      <c r="AJ251" s="22"/>
      <c r="AK251" s="22"/>
      <c r="AL251" s="22"/>
      <c r="AM251" s="22"/>
      <c r="AN251" s="22"/>
    </row>
    <row r="252" spans="1:40" x14ac:dyDescent="0.25">
      <c r="A252" s="22"/>
      <c r="B252" s="22"/>
      <c r="C252" s="22"/>
      <c r="D252" s="22"/>
      <c r="E252" s="22"/>
      <c r="F252" s="22"/>
      <c r="G252" s="22"/>
      <c r="H252" s="22"/>
      <c r="I252" s="22"/>
      <c r="J252" s="22"/>
      <c r="K252" s="22"/>
      <c r="L252" s="22"/>
      <c r="M252" s="22"/>
      <c r="N252" s="22"/>
      <c r="O252" s="22"/>
      <c r="P252" s="22"/>
      <c r="Q252" s="22"/>
      <c r="R252" s="22"/>
      <c r="S252" s="22"/>
      <c r="T252" s="22"/>
      <c r="U252" s="22"/>
      <c r="V252" s="22"/>
      <c r="W252" s="22"/>
      <c r="X252" s="22"/>
      <c r="Y252" s="22"/>
      <c r="Z252" s="22"/>
      <c r="AA252" s="22"/>
      <c r="AB252" s="22"/>
      <c r="AC252" s="22"/>
      <c r="AD252" s="22"/>
      <c r="AE252" s="22"/>
      <c r="AF252" s="22"/>
      <c r="AG252" s="22"/>
      <c r="AH252" s="22"/>
      <c r="AI252" s="22"/>
      <c r="AJ252" s="22"/>
      <c r="AK252" s="22"/>
      <c r="AL252" s="22"/>
      <c r="AM252" s="22"/>
      <c r="AN252" s="22"/>
    </row>
    <row r="253" spans="1:40" x14ac:dyDescent="0.25">
      <c r="A253" s="22"/>
      <c r="B253" s="22"/>
      <c r="C253" s="22"/>
      <c r="D253" s="22"/>
      <c r="E253" s="22"/>
      <c r="F253" s="22"/>
      <c r="G253" s="22"/>
      <c r="H253" s="22"/>
      <c r="I253" s="22"/>
      <c r="J253" s="22"/>
      <c r="K253" s="22"/>
      <c r="L253" s="22"/>
      <c r="M253" s="22"/>
      <c r="N253" s="22"/>
      <c r="O253" s="22"/>
      <c r="P253" s="22"/>
      <c r="Q253" s="22"/>
      <c r="R253" s="22"/>
      <c r="S253" s="22"/>
      <c r="T253" s="22"/>
      <c r="U253" s="22"/>
      <c r="V253" s="22"/>
      <c r="W253" s="22"/>
      <c r="X253" s="22"/>
      <c r="Y253" s="22"/>
      <c r="Z253" s="22"/>
      <c r="AA253" s="22"/>
      <c r="AB253" s="22"/>
      <c r="AC253" s="22"/>
      <c r="AD253" s="22"/>
      <c r="AE253" s="22"/>
      <c r="AF253" s="22"/>
      <c r="AG253" s="22"/>
      <c r="AH253" s="22"/>
      <c r="AI253" s="22"/>
      <c r="AJ253" s="22"/>
      <c r="AK253" s="22"/>
      <c r="AL253" s="22"/>
      <c r="AM253" s="22"/>
      <c r="AN253" s="22"/>
    </row>
    <row r="254" spans="1:40" x14ac:dyDescent="0.25">
      <c r="A254" s="22"/>
      <c r="B254" s="22"/>
      <c r="C254" s="22"/>
      <c r="D254" s="22"/>
      <c r="E254" s="22"/>
      <c r="F254" s="22"/>
      <c r="G254" s="22"/>
      <c r="H254" s="22"/>
      <c r="I254" s="22"/>
      <c r="J254" s="22"/>
      <c r="K254" s="22"/>
      <c r="L254" s="22"/>
      <c r="M254" s="22"/>
      <c r="N254" s="22"/>
      <c r="O254" s="22"/>
      <c r="P254" s="22"/>
      <c r="Q254" s="22"/>
      <c r="R254" s="22"/>
      <c r="S254" s="22"/>
      <c r="T254" s="22"/>
      <c r="U254" s="22"/>
      <c r="V254" s="22"/>
      <c r="W254" s="22"/>
      <c r="X254" s="22"/>
      <c r="Y254" s="22"/>
      <c r="Z254" s="22"/>
      <c r="AA254" s="22"/>
      <c r="AB254" s="22"/>
      <c r="AC254" s="22"/>
      <c r="AD254" s="22"/>
      <c r="AE254" s="22"/>
      <c r="AF254" s="22"/>
      <c r="AG254" s="22"/>
      <c r="AH254" s="22"/>
      <c r="AI254" s="22"/>
      <c r="AJ254" s="22"/>
      <c r="AK254" s="22"/>
      <c r="AL254" s="22"/>
      <c r="AM254" s="22"/>
      <c r="AN254" s="22"/>
    </row>
    <row r="255" spans="1:40" x14ac:dyDescent="0.25">
      <c r="A255" s="22"/>
      <c r="B255" s="22"/>
      <c r="C255" s="22"/>
      <c r="D255" s="22"/>
      <c r="E255" s="22"/>
      <c r="F255" s="22"/>
      <c r="G255" s="22"/>
      <c r="H255" s="22"/>
      <c r="I255" s="22"/>
      <c r="J255" s="22"/>
      <c r="K255" s="22"/>
      <c r="L255" s="22"/>
      <c r="M255" s="22"/>
      <c r="N255" s="22"/>
      <c r="O255" s="22"/>
      <c r="P255" s="22"/>
      <c r="Q255" s="22"/>
      <c r="R255" s="22"/>
      <c r="S255" s="22"/>
      <c r="T255" s="22"/>
      <c r="U255" s="22"/>
      <c r="V255" s="22"/>
      <c r="W255" s="22"/>
      <c r="X255" s="22"/>
      <c r="Y255" s="22"/>
      <c r="Z255" s="22"/>
      <c r="AA255" s="22"/>
      <c r="AB255" s="22"/>
      <c r="AC255" s="22"/>
      <c r="AD255" s="22"/>
      <c r="AE255" s="22"/>
      <c r="AF255" s="22"/>
      <c r="AG255" s="22"/>
      <c r="AH255" s="22"/>
      <c r="AI255" s="22"/>
      <c r="AJ255" s="22"/>
      <c r="AK255" s="22"/>
      <c r="AL255" s="22"/>
      <c r="AM255" s="22"/>
      <c r="AN255" s="22"/>
    </row>
    <row r="256" spans="1:40" x14ac:dyDescent="0.25">
      <c r="A256" s="22"/>
      <c r="B256" s="22"/>
      <c r="C256" s="22"/>
      <c r="D256" s="22"/>
      <c r="E256" s="22"/>
      <c r="F256" s="22"/>
      <c r="G256" s="22"/>
      <c r="H256" s="22"/>
      <c r="I256" s="22"/>
      <c r="J256" s="22"/>
      <c r="K256" s="22"/>
      <c r="L256" s="22"/>
      <c r="M256" s="22"/>
      <c r="N256" s="22"/>
      <c r="O256" s="22"/>
      <c r="P256" s="22"/>
      <c r="Q256" s="22"/>
      <c r="R256" s="22"/>
      <c r="S256" s="22"/>
      <c r="T256" s="22"/>
      <c r="U256" s="22"/>
      <c r="V256" s="22"/>
      <c r="W256" s="22"/>
      <c r="X256" s="22"/>
      <c r="Y256" s="22"/>
      <c r="Z256" s="22"/>
      <c r="AA256" s="22"/>
      <c r="AB256" s="22"/>
      <c r="AC256" s="22"/>
      <c r="AD256" s="22"/>
      <c r="AE256" s="22"/>
      <c r="AF256" s="22"/>
      <c r="AG256" s="22"/>
      <c r="AH256" s="22"/>
      <c r="AI256" s="22"/>
      <c r="AJ256" s="22"/>
      <c r="AK256" s="22"/>
      <c r="AL256" s="22"/>
      <c r="AM256" s="22"/>
      <c r="AN256" s="22"/>
    </row>
    <row r="257" spans="1:40" x14ac:dyDescent="0.25">
      <c r="A257" s="22"/>
      <c r="B257" s="22"/>
      <c r="C257" s="22"/>
      <c r="D257" s="22"/>
      <c r="E257" s="22"/>
      <c r="F257" s="22"/>
      <c r="G257" s="22"/>
      <c r="H257" s="22"/>
      <c r="I257" s="22"/>
      <c r="J257" s="22"/>
      <c r="K257" s="22"/>
      <c r="L257" s="22"/>
      <c r="M257" s="22"/>
      <c r="N257" s="22"/>
      <c r="O257" s="22"/>
      <c r="P257" s="22"/>
      <c r="Q257" s="22"/>
      <c r="R257" s="22"/>
      <c r="S257" s="22"/>
      <c r="T257" s="22"/>
      <c r="U257" s="22"/>
      <c r="V257" s="22"/>
      <c r="W257" s="22"/>
      <c r="X257" s="22"/>
      <c r="Y257" s="22"/>
      <c r="Z257" s="22"/>
      <c r="AA257" s="22"/>
      <c r="AB257" s="22"/>
      <c r="AC257" s="22"/>
      <c r="AD257" s="22"/>
      <c r="AE257" s="22"/>
      <c r="AF257" s="22"/>
      <c r="AG257" s="22"/>
      <c r="AH257" s="22"/>
      <c r="AI257" s="22"/>
      <c r="AJ257" s="22"/>
      <c r="AK257" s="22"/>
      <c r="AL257" s="22"/>
      <c r="AM257" s="22"/>
      <c r="AN257" s="22"/>
    </row>
    <row r="258" spans="1:40" x14ac:dyDescent="0.25">
      <c r="A258" s="22"/>
      <c r="B258" s="22"/>
      <c r="C258" s="22"/>
      <c r="D258" s="22"/>
      <c r="E258" s="22"/>
      <c r="F258" s="22"/>
      <c r="G258" s="22"/>
      <c r="H258" s="22"/>
      <c r="I258" s="22"/>
      <c r="J258" s="22"/>
      <c r="K258" s="22"/>
      <c r="L258" s="22"/>
      <c r="M258" s="22"/>
      <c r="N258" s="22"/>
      <c r="O258" s="22"/>
      <c r="P258" s="22"/>
      <c r="Q258" s="22"/>
      <c r="R258" s="22"/>
      <c r="S258" s="22"/>
      <c r="T258" s="22"/>
      <c r="U258" s="22"/>
      <c r="V258" s="22"/>
      <c r="W258" s="22"/>
      <c r="X258" s="22"/>
      <c r="Y258" s="22"/>
      <c r="Z258" s="22"/>
      <c r="AA258" s="22"/>
      <c r="AB258" s="22"/>
      <c r="AC258" s="22"/>
      <c r="AD258" s="22"/>
      <c r="AE258" s="22"/>
      <c r="AF258" s="22"/>
      <c r="AG258" s="22"/>
      <c r="AH258" s="22"/>
      <c r="AI258" s="22"/>
      <c r="AJ258" s="22"/>
      <c r="AK258" s="22"/>
      <c r="AL258" s="22"/>
      <c r="AM258" s="22"/>
      <c r="AN258" s="22"/>
    </row>
    <row r="259" spans="1:40" x14ac:dyDescent="0.25">
      <c r="A259" s="22"/>
      <c r="B259" s="22"/>
      <c r="C259" s="22"/>
      <c r="D259" s="22"/>
      <c r="E259" s="22"/>
      <c r="F259" s="22"/>
      <c r="G259" s="22"/>
      <c r="H259" s="22"/>
      <c r="I259" s="22"/>
      <c r="J259" s="22"/>
      <c r="K259" s="22"/>
      <c r="L259" s="22"/>
      <c r="M259" s="22"/>
      <c r="N259" s="22"/>
      <c r="O259" s="22"/>
      <c r="P259" s="22"/>
      <c r="Q259" s="22"/>
      <c r="R259" s="22"/>
      <c r="S259" s="22"/>
      <c r="T259" s="22"/>
      <c r="U259" s="22"/>
      <c r="V259" s="22"/>
      <c r="W259" s="22"/>
      <c r="X259" s="22"/>
      <c r="Y259" s="22"/>
      <c r="Z259" s="22"/>
      <c r="AA259" s="22"/>
      <c r="AB259" s="22"/>
      <c r="AC259" s="22"/>
      <c r="AD259" s="22"/>
      <c r="AE259" s="22"/>
      <c r="AF259" s="22"/>
      <c r="AG259" s="22"/>
      <c r="AH259" s="22"/>
      <c r="AI259" s="22"/>
      <c r="AJ259" s="22"/>
      <c r="AK259" s="22"/>
      <c r="AL259" s="22"/>
      <c r="AM259" s="22"/>
      <c r="AN259" s="22"/>
    </row>
    <row r="260" spans="1:40" x14ac:dyDescent="0.25">
      <c r="A260" s="22"/>
      <c r="B260" s="22"/>
      <c r="C260" s="22"/>
      <c r="D260" s="22"/>
      <c r="E260" s="22"/>
      <c r="F260" s="22"/>
      <c r="G260" s="22"/>
      <c r="H260" s="22"/>
      <c r="I260" s="22"/>
      <c r="J260" s="22"/>
      <c r="K260" s="22"/>
      <c r="L260" s="22"/>
      <c r="M260" s="22"/>
      <c r="N260" s="22"/>
      <c r="O260" s="22"/>
      <c r="P260" s="22"/>
      <c r="Q260" s="22"/>
      <c r="R260" s="22"/>
      <c r="S260" s="22"/>
      <c r="T260" s="22"/>
      <c r="U260" s="22"/>
      <c r="V260" s="22"/>
      <c r="W260" s="22"/>
      <c r="X260" s="22"/>
      <c r="Y260" s="22"/>
      <c r="Z260" s="22"/>
      <c r="AA260" s="22"/>
      <c r="AB260" s="22"/>
      <c r="AC260" s="22"/>
      <c r="AD260" s="22"/>
      <c r="AE260" s="22"/>
      <c r="AF260" s="22"/>
      <c r="AG260" s="22"/>
      <c r="AH260" s="22"/>
      <c r="AI260" s="22"/>
      <c r="AJ260" s="22"/>
      <c r="AK260" s="22"/>
      <c r="AL260" s="22"/>
      <c r="AM260" s="22"/>
      <c r="AN260" s="22"/>
    </row>
    <row r="261" spans="1:40" x14ac:dyDescent="0.25">
      <c r="A261" s="22"/>
      <c r="B261" s="22"/>
      <c r="C261" s="22"/>
      <c r="D261" s="22"/>
      <c r="E261" s="22"/>
      <c r="F261" s="22"/>
      <c r="G261" s="22"/>
      <c r="H261" s="22"/>
      <c r="I261" s="22"/>
      <c r="J261" s="22"/>
      <c r="K261" s="22"/>
      <c r="L261" s="22"/>
      <c r="M261" s="22"/>
      <c r="N261" s="22"/>
      <c r="O261" s="22"/>
      <c r="P261" s="22"/>
      <c r="Q261" s="22"/>
      <c r="R261" s="22"/>
      <c r="S261" s="22"/>
      <c r="T261" s="22"/>
      <c r="U261" s="22"/>
      <c r="V261" s="22"/>
      <c r="W261" s="22"/>
      <c r="X261" s="22"/>
      <c r="Y261" s="22"/>
      <c r="Z261" s="22"/>
      <c r="AA261" s="22"/>
      <c r="AB261" s="22"/>
      <c r="AC261" s="22"/>
      <c r="AD261" s="22"/>
      <c r="AE261" s="22"/>
      <c r="AF261" s="22"/>
      <c r="AG261" s="22"/>
      <c r="AH261" s="22"/>
      <c r="AI261" s="22"/>
      <c r="AJ261" s="22"/>
      <c r="AK261" s="22"/>
      <c r="AL261" s="22"/>
      <c r="AM261" s="22"/>
      <c r="AN261" s="22"/>
    </row>
    <row r="262" spans="1:40" x14ac:dyDescent="0.25">
      <c r="A262" s="22"/>
      <c r="B262" s="22"/>
      <c r="C262" s="22"/>
      <c r="D262" s="22"/>
      <c r="E262" s="22"/>
      <c r="F262" s="22"/>
      <c r="G262" s="22"/>
      <c r="H262" s="22"/>
      <c r="I262" s="22"/>
      <c r="J262" s="22"/>
      <c r="K262" s="22"/>
      <c r="L262" s="22"/>
      <c r="M262" s="22"/>
      <c r="N262" s="22"/>
      <c r="O262" s="22"/>
      <c r="P262" s="22"/>
      <c r="Q262" s="22"/>
      <c r="R262" s="22"/>
      <c r="S262" s="22"/>
      <c r="T262" s="22"/>
      <c r="U262" s="22"/>
      <c r="V262" s="22"/>
      <c r="W262" s="22"/>
      <c r="X262" s="22"/>
      <c r="Y262" s="22"/>
      <c r="Z262" s="22"/>
      <c r="AA262" s="22"/>
      <c r="AB262" s="22"/>
      <c r="AC262" s="22"/>
      <c r="AD262" s="22"/>
      <c r="AE262" s="22"/>
      <c r="AF262" s="22"/>
      <c r="AG262" s="22"/>
      <c r="AH262" s="22"/>
      <c r="AI262" s="22"/>
      <c r="AJ262" s="22"/>
      <c r="AK262" s="22"/>
      <c r="AL262" s="22"/>
      <c r="AM262" s="22"/>
      <c r="AN262" s="22"/>
    </row>
    <row r="263" spans="1:40" x14ac:dyDescent="0.25">
      <c r="A263" s="22"/>
      <c r="B263" s="22"/>
      <c r="C263" s="22"/>
      <c r="D263" s="22"/>
      <c r="E263" s="22"/>
      <c r="F263" s="22"/>
      <c r="G263" s="22"/>
      <c r="H263" s="22"/>
      <c r="I263" s="22"/>
      <c r="J263" s="22"/>
      <c r="K263" s="22"/>
      <c r="L263" s="22"/>
      <c r="M263" s="22"/>
      <c r="N263" s="22"/>
      <c r="O263" s="22"/>
      <c r="P263" s="22"/>
      <c r="Q263" s="22"/>
      <c r="R263" s="22"/>
      <c r="S263" s="22"/>
      <c r="T263" s="22"/>
      <c r="U263" s="22"/>
      <c r="V263" s="22"/>
      <c r="W263" s="22"/>
      <c r="X263" s="22"/>
      <c r="Y263" s="22"/>
      <c r="Z263" s="22"/>
      <c r="AA263" s="22"/>
      <c r="AB263" s="22"/>
      <c r="AC263" s="22"/>
      <c r="AD263" s="22"/>
      <c r="AE263" s="22"/>
      <c r="AF263" s="22"/>
      <c r="AG263" s="22"/>
      <c r="AH263" s="22"/>
      <c r="AI263" s="22"/>
      <c r="AJ263" s="22"/>
      <c r="AK263" s="22"/>
      <c r="AL263" s="22"/>
      <c r="AM263" s="22"/>
      <c r="AN263" s="22"/>
    </row>
    <row r="264" spans="1:40" x14ac:dyDescent="0.25">
      <c r="A264" s="22"/>
      <c r="B264" s="22"/>
      <c r="C264" s="22"/>
      <c r="D264" s="22"/>
      <c r="E264" s="22"/>
      <c r="F264" s="22"/>
      <c r="G264" s="22"/>
      <c r="H264" s="22"/>
      <c r="I264" s="22"/>
      <c r="J264" s="22"/>
      <c r="K264" s="22"/>
      <c r="L264" s="22"/>
      <c r="M264" s="22"/>
      <c r="N264" s="22"/>
      <c r="O264" s="22"/>
      <c r="P264" s="22"/>
      <c r="Q264" s="22"/>
      <c r="R264" s="22"/>
      <c r="S264" s="22"/>
      <c r="T264" s="22"/>
      <c r="U264" s="22"/>
      <c r="V264" s="22"/>
      <c r="W264" s="22"/>
      <c r="X264" s="22"/>
      <c r="Y264" s="22"/>
      <c r="Z264" s="22"/>
      <c r="AA264" s="22"/>
      <c r="AB264" s="22"/>
      <c r="AC264" s="22"/>
      <c r="AD264" s="22"/>
      <c r="AE264" s="22"/>
      <c r="AF264" s="22"/>
      <c r="AG264" s="22"/>
      <c r="AH264" s="22"/>
      <c r="AI264" s="22"/>
      <c r="AJ264" s="22"/>
      <c r="AK264" s="22"/>
      <c r="AL264" s="22"/>
      <c r="AM264" s="22"/>
      <c r="AN264" s="22"/>
    </row>
    <row r="265" spans="1:40" x14ac:dyDescent="0.25">
      <c r="A265" s="22"/>
      <c r="B265" s="22"/>
      <c r="C265" s="22"/>
      <c r="D265" s="22"/>
      <c r="E265" s="22"/>
      <c r="F265" s="22"/>
      <c r="G265" s="22"/>
      <c r="H265" s="22"/>
      <c r="I265" s="22"/>
      <c r="J265" s="22"/>
      <c r="K265" s="22"/>
      <c r="L265" s="22"/>
      <c r="M265" s="22"/>
      <c r="N265" s="22"/>
      <c r="O265" s="22"/>
      <c r="P265" s="22"/>
      <c r="Q265" s="22"/>
      <c r="R265" s="22"/>
      <c r="S265" s="22"/>
      <c r="T265" s="22"/>
      <c r="U265" s="22"/>
      <c r="V265" s="22"/>
      <c r="W265" s="22"/>
      <c r="X265" s="22"/>
      <c r="Y265" s="22"/>
      <c r="Z265" s="22"/>
      <c r="AA265" s="22"/>
      <c r="AB265" s="22"/>
      <c r="AC265" s="22"/>
      <c r="AD265" s="22"/>
      <c r="AE265" s="22"/>
      <c r="AF265" s="22"/>
      <c r="AG265" s="22"/>
      <c r="AH265" s="22"/>
      <c r="AI265" s="22"/>
      <c r="AJ265" s="22"/>
      <c r="AK265" s="22"/>
      <c r="AL265" s="22"/>
      <c r="AM265" s="22"/>
      <c r="AN265" s="22"/>
    </row>
    <row r="266" spans="1:40" x14ac:dyDescent="0.25">
      <c r="A266" s="22"/>
      <c r="B266" s="22"/>
      <c r="C266" s="22"/>
      <c r="D266" s="22"/>
      <c r="E266" s="22"/>
      <c r="F266" s="22"/>
      <c r="G266" s="22"/>
      <c r="H266" s="22"/>
      <c r="I266" s="22"/>
      <c r="J266" s="22"/>
      <c r="K266" s="22"/>
      <c r="L266" s="22"/>
      <c r="M266" s="22"/>
      <c r="N266" s="22"/>
      <c r="O266" s="22"/>
      <c r="P266" s="22"/>
      <c r="Q266" s="22"/>
      <c r="R266" s="22"/>
      <c r="S266" s="22"/>
      <c r="T266" s="22"/>
      <c r="U266" s="22"/>
      <c r="V266" s="22"/>
      <c r="W266" s="22"/>
      <c r="X266" s="22"/>
      <c r="Y266" s="22"/>
      <c r="Z266" s="22"/>
      <c r="AA266" s="22"/>
      <c r="AB266" s="22"/>
      <c r="AC266" s="22"/>
      <c r="AD266" s="22"/>
      <c r="AE266" s="22"/>
      <c r="AF266" s="22"/>
      <c r="AG266" s="22"/>
      <c r="AH266" s="22"/>
      <c r="AI266" s="22"/>
      <c r="AJ266" s="22"/>
      <c r="AK266" s="22"/>
      <c r="AL266" s="22"/>
      <c r="AM266" s="22"/>
      <c r="AN266" s="22"/>
    </row>
    <row r="267" spans="1:40" x14ac:dyDescent="0.25">
      <c r="A267" s="22"/>
      <c r="B267" s="22"/>
      <c r="C267" s="22"/>
      <c r="D267" s="22"/>
      <c r="E267" s="22"/>
      <c r="F267" s="22"/>
      <c r="G267" s="22"/>
      <c r="H267" s="22"/>
      <c r="I267" s="22"/>
      <c r="J267" s="22"/>
      <c r="K267" s="22"/>
      <c r="L267" s="22"/>
      <c r="M267" s="22"/>
      <c r="N267" s="22"/>
      <c r="O267" s="22"/>
      <c r="P267" s="22"/>
      <c r="Q267" s="22"/>
      <c r="R267" s="22"/>
      <c r="S267" s="22"/>
      <c r="T267" s="22"/>
      <c r="U267" s="22"/>
      <c r="V267" s="22"/>
      <c r="W267" s="22"/>
      <c r="X267" s="22"/>
      <c r="Y267" s="22"/>
      <c r="Z267" s="22"/>
      <c r="AA267" s="22"/>
      <c r="AB267" s="22"/>
      <c r="AC267" s="22"/>
      <c r="AD267" s="22"/>
      <c r="AE267" s="22"/>
      <c r="AF267" s="22"/>
      <c r="AG267" s="22"/>
      <c r="AH267" s="22"/>
      <c r="AI267" s="22"/>
      <c r="AJ267" s="22"/>
      <c r="AK267" s="22"/>
      <c r="AL267" s="22"/>
      <c r="AM267" s="22"/>
      <c r="AN267" s="22"/>
    </row>
    <row r="268" spans="1:40" x14ac:dyDescent="0.25">
      <c r="A268" s="22"/>
      <c r="B268" s="22"/>
      <c r="C268" s="22"/>
      <c r="D268" s="22"/>
      <c r="E268" s="22"/>
      <c r="F268" s="22"/>
      <c r="G268" s="22"/>
      <c r="H268" s="22"/>
      <c r="I268" s="22"/>
      <c r="J268" s="22"/>
      <c r="K268" s="22"/>
      <c r="L268" s="22"/>
      <c r="M268" s="22"/>
      <c r="N268" s="22"/>
      <c r="O268" s="22"/>
      <c r="P268" s="22"/>
      <c r="Q268" s="22"/>
      <c r="R268" s="22"/>
      <c r="S268" s="22"/>
      <c r="T268" s="22"/>
      <c r="U268" s="22"/>
      <c r="V268" s="22"/>
      <c r="W268" s="22"/>
      <c r="X268" s="22"/>
      <c r="Y268" s="22"/>
      <c r="Z268" s="22"/>
      <c r="AA268" s="22"/>
      <c r="AB268" s="22"/>
      <c r="AC268" s="22"/>
      <c r="AD268" s="22"/>
      <c r="AE268" s="22"/>
      <c r="AF268" s="22"/>
      <c r="AG268" s="22"/>
      <c r="AH268" s="22"/>
      <c r="AI268" s="22"/>
      <c r="AJ268" s="22"/>
      <c r="AK268" s="22"/>
      <c r="AL268" s="22"/>
      <c r="AM268" s="22"/>
      <c r="AN268" s="22"/>
    </row>
    <row r="269" spans="1:40" x14ac:dyDescent="0.25">
      <c r="A269" s="22"/>
      <c r="B269" s="22"/>
      <c r="C269" s="22"/>
      <c r="D269" s="22"/>
      <c r="E269" s="22"/>
      <c r="F269" s="22"/>
      <c r="G269" s="22"/>
      <c r="H269" s="22"/>
      <c r="I269" s="22"/>
      <c r="J269" s="22"/>
      <c r="K269" s="22"/>
      <c r="L269" s="22"/>
      <c r="M269" s="22"/>
      <c r="N269" s="22"/>
      <c r="O269" s="22"/>
      <c r="P269" s="22"/>
      <c r="Q269" s="22"/>
      <c r="R269" s="22"/>
      <c r="S269" s="22"/>
      <c r="T269" s="22"/>
      <c r="U269" s="22"/>
      <c r="V269" s="22"/>
      <c r="W269" s="22"/>
      <c r="X269" s="22"/>
      <c r="Y269" s="22"/>
      <c r="Z269" s="22"/>
      <c r="AA269" s="22"/>
      <c r="AB269" s="22"/>
      <c r="AC269" s="22"/>
      <c r="AD269" s="22"/>
      <c r="AE269" s="22"/>
      <c r="AF269" s="22"/>
      <c r="AG269" s="22"/>
      <c r="AH269" s="22"/>
      <c r="AI269" s="22"/>
      <c r="AJ269" s="22"/>
      <c r="AK269" s="22"/>
      <c r="AL269" s="22"/>
      <c r="AM269" s="22"/>
      <c r="AN269" s="22"/>
    </row>
    <row r="270" spans="1:40" x14ac:dyDescent="0.25">
      <c r="A270" s="22"/>
      <c r="B270" s="22"/>
      <c r="C270" s="22"/>
      <c r="D270" s="22"/>
      <c r="E270" s="22"/>
      <c r="F270" s="22"/>
      <c r="G270" s="22"/>
      <c r="H270" s="22"/>
      <c r="I270" s="22"/>
      <c r="J270" s="22"/>
      <c r="K270" s="22"/>
      <c r="L270" s="22"/>
      <c r="M270" s="22"/>
      <c r="N270" s="22"/>
      <c r="O270" s="22"/>
      <c r="P270" s="22"/>
      <c r="Q270" s="22"/>
      <c r="R270" s="22"/>
      <c r="S270" s="22"/>
      <c r="T270" s="22"/>
      <c r="U270" s="22"/>
      <c r="V270" s="22"/>
      <c r="W270" s="22"/>
      <c r="X270" s="22"/>
      <c r="Y270" s="22"/>
      <c r="Z270" s="22"/>
      <c r="AA270" s="22"/>
      <c r="AB270" s="22"/>
      <c r="AC270" s="22"/>
      <c r="AD270" s="22"/>
      <c r="AE270" s="22"/>
      <c r="AF270" s="22"/>
      <c r="AG270" s="22"/>
      <c r="AH270" s="22"/>
      <c r="AI270" s="22"/>
      <c r="AJ270" s="22"/>
      <c r="AK270" s="22"/>
      <c r="AL270" s="22"/>
      <c r="AM270" s="22"/>
      <c r="AN270" s="22"/>
    </row>
    <row r="271" spans="1:40" x14ac:dyDescent="0.25">
      <c r="A271" s="22"/>
      <c r="B271" s="22"/>
      <c r="C271" s="22"/>
      <c r="D271" s="22"/>
      <c r="E271" s="22"/>
      <c r="F271" s="22"/>
      <c r="G271" s="22"/>
      <c r="H271" s="22"/>
      <c r="I271" s="22"/>
      <c r="J271" s="22"/>
      <c r="K271" s="22"/>
      <c r="L271" s="22"/>
      <c r="M271" s="22"/>
      <c r="N271" s="22"/>
      <c r="O271" s="22"/>
      <c r="P271" s="22"/>
      <c r="Q271" s="22"/>
      <c r="R271" s="22"/>
      <c r="S271" s="22"/>
      <c r="T271" s="22"/>
      <c r="U271" s="22"/>
      <c r="V271" s="22"/>
      <c r="W271" s="22"/>
      <c r="X271" s="22"/>
      <c r="Y271" s="22"/>
      <c r="Z271" s="22"/>
      <c r="AA271" s="22"/>
      <c r="AB271" s="22"/>
      <c r="AC271" s="22"/>
      <c r="AD271" s="22"/>
      <c r="AE271" s="22"/>
      <c r="AF271" s="22"/>
      <c r="AG271" s="22"/>
      <c r="AH271" s="22"/>
      <c r="AI271" s="22"/>
      <c r="AJ271" s="22"/>
      <c r="AK271" s="22"/>
      <c r="AL271" s="22"/>
      <c r="AM271" s="22"/>
      <c r="AN271" s="22"/>
    </row>
    <row r="272" spans="1:40" x14ac:dyDescent="0.25">
      <c r="A272" s="22"/>
      <c r="B272" s="22"/>
      <c r="C272" s="22"/>
      <c r="D272" s="22"/>
      <c r="E272" s="22"/>
      <c r="F272" s="22"/>
      <c r="G272" s="22"/>
      <c r="H272" s="22"/>
      <c r="I272" s="22"/>
      <c r="J272" s="22"/>
      <c r="K272" s="22"/>
      <c r="L272" s="22"/>
      <c r="M272" s="22"/>
      <c r="N272" s="22"/>
      <c r="O272" s="22"/>
      <c r="P272" s="22"/>
      <c r="Q272" s="22"/>
      <c r="R272" s="22"/>
      <c r="S272" s="22"/>
      <c r="T272" s="22"/>
      <c r="U272" s="22"/>
      <c r="V272" s="22"/>
      <c r="W272" s="22"/>
      <c r="X272" s="22"/>
      <c r="Y272" s="22"/>
      <c r="Z272" s="22"/>
      <c r="AA272" s="22"/>
      <c r="AB272" s="22"/>
      <c r="AC272" s="22"/>
      <c r="AD272" s="22"/>
      <c r="AE272" s="22"/>
      <c r="AF272" s="22"/>
      <c r="AG272" s="22"/>
      <c r="AH272" s="22"/>
      <c r="AI272" s="22"/>
      <c r="AJ272" s="22"/>
      <c r="AK272" s="22"/>
      <c r="AL272" s="22"/>
      <c r="AM272" s="22"/>
      <c r="AN272" s="22"/>
    </row>
    <row r="273" spans="1:40" x14ac:dyDescent="0.25">
      <c r="A273" s="22"/>
      <c r="B273" s="22"/>
      <c r="C273" s="22"/>
      <c r="D273" s="22"/>
      <c r="E273" s="22"/>
      <c r="F273" s="22"/>
      <c r="G273" s="22"/>
      <c r="H273" s="22"/>
      <c r="I273" s="22"/>
      <c r="J273" s="22"/>
      <c r="K273" s="22"/>
      <c r="L273" s="22"/>
      <c r="M273" s="22"/>
      <c r="N273" s="22"/>
      <c r="O273" s="22"/>
      <c r="P273" s="22"/>
      <c r="Q273" s="22"/>
      <c r="R273" s="22"/>
      <c r="S273" s="22"/>
      <c r="T273" s="22"/>
      <c r="U273" s="22"/>
      <c r="V273" s="22"/>
      <c r="W273" s="22"/>
      <c r="X273" s="22"/>
      <c r="Y273" s="22"/>
      <c r="Z273" s="22"/>
      <c r="AA273" s="22"/>
      <c r="AB273" s="22"/>
      <c r="AC273" s="22"/>
      <c r="AD273" s="22"/>
      <c r="AE273" s="22"/>
      <c r="AF273" s="22"/>
      <c r="AG273" s="22"/>
      <c r="AH273" s="22"/>
      <c r="AI273" s="22"/>
      <c r="AJ273" s="22"/>
      <c r="AK273" s="22"/>
      <c r="AL273" s="22"/>
      <c r="AM273" s="22"/>
      <c r="AN273" s="22"/>
    </row>
    <row r="274" spans="1:40" x14ac:dyDescent="0.25">
      <c r="A274" s="22"/>
      <c r="B274" s="22"/>
      <c r="C274" s="22"/>
      <c r="D274" s="22"/>
      <c r="E274" s="22"/>
      <c r="F274" s="22"/>
      <c r="G274" s="22"/>
      <c r="H274" s="22"/>
      <c r="I274" s="22"/>
      <c r="J274" s="22"/>
      <c r="K274" s="22"/>
      <c r="L274" s="22"/>
      <c r="M274" s="22"/>
      <c r="N274" s="22"/>
      <c r="O274" s="22"/>
      <c r="P274" s="22"/>
      <c r="Q274" s="22"/>
      <c r="R274" s="22"/>
      <c r="S274" s="22"/>
      <c r="T274" s="22"/>
      <c r="U274" s="22"/>
      <c r="V274" s="22"/>
      <c r="W274" s="22"/>
      <c r="X274" s="22"/>
      <c r="Y274" s="22"/>
      <c r="Z274" s="22"/>
      <c r="AA274" s="22"/>
      <c r="AB274" s="22"/>
      <c r="AC274" s="22"/>
      <c r="AD274" s="22"/>
      <c r="AE274" s="22"/>
      <c r="AF274" s="22"/>
      <c r="AG274" s="22"/>
      <c r="AH274" s="22"/>
      <c r="AI274" s="22"/>
      <c r="AJ274" s="22"/>
      <c r="AK274" s="22"/>
      <c r="AL274" s="22"/>
      <c r="AM274" s="22"/>
      <c r="AN274" s="22"/>
    </row>
    <row r="275" spans="1:40" x14ac:dyDescent="0.25">
      <c r="A275" s="22"/>
      <c r="B275" s="22"/>
      <c r="C275" s="22"/>
      <c r="D275" s="22"/>
      <c r="E275" s="22"/>
      <c r="F275" s="22"/>
      <c r="G275" s="22"/>
      <c r="H275" s="22"/>
      <c r="I275" s="22"/>
      <c r="J275" s="22"/>
      <c r="K275" s="22"/>
      <c r="L275" s="22"/>
      <c r="M275" s="22"/>
      <c r="N275" s="22"/>
      <c r="O275" s="22"/>
      <c r="P275" s="22"/>
      <c r="Q275" s="22"/>
      <c r="R275" s="22"/>
      <c r="S275" s="22"/>
      <c r="T275" s="22"/>
      <c r="U275" s="22"/>
      <c r="V275" s="22"/>
      <c r="W275" s="22"/>
      <c r="X275" s="22"/>
      <c r="Y275" s="22"/>
      <c r="Z275" s="22"/>
      <c r="AA275" s="22"/>
      <c r="AB275" s="22"/>
      <c r="AC275" s="22"/>
      <c r="AD275" s="22"/>
      <c r="AE275" s="22"/>
      <c r="AF275" s="22"/>
      <c r="AG275" s="22"/>
      <c r="AH275" s="22"/>
      <c r="AI275" s="22"/>
      <c r="AJ275" s="22"/>
      <c r="AK275" s="22"/>
      <c r="AL275" s="22"/>
      <c r="AM275" s="22"/>
      <c r="AN275" s="22"/>
    </row>
    <row r="276" spans="1:40" x14ac:dyDescent="0.25">
      <c r="A276" s="22"/>
      <c r="B276" s="22"/>
      <c r="C276" s="22"/>
      <c r="D276" s="22"/>
      <c r="E276" s="22"/>
      <c r="F276" s="22"/>
      <c r="G276" s="22"/>
      <c r="H276" s="22"/>
      <c r="I276" s="22"/>
      <c r="J276" s="22"/>
      <c r="K276" s="22"/>
      <c r="L276" s="22"/>
      <c r="M276" s="22"/>
      <c r="N276" s="22"/>
      <c r="O276" s="22"/>
      <c r="P276" s="22"/>
      <c r="Q276" s="22"/>
      <c r="R276" s="22"/>
      <c r="S276" s="22"/>
      <c r="T276" s="22"/>
      <c r="U276" s="22"/>
      <c r="V276" s="22"/>
      <c r="W276" s="22"/>
      <c r="X276" s="22"/>
      <c r="Y276" s="22"/>
      <c r="Z276" s="22"/>
      <c r="AA276" s="22"/>
      <c r="AB276" s="22"/>
      <c r="AC276" s="22"/>
      <c r="AD276" s="22"/>
      <c r="AE276" s="22"/>
      <c r="AF276" s="22"/>
      <c r="AG276" s="22"/>
      <c r="AH276" s="22"/>
      <c r="AI276" s="22"/>
      <c r="AJ276" s="22"/>
      <c r="AK276" s="22"/>
      <c r="AL276" s="22"/>
      <c r="AM276" s="22"/>
      <c r="AN276" s="22"/>
    </row>
    <row r="277" spans="1:40" x14ac:dyDescent="0.25">
      <c r="A277" s="22"/>
      <c r="B277" s="22"/>
      <c r="C277" s="22"/>
      <c r="D277" s="22"/>
      <c r="E277" s="22"/>
      <c r="F277" s="22"/>
      <c r="G277" s="22"/>
      <c r="H277" s="22"/>
      <c r="I277" s="22"/>
      <c r="J277" s="22"/>
      <c r="K277" s="22"/>
      <c r="L277" s="22"/>
      <c r="M277" s="22"/>
      <c r="N277" s="22"/>
      <c r="O277" s="22"/>
      <c r="P277" s="22"/>
      <c r="Q277" s="22"/>
      <c r="R277" s="22"/>
      <c r="S277" s="22"/>
      <c r="T277" s="22"/>
      <c r="U277" s="22"/>
      <c r="V277" s="22"/>
      <c r="W277" s="22"/>
      <c r="X277" s="22"/>
      <c r="Y277" s="22"/>
      <c r="Z277" s="22"/>
      <c r="AA277" s="22"/>
      <c r="AB277" s="22"/>
      <c r="AC277" s="22"/>
      <c r="AD277" s="22"/>
      <c r="AE277" s="22"/>
      <c r="AF277" s="22"/>
      <c r="AG277" s="22"/>
      <c r="AH277" s="22"/>
      <c r="AI277" s="22"/>
      <c r="AJ277" s="22"/>
      <c r="AK277" s="22"/>
      <c r="AL277" s="22"/>
      <c r="AM277" s="22"/>
      <c r="AN277" s="22"/>
    </row>
    <row r="278" spans="1:40" x14ac:dyDescent="0.25">
      <c r="A278" s="22"/>
      <c r="B278" s="22"/>
      <c r="C278" s="22"/>
      <c r="D278" s="22"/>
      <c r="E278" s="22"/>
      <c r="F278" s="22"/>
      <c r="G278" s="22"/>
      <c r="H278" s="22"/>
      <c r="I278" s="22"/>
      <c r="J278" s="22"/>
      <c r="K278" s="22"/>
      <c r="L278" s="22"/>
      <c r="M278" s="22"/>
      <c r="N278" s="22"/>
      <c r="O278" s="22"/>
      <c r="P278" s="22"/>
      <c r="Q278" s="22"/>
      <c r="R278" s="22"/>
      <c r="S278" s="22"/>
      <c r="T278" s="22"/>
      <c r="U278" s="22"/>
      <c r="V278" s="22"/>
      <c r="W278" s="22"/>
      <c r="X278" s="22"/>
      <c r="Y278" s="22"/>
      <c r="Z278" s="22"/>
      <c r="AA278" s="22"/>
      <c r="AB278" s="22"/>
      <c r="AC278" s="22"/>
      <c r="AD278" s="22"/>
      <c r="AE278" s="22"/>
      <c r="AF278" s="22"/>
      <c r="AG278" s="22"/>
      <c r="AH278" s="22"/>
      <c r="AI278" s="22"/>
      <c r="AJ278" s="22"/>
      <c r="AK278" s="22"/>
      <c r="AL278" s="22"/>
      <c r="AM278" s="22"/>
      <c r="AN278" s="22"/>
    </row>
    <row r="279" spans="1:40" x14ac:dyDescent="0.25">
      <c r="A279" s="22"/>
      <c r="B279" s="22"/>
      <c r="C279" s="22"/>
      <c r="D279" s="22"/>
      <c r="E279" s="22"/>
      <c r="F279" s="22"/>
      <c r="G279" s="22"/>
      <c r="H279" s="22"/>
      <c r="I279" s="22"/>
      <c r="J279" s="22"/>
      <c r="K279" s="22"/>
      <c r="L279" s="22"/>
      <c r="M279" s="22"/>
      <c r="N279" s="22"/>
      <c r="O279" s="22"/>
      <c r="P279" s="22"/>
      <c r="Q279" s="22"/>
      <c r="R279" s="22"/>
      <c r="S279" s="22"/>
      <c r="T279" s="22"/>
      <c r="U279" s="22"/>
      <c r="V279" s="22"/>
      <c r="W279" s="22"/>
      <c r="X279" s="22"/>
      <c r="Y279" s="22"/>
      <c r="Z279" s="22"/>
      <c r="AA279" s="22"/>
      <c r="AB279" s="22"/>
      <c r="AC279" s="22"/>
      <c r="AD279" s="22"/>
      <c r="AE279" s="22"/>
      <c r="AF279" s="22"/>
      <c r="AG279" s="22"/>
      <c r="AH279" s="22"/>
      <c r="AI279" s="22"/>
      <c r="AJ279" s="22"/>
      <c r="AK279" s="22"/>
      <c r="AL279" s="22"/>
      <c r="AM279" s="22"/>
      <c r="AN279" s="22"/>
    </row>
    <row r="280" spans="1:40" x14ac:dyDescent="0.25">
      <c r="A280" s="22"/>
      <c r="B280" s="22"/>
      <c r="C280" s="22"/>
      <c r="D280" s="22"/>
      <c r="E280" s="22"/>
      <c r="F280" s="22"/>
      <c r="G280" s="22"/>
      <c r="H280" s="22"/>
      <c r="I280" s="22"/>
      <c r="J280" s="22"/>
      <c r="K280" s="22"/>
      <c r="L280" s="22"/>
      <c r="M280" s="22"/>
      <c r="N280" s="22"/>
      <c r="O280" s="22"/>
      <c r="P280" s="22"/>
      <c r="Q280" s="22"/>
      <c r="R280" s="22"/>
      <c r="S280" s="22"/>
      <c r="T280" s="22"/>
      <c r="U280" s="22"/>
      <c r="V280" s="22"/>
      <c r="W280" s="22"/>
      <c r="X280" s="22"/>
      <c r="Y280" s="22"/>
      <c r="Z280" s="22"/>
      <c r="AA280" s="22"/>
      <c r="AB280" s="22"/>
      <c r="AC280" s="22"/>
      <c r="AD280" s="22"/>
      <c r="AE280" s="22"/>
      <c r="AF280" s="22"/>
      <c r="AG280" s="22"/>
      <c r="AH280" s="22"/>
      <c r="AI280" s="22"/>
      <c r="AJ280" s="22"/>
      <c r="AK280" s="22"/>
      <c r="AL280" s="22"/>
      <c r="AM280" s="22"/>
      <c r="AN280" s="22"/>
    </row>
    <row r="281" spans="1:40" x14ac:dyDescent="0.25">
      <c r="A281" s="22"/>
      <c r="B281" s="22"/>
      <c r="C281" s="22"/>
      <c r="D281" s="22"/>
      <c r="E281" s="22"/>
      <c r="F281" s="22"/>
      <c r="G281" s="22"/>
      <c r="H281" s="22"/>
      <c r="I281" s="22"/>
      <c r="J281" s="22"/>
      <c r="K281" s="22"/>
      <c r="L281" s="22"/>
      <c r="M281" s="22"/>
      <c r="N281" s="22"/>
      <c r="O281" s="22"/>
      <c r="P281" s="22"/>
      <c r="Q281" s="22"/>
      <c r="R281" s="22"/>
      <c r="S281" s="22"/>
      <c r="T281" s="22"/>
      <c r="U281" s="22"/>
      <c r="V281" s="22"/>
      <c r="W281" s="22"/>
      <c r="X281" s="22"/>
      <c r="Y281" s="22"/>
      <c r="Z281" s="22"/>
      <c r="AA281" s="22"/>
      <c r="AB281" s="22"/>
      <c r="AC281" s="22"/>
      <c r="AD281" s="22"/>
      <c r="AE281" s="22"/>
      <c r="AF281" s="22"/>
      <c r="AG281" s="22"/>
      <c r="AH281" s="22"/>
      <c r="AI281" s="22"/>
      <c r="AJ281" s="22"/>
      <c r="AK281" s="22"/>
      <c r="AL281" s="22"/>
      <c r="AM281" s="22"/>
      <c r="AN281" s="22"/>
    </row>
    <row r="282" spans="1:40" x14ac:dyDescent="0.25">
      <c r="A282" s="22"/>
      <c r="B282" s="22"/>
      <c r="C282" s="22"/>
      <c r="D282" s="22"/>
      <c r="E282" s="22"/>
      <c r="F282" s="22"/>
      <c r="G282" s="22"/>
      <c r="H282" s="22"/>
      <c r="I282" s="22"/>
      <c r="J282" s="22"/>
      <c r="K282" s="22"/>
      <c r="L282" s="22"/>
      <c r="M282" s="22"/>
      <c r="N282" s="22"/>
      <c r="O282" s="22"/>
      <c r="P282" s="22"/>
      <c r="Q282" s="22"/>
      <c r="R282" s="22"/>
      <c r="S282" s="22"/>
      <c r="T282" s="22"/>
      <c r="U282" s="22"/>
      <c r="V282" s="22"/>
      <c r="W282" s="22"/>
      <c r="X282" s="22"/>
      <c r="Y282" s="22"/>
      <c r="Z282" s="22"/>
      <c r="AA282" s="22"/>
      <c r="AB282" s="22"/>
      <c r="AC282" s="22"/>
      <c r="AD282" s="22"/>
      <c r="AE282" s="22"/>
      <c r="AF282" s="22"/>
      <c r="AG282" s="22"/>
      <c r="AH282" s="22"/>
      <c r="AI282" s="22"/>
      <c r="AJ282" s="22"/>
      <c r="AK282" s="22"/>
      <c r="AL282" s="22"/>
      <c r="AM282" s="22"/>
      <c r="AN282" s="22"/>
    </row>
    <row r="283" spans="1:40" x14ac:dyDescent="0.25">
      <c r="A283" s="22"/>
      <c r="B283" s="22"/>
      <c r="C283" s="22"/>
      <c r="D283" s="22"/>
      <c r="E283" s="22"/>
      <c r="F283" s="22"/>
      <c r="G283" s="22"/>
      <c r="H283" s="22"/>
      <c r="I283" s="22"/>
      <c r="J283" s="22"/>
      <c r="K283" s="22"/>
      <c r="L283" s="22"/>
      <c r="M283" s="22"/>
      <c r="N283" s="22"/>
      <c r="O283" s="22"/>
      <c r="P283" s="22"/>
      <c r="Q283" s="22"/>
      <c r="R283" s="22"/>
      <c r="S283" s="22"/>
      <c r="T283" s="22"/>
      <c r="U283" s="22"/>
      <c r="V283" s="22"/>
      <c r="W283" s="22"/>
      <c r="X283" s="22"/>
      <c r="Y283" s="22"/>
      <c r="Z283" s="22"/>
      <c r="AA283" s="22"/>
      <c r="AB283" s="22"/>
      <c r="AC283" s="22"/>
      <c r="AD283" s="22"/>
      <c r="AE283" s="22"/>
      <c r="AF283" s="22"/>
      <c r="AG283" s="22"/>
      <c r="AH283" s="22"/>
      <c r="AI283" s="22"/>
      <c r="AJ283" s="22"/>
      <c r="AK283" s="22"/>
      <c r="AL283" s="22"/>
      <c r="AM283" s="22"/>
      <c r="AN283" s="22"/>
    </row>
    <row r="284" spans="1:40" x14ac:dyDescent="0.25">
      <c r="A284" s="22"/>
      <c r="B284" s="22"/>
      <c r="C284" s="22"/>
      <c r="D284" s="22"/>
      <c r="E284" s="22"/>
      <c r="F284" s="22"/>
      <c r="G284" s="22"/>
      <c r="H284" s="22"/>
      <c r="I284" s="22"/>
      <c r="J284" s="22"/>
      <c r="K284" s="22"/>
      <c r="L284" s="22"/>
      <c r="M284" s="22"/>
      <c r="N284" s="22"/>
      <c r="O284" s="22"/>
      <c r="P284" s="22"/>
      <c r="Q284" s="22"/>
      <c r="R284" s="22"/>
      <c r="S284" s="22"/>
      <c r="T284" s="22"/>
      <c r="U284" s="22"/>
      <c r="V284" s="22"/>
      <c r="W284" s="22"/>
      <c r="X284" s="22"/>
      <c r="Y284" s="22"/>
      <c r="Z284" s="22"/>
      <c r="AA284" s="22"/>
      <c r="AB284" s="22"/>
      <c r="AC284" s="22"/>
      <c r="AD284" s="22"/>
      <c r="AE284" s="22"/>
      <c r="AF284" s="22"/>
      <c r="AG284" s="22"/>
      <c r="AH284" s="22"/>
      <c r="AI284" s="22"/>
      <c r="AJ284" s="22"/>
      <c r="AK284" s="22"/>
      <c r="AL284" s="22"/>
      <c r="AM284" s="22"/>
      <c r="AN284" s="22"/>
    </row>
    <row r="285" spans="1:40" x14ac:dyDescent="0.25">
      <c r="A285" s="22"/>
      <c r="B285" s="22"/>
      <c r="C285" s="22"/>
      <c r="D285" s="22"/>
      <c r="E285" s="22"/>
      <c r="F285" s="22"/>
      <c r="G285" s="22"/>
      <c r="H285" s="22"/>
      <c r="I285" s="22"/>
      <c r="J285" s="22"/>
      <c r="K285" s="22"/>
      <c r="L285" s="22"/>
      <c r="M285" s="22"/>
      <c r="N285" s="22"/>
      <c r="O285" s="22"/>
      <c r="P285" s="22"/>
      <c r="Q285" s="22"/>
      <c r="R285" s="22"/>
      <c r="S285" s="22"/>
      <c r="T285" s="22"/>
      <c r="U285" s="22"/>
      <c r="V285" s="22"/>
      <c r="W285" s="22"/>
      <c r="X285" s="22"/>
      <c r="Y285" s="22"/>
      <c r="Z285" s="22"/>
      <c r="AA285" s="22"/>
      <c r="AB285" s="22"/>
      <c r="AC285" s="22"/>
      <c r="AD285" s="22"/>
      <c r="AE285" s="22"/>
      <c r="AF285" s="22"/>
      <c r="AG285" s="22"/>
      <c r="AH285" s="22"/>
      <c r="AI285" s="22"/>
      <c r="AJ285" s="22"/>
      <c r="AK285" s="22"/>
      <c r="AL285" s="22"/>
      <c r="AM285" s="22"/>
      <c r="AN285" s="22"/>
    </row>
    <row r="286" spans="1:40" x14ac:dyDescent="0.25">
      <c r="A286" s="22"/>
      <c r="B286" s="22"/>
      <c r="C286" s="22"/>
      <c r="D286" s="22"/>
      <c r="E286" s="22"/>
      <c r="F286" s="22"/>
      <c r="G286" s="22"/>
      <c r="H286" s="22"/>
      <c r="I286" s="22"/>
      <c r="J286" s="22"/>
      <c r="K286" s="22"/>
      <c r="L286" s="22"/>
      <c r="M286" s="22"/>
      <c r="N286" s="22"/>
      <c r="O286" s="22"/>
      <c r="P286" s="22"/>
      <c r="Q286" s="22"/>
      <c r="R286" s="22"/>
      <c r="S286" s="22"/>
      <c r="T286" s="22"/>
      <c r="U286" s="22"/>
      <c r="V286" s="22"/>
      <c r="W286" s="22"/>
      <c r="X286" s="22"/>
      <c r="Y286" s="22"/>
      <c r="Z286" s="22"/>
      <c r="AA286" s="22"/>
      <c r="AB286" s="22"/>
      <c r="AC286" s="22"/>
      <c r="AD286" s="22"/>
      <c r="AE286" s="22"/>
      <c r="AF286" s="22"/>
      <c r="AG286" s="22"/>
      <c r="AH286" s="22"/>
      <c r="AI286" s="22"/>
      <c r="AJ286" s="22"/>
      <c r="AK286" s="22"/>
      <c r="AL286" s="22"/>
      <c r="AM286" s="22"/>
      <c r="AN286" s="22"/>
    </row>
    <row r="287" spans="1:40" x14ac:dyDescent="0.25">
      <c r="A287" s="22"/>
      <c r="B287" s="22"/>
      <c r="C287" s="22"/>
      <c r="D287" s="22"/>
      <c r="E287" s="22"/>
      <c r="F287" s="22"/>
      <c r="G287" s="22"/>
      <c r="H287" s="22"/>
      <c r="I287" s="22"/>
      <c r="J287" s="22"/>
      <c r="K287" s="22"/>
      <c r="L287" s="22"/>
      <c r="M287" s="22"/>
      <c r="N287" s="22"/>
      <c r="O287" s="22"/>
      <c r="P287" s="22"/>
      <c r="Q287" s="22"/>
      <c r="R287" s="22"/>
      <c r="S287" s="22"/>
      <c r="T287" s="22"/>
      <c r="U287" s="22"/>
      <c r="V287" s="22"/>
      <c r="W287" s="22"/>
      <c r="X287" s="22"/>
      <c r="Y287" s="22"/>
      <c r="Z287" s="22"/>
      <c r="AA287" s="22"/>
      <c r="AB287" s="22"/>
      <c r="AC287" s="22"/>
      <c r="AD287" s="22"/>
      <c r="AE287" s="22"/>
      <c r="AF287" s="22"/>
      <c r="AG287" s="22"/>
      <c r="AH287" s="22"/>
      <c r="AI287" s="22"/>
      <c r="AJ287" s="22"/>
      <c r="AK287" s="22"/>
      <c r="AL287" s="22"/>
      <c r="AM287" s="22"/>
      <c r="AN287" s="22"/>
    </row>
    <row r="288" spans="1:40" x14ac:dyDescent="0.25">
      <c r="A288" s="22"/>
      <c r="B288" s="22"/>
      <c r="C288" s="22"/>
      <c r="D288" s="22"/>
      <c r="E288" s="22"/>
      <c r="F288" s="22"/>
      <c r="G288" s="22"/>
      <c r="H288" s="22"/>
      <c r="I288" s="22"/>
      <c r="J288" s="22"/>
      <c r="K288" s="22"/>
      <c r="L288" s="22"/>
      <c r="M288" s="22"/>
      <c r="N288" s="22"/>
      <c r="O288" s="22"/>
      <c r="P288" s="22"/>
      <c r="Q288" s="22"/>
      <c r="R288" s="22"/>
      <c r="S288" s="22"/>
      <c r="T288" s="22"/>
      <c r="U288" s="22"/>
      <c r="V288" s="22"/>
      <c r="W288" s="22"/>
      <c r="X288" s="22"/>
      <c r="Y288" s="22"/>
      <c r="Z288" s="22"/>
      <c r="AA288" s="22"/>
      <c r="AB288" s="22"/>
      <c r="AC288" s="22"/>
      <c r="AD288" s="22"/>
      <c r="AE288" s="22"/>
      <c r="AF288" s="22"/>
      <c r="AG288" s="22"/>
      <c r="AH288" s="22"/>
      <c r="AI288" s="22"/>
      <c r="AJ288" s="22"/>
      <c r="AK288" s="22"/>
      <c r="AL288" s="22"/>
      <c r="AM288" s="22"/>
      <c r="AN288" s="22"/>
    </row>
    <row r="289" spans="1:40" x14ac:dyDescent="0.25">
      <c r="A289" s="22"/>
      <c r="B289" s="22"/>
      <c r="C289" s="22"/>
      <c r="D289" s="22"/>
      <c r="E289" s="22"/>
      <c r="F289" s="22"/>
      <c r="G289" s="22"/>
      <c r="H289" s="22"/>
      <c r="I289" s="22"/>
      <c r="J289" s="22"/>
      <c r="K289" s="22"/>
      <c r="L289" s="22"/>
      <c r="M289" s="22"/>
      <c r="N289" s="22"/>
      <c r="O289" s="22"/>
      <c r="P289" s="22"/>
      <c r="Q289" s="22"/>
      <c r="R289" s="22"/>
      <c r="S289" s="22"/>
      <c r="T289" s="22"/>
      <c r="U289" s="22"/>
      <c r="V289" s="22"/>
      <c r="W289" s="22"/>
      <c r="X289" s="22"/>
      <c r="Y289" s="22"/>
      <c r="Z289" s="22"/>
      <c r="AA289" s="22"/>
      <c r="AB289" s="22"/>
      <c r="AC289" s="22"/>
      <c r="AD289" s="22"/>
      <c r="AE289" s="22"/>
      <c r="AF289" s="22"/>
      <c r="AG289" s="22"/>
      <c r="AH289" s="22"/>
      <c r="AI289" s="22"/>
      <c r="AJ289" s="22"/>
      <c r="AK289" s="22"/>
      <c r="AL289" s="22"/>
      <c r="AM289" s="22"/>
      <c r="AN289" s="22"/>
    </row>
    <row r="290" spans="1:40" x14ac:dyDescent="0.25">
      <c r="A290" s="22"/>
      <c r="B290" s="22"/>
      <c r="C290" s="22"/>
      <c r="D290" s="22"/>
      <c r="E290" s="22"/>
      <c r="F290" s="22"/>
      <c r="G290" s="22"/>
      <c r="H290" s="22"/>
      <c r="I290" s="22"/>
      <c r="J290" s="22"/>
      <c r="K290" s="22"/>
      <c r="L290" s="22"/>
      <c r="M290" s="22"/>
      <c r="N290" s="22"/>
      <c r="O290" s="22"/>
      <c r="P290" s="22"/>
      <c r="Q290" s="22"/>
      <c r="R290" s="22"/>
      <c r="S290" s="22"/>
      <c r="T290" s="22"/>
      <c r="U290" s="22"/>
      <c r="V290" s="22"/>
      <c r="W290" s="22"/>
      <c r="X290" s="22"/>
      <c r="Y290" s="22"/>
      <c r="Z290" s="22"/>
      <c r="AA290" s="22"/>
      <c r="AB290" s="22"/>
      <c r="AC290" s="22"/>
      <c r="AD290" s="22"/>
      <c r="AE290" s="22"/>
      <c r="AF290" s="22"/>
      <c r="AG290" s="22"/>
      <c r="AH290" s="22"/>
      <c r="AI290" s="22"/>
      <c r="AJ290" s="22"/>
      <c r="AK290" s="22"/>
      <c r="AL290" s="22"/>
      <c r="AM290" s="22"/>
      <c r="AN290" s="22"/>
    </row>
    <row r="291" spans="1:40" x14ac:dyDescent="0.25">
      <c r="A291" s="22"/>
      <c r="B291" s="22"/>
      <c r="C291" s="22"/>
      <c r="D291" s="22"/>
      <c r="E291" s="22"/>
      <c r="F291" s="22"/>
      <c r="G291" s="22"/>
      <c r="H291" s="22"/>
      <c r="I291" s="22"/>
      <c r="J291" s="22"/>
      <c r="K291" s="22"/>
      <c r="L291" s="22"/>
      <c r="M291" s="22"/>
      <c r="N291" s="22"/>
      <c r="O291" s="22"/>
      <c r="P291" s="22"/>
      <c r="Q291" s="22"/>
      <c r="R291" s="22"/>
      <c r="S291" s="22"/>
      <c r="T291" s="22"/>
      <c r="U291" s="22"/>
      <c r="V291" s="22"/>
      <c r="W291" s="22"/>
      <c r="X291" s="22"/>
      <c r="Y291" s="22"/>
      <c r="Z291" s="22"/>
      <c r="AA291" s="22"/>
      <c r="AB291" s="22"/>
      <c r="AC291" s="22"/>
      <c r="AD291" s="22"/>
      <c r="AE291" s="22"/>
      <c r="AF291" s="22"/>
      <c r="AG291" s="22"/>
      <c r="AH291" s="22"/>
      <c r="AI291" s="22"/>
      <c r="AJ291" s="22"/>
      <c r="AK291" s="22"/>
      <c r="AL291" s="22"/>
      <c r="AM291" s="22"/>
      <c r="AN291" s="22"/>
    </row>
    <row r="292" spans="1:40" x14ac:dyDescent="0.25">
      <c r="A292" s="22"/>
      <c r="B292" s="22"/>
      <c r="C292" s="22"/>
      <c r="D292" s="22"/>
      <c r="E292" s="22"/>
      <c r="F292" s="22"/>
      <c r="G292" s="22"/>
      <c r="H292" s="22"/>
      <c r="I292" s="22"/>
      <c r="J292" s="22"/>
      <c r="K292" s="22"/>
      <c r="L292" s="22"/>
      <c r="M292" s="22"/>
      <c r="N292" s="22"/>
      <c r="O292" s="22"/>
      <c r="P292" s="22"/>
      <c r="Q292" s="22"/>
      <c r="R292" s="22"/>
      <c r="S292" s="22"/>
      <c r="T292" s="22"/>
      <c r="U292" s="22"/>
      <c r="V292" s="22"/>
      <c r="W292" s="22"/>
      <c r="X292" s="22"/>
      <c r="Y292" s="22"/>
      <c r="Z292" s="22"/>
      <c r="AA292" s="22"/>
      <c r="AB292" s="22"/>
      <c r="AC292" s="22"/>
      <c r="AD292" s="22"/>
      <c r="AE292" s="22"/>
      <c r="AF292" s="22"/>
      <c r="AG292" s="22"/>
      <c r="AH292" s="22"/>
      <c r="AI292" s="22"/>
      <c r="AJ292" s="22"/>
      <c r="AK292" s="22"/>
      <c r="AL292" s="22"/>
      <c r="AM292" s="22"/>
      <c r="AN292" s="22"/>
    </row>
    <row r="293" spans="1:40" x14ac:dyDescent="0.25">
      <c r="A293" s="22"/>
      <c r="B293" s="22"/>
      <c r="C293" s="22"/>
      <c r="D293" s="22"/>
      <c r="E293" s="22"/>
      <c r="F293" s="22"/>
      <c r="G293" s="22"/>
      <c r="H293" s="22"/>
      <c r="I293" s="22"/>
      <c r="J293" s="22"/>
      <c r="K293" s="22"/>
      <c r="L293" s="22"/>
      <c r="M293" s="22"/>
      <c r="N293" s="22"/>
      <c r="O293" s="22"/>
      <c r="P293" s="22"/>
      <c r="Q293" s="22"/>
      <c r="R293" s="22"/>
      <c r="S293" s="22"/>
      <c r="T293" s="22"/>
      <c r="U293" s="22"/>
      <c r="V293" s="22"/>
      <c r="W293" s="22"/>
      <c r="X293" s="22"/>
      <c r="Y293" s="22"/>
      <c r="Z293" s="22"/>
      <c r="AA293" s="22"/>
      <c r="AB293" s="22"/>
      <c r="AC293" s="22"/>
      <c r="AD293" s="22"/>
      <c r="AE293" s="22"/>
      <c r="AF293" s="22"/>
      <c r="AG293" s="22"/>
      <c r="AH293" s="22"/>
      <c r="AI293" s="22"/>
      <c r="AJ293" s="22"/>
      <c r="AK293" s="22"/>
      <c r="AL293" s="22"/>
      <c r="AM293" s="22"/>
      <c r="AN293" s="22"/>
    </row>
    <row r="294" spans="1:40" x14ac:dyDescent="0.25">
      <c r="A294" s="22"/>
      <c r="B294" s="22"/>
      <c r="C294" s="22"/>
      <c r="D294" s="22"/>
      <c r="E294" s="22"/>
      <c r="F294" s="22"/>
      <c r="G294" s="22"/>
      <c r="H294" s="22"/>
      <c r="I294" s="22"/>
      <c r="J294" s="22"/>
      <c r="K294" s="22"/>
      <c r="L294" s="22"/>
      <c r="M294" s="22"/>
      <c r="N294" s="22"/>
      <c r="O294" s="22"/>
      <c r="P294" s="22"/>
      <c r="Q294" s="22"/>
      <c r="R294" s="22"/>
      <c r="S294" s="22"/>
      <c r="T294" s="22"/>
      <c r="U294" s="22"/>
      <c r="V294" s="22"/>
      <c r="W294" s="22"/>
      <c r="X294" s="22"/>
      <c r="Y294" s="22"/>
      <c r="Z294" s="22"/>
      <c r="AA294" s="22"/>
      <c r="AB294" s="22"/>
      <c r="AC294" s="22"/>
      <c r="AD294" s="22"/>
      <c r="AE294" s="22"/>
      <c r="AF294" s="22"/>
      <c r="AG294" s="22"/>
      <c r="AH294" s="22"/>
      <c r="AI294" s="22"/>
      <c r="AJ294" s="22"/>
      <c r="AK294" s="22"/>
      <c r="AL294" s="22"/>
      <c r="AM294" s="22"/>
      <c r="AN294" s="22"/>
    </row>
    <row r="295" spans="1:40" x14ac:dyDescent="0.25">
      <c r="A295" s="22"/>
      <c r="B295" s="22"/>
      <c r="C295" s="22"/>
      <c r="D295" s="22"/>
      <c r="E295" s="22"/>
      <c r="F295" s="22"/>
      <c r="G295" s="22"/>
      <c r="H295" s="22"/>
      <c r="I295" s="22"/>
      <c r="J295" s="22"/>
      <c r="K295" s="22"/>
      <c r="L295" s="22"/>
      <c r="M295" s="22"/>
      <c r="N295" s="22"/>
      <c r="O295" s="22"/>
      <c r="P295" s="22"/>
      <c r="Q295" s="22"/>
      <c r="R295" s="22"/>
      <c r="S295" s="22"/>
      <c r="T295" s="22"/>
      <c r="U295" s="22"/>
      <c r="V295" s="22"/>
      <c r="W295" s="22"/>
      <c r="X295" s="22"/>
      <c r="Y295" s="22"/>
      <c r="Z295" s="22"/>
      <c r="AA295" s="22"/>
      <c r="AB295" s="22"/>
      <c r="AC295" s="22"/>
      <c r="AD295" s="22"/>
      <c r="AE295" s="22"/>
      <c r="AF295" s="22"/>
      <c r="AG295" s="22"/>
      <c r="AH295" s="22"/>
      <c r="AI295" s="22"/>
      <c r="AJ295" s="22"/>
      <c r="AK295" s="22"/>
      <c r="AL295" s="22"/>
      <c r="AM295" s="22"/>
      <c r="AN295" s="22"/>
    </row>
    <row r="296" spans="1:40" x14ac:dyDescent="0.25">
      <c r="A296" s="22"/>
      <c r="B296" s="22"/>
      <c r="C296" s="22"/>
      <c r="D296" s="22"/>
      <c r="E296" s="22"/>
      <c r="F296" s="22"/>
      <c r="G296" s="22"/>
      <c r="H296" s="22"/>
      <c r="I296" s="22"/>
      <c r="J296" s="22"/>
      <c r="K296" s="22"/>
      <c r="L296" s="22"/>
      <c r="M296" s="22"/>
      <c r="N296" s="22"/>
      <c r="O296" s="22"/>
      <c r="P296" s="22"/>
      <c r="Q296" s="22"/>
      <c r="R296" s="22"/>
      <c r="S296" s="22"/>
      <c r="T296" s="22"/>
      <c r="U296" s="22"/>
      <c r="V296" s="22"/>
      <c r="W296" s="22"/>
      <c r="X296" s="22"/>
      <c r="Y296" s="22"/>
      <c r="Z296" s="22"/>
      <c r="AA296" s="22"/>
      <c r="AB296" s="22"/>
      <c r="AC296" s="22"/>
      <c r="AD296" s="22"/>
      <c r="AE296" s="22"/>
      <c r="AF296" s="22"/>
      <c r="AG296" s="22"/>
      <c r="AH296" s="22"/>
      <c r="AI296" s="22"/>
      <c r="AJ296" s="22"/>
      <c r="AK296" s="22"/>
      <c r="AL296" s="22"/>
      <c r="AM296" s="22"/>
      <c r="AN296" s="22"/>
    </row>
    <row r="297" spans="1:40" x14ac:dyDescent="0.25">
      <c r="A297" s="22"/>
      <c r="B297" s="22"/>
      <c r="C297" s="22"/>
      <c r="D297" s="22"/>
      <c r="E297" s="22"/>
      <c r="F297" s="22"/>
      <c r="G297" s="22"/>
      <c r="H297" s="22"/>
      <c r="I297" s="22"/>
      <c r="J297" s="22"/>
      <c r="K297" s="22"/>
      <c r="L297" s="22"/>
      <c r="M297" s="22"/>
      <c r="N297" s="22"/>
      <c r="O297" s="22"/>
      <c r="P297" s="22"/>
      <c r="Q297" s="22"/>
      <c r="R297" s="22"/>
      <c r="S297" s="22"/>
      <c r="T297" s="22"/>
      <c r="U297" s="22"/>
      <c r="V297" s="22"/>
      <c r="W297" s="22"/>
      <c r="X297" s="22"/>
      <c r="Y297" s="22"/>
      <c r="Z297" s="22"/>
      <c r="AA297" s="22"/>
      <c r="AB297" s="22"/>
      <c r="AC297" s="22"/>
      <c r="AD297" s="22"/>
      <c r="AE297" s="22"/>
      <c r="AF297" s="22"/>
      <c r="AG297" s="22"/>
      <c r="AH297" s="22"/>
      <c r="AI297" s="22"/>
      <c r="AJ297" s="22"/>
      <c r="AK297" s="22"/>
      <c r="AL297" s="22"/>
      <c r="AM297" s="22"/>
      <c r="AN297" s="22"/>
    </row>
    <row r="298" spans="1:40" x14ac:dyDescent="0.25">
      <c r="A298" s="22"/>
      <c r="B298" s="22"/>
      <c r="C298" s="22"/>
      <c r="D298" s="22"/>
      <c r="E298" s="22"/>
      <c r="F298" s="22"/>
      <c r="G298" s="22"/>
      <c r="H298" s="22"/>
      <c r="I298" s="22"/>
      <c r="J298" s="22"/>
      <c r="K298" s="22"/>
      <c r="L298" s="22"/>
      <c r="M298" s="22"/>
      <c r="N298" s="22"/>
      <c r="O298" s="22"/>
      <c r="P298" s="22"/>
      <c r="Q298" s="22"/>
      <c r="R298" s="22"/>
      <c r="S298" s="22"/>
      <c r="T298" s="22"/>
      <c r="U298" s="22"/>
      <c r="V298" s="22"/>
      <c r="W298" s="22"/>
      <c r="X298" s="22"/>
      <c r="Y298" s="22"/>
      <c r="Z298" s="22"/>
      <c r="AA298" s="22"/>
      <c r="AB298" s="22"/>
      <c r="AC298" s="22"/>
      <c r="AD298" s="22"/>
      <c r="AE298" s="22"/>
      <c r="AF298" s="22"/>
      <c r="AG298" s="22"/>
      <c r="AH298" s="22"/>
      <c r="AI298" s="22"/>
      <c r="AJ298" s="22"/>
      <c r="AK298" s="22"/>
      <c r="AL298" s="22"/>
      <c r="AM298" s="22"/>
      <c r="AN298" s="22"/>
    </row>
    <row r="299" spans="1:40" x14ac:dyDescent="0.25">
      <c r="A299" s="22"/>
      <c r="B299" s="22"/>
      <c r="C299" s="22"/>
      <c r="D299" s="22"/>
      <c r="E299" s="22"/>
      <c r="F299" s="22"/>
      <c r="G299" s="22"/>
      <c r="H299" s="22"/>
      <c r="I299" s="22"/>
      <c r="J299" s="22"/>
      <c r="K299" s="22"/>
      <c r="L299" s="22"/>
      <c r="M299" s="22"/>
      <c r="N299" s="22"/>
      <c r="O299" s="22"/>
      <c r="P299" s="22"/>
      <c r="Q299" s="22"/>
      <c r="R299" s="22"/>
      <c r="S299" s="22"/>
      <c r="T299" s="22"/>
      <c r="U299" s="22"/>
      <c r="V299" s="22"/>
      <c r="W299" s="22"/>
      <c r="X299" s="22"/>
      <c r="Y299" s="22"/>
      <c r="Z299" s="22"/>
      <c r="AA299" s="22"/>
      <c r="AB299" s="22"/>
      <c r="AC299" s="22"/>
      <c r="AD299" s="22"/>
      <c r="AE299" s="22"/>
      <c r="AF299" s="22"/>
      <c r="AG299" s="22"/>
      <c r="AH299" s="22"/>
      <c r="AI299" s="22"/>
      <c r="AJ299" s="22"/>
      <c r="AK299" s="22"/>
      <c r="AL299" s="22"/>
      <c r="AM299" s="22"/>
      <c r="AN299" s="22"/>
    </row>
    <row r="300" spans="1:40" x14ac:dyDescent="0.25">
      <c r="A300" s="22"/>
      <c r="B300" s="22"/>
      <c r="C300" s="22"/>
      <c r="D300" s="22"/>
      <c r="E300" s="22"/>
      <c r="F300" s="22"/>
      <c r="G300" s="22"/>
      <c r="H300" s="22"/>
      <c r="I300" s="22"/>
      <c r="J300" s="22"/>
      <c r="K300" s="22"/>
      <c r="L300" s="22"/>
      <c r="M300" s="22"/>
      <c r="N300" s="22"/>
      <c r="O300" s="22"/>
      <c r="P300" s="22"/>
      <c r="Q300" s="22"/>
      <c r="R300" s="22"/>
      <c r="S300" s="22"/>
      <c r="T300" s="22"/>
      <c r="U300" s="22"/>
      <c r="V300" s="22"/>
      <c r="W300" s="22"/>
      <c r="X300" s="22"/>
      <c r="Y300" s="22"/>
      <c r="Z300" s="22"/>
      <c r="AA300" s="22"/>
      <c r="AB300" s="22"/>
      <c r="AC300" s="22"/>
      <c r="AD300" s="22"/>
      <c r="AE300" s="22"/>
      <c r="AF300" s="22"/>
      <c r="AG300" s="22"/>
      <c r="AH300" s="22"/>
      <c r="AI300" s="22"/>
      <c r="AJ300" s="22"/>
      <c r="AK300" s="22"/>
      <c r="AL300" s="22"/>
      <c r="AM300" s="22"/>
      <c r="AN300" s="22"/>
    </row>
    <row r="301" spans="1:40" x14ac:dyDescent="0.25">
      <c r="A301" s="22"/>
      <c r="B301" s="22"/>
      <c r="C301" s="22"/>
      <c r="D301" s="22"/>
      <c r="E301" s="22"/>
      <c r="F301" s="22"/>
      <c r="G301" s="22"/>
      <c r="H301" s="22"/>
      <c r="I301" s="22"/>
      <c r="J301" s="22"/>
      <c r="K301" s="22"/>
      <c r="L301" s="22"/>
      <c r="M301" s="22"/>
      <c r="N301" s="22"/>
      <c r="O301" s="22"/>
      <c r="P301" s="22"/>
      <c r="Q301" s="22"/>
      <c r="R301" s="22"/>
      <c r="S301" s="22"/>
      <c r="T301" s="22"/>
      <c r="U301" s="22"/>
      <c r="V301" s="22"/>
      <c r="W301" s="22"/>
      <c r="X301" s="22"/>
      <c r="Y301" s="22"/>
      <c r="Z301" s="22"/>
      <c r="AA301" s="22"/>
      <c r="AB301" s="22"/>
      <c r="AC301" s="22"/>
      <c r="AD301" s="22"/>
      <c r="AE301" s="22"/>
      <c r="AF301" s="22"/>
      <c r="AG301" s="22"/>
      <c r="AH301" s="22"/>
      <c r="AI301" s="22"/>
      <c r="AJ301" s="22"/>
      <c r="AK301" s="22"/>
      <c r="AL301" s="22"/>
      <c r="AM301" s="22"/>
      <c r="AN301" s="22"/>
    </row>
    <row r="302" spans="1:40" x14ac:dyDescent="0.25">
      <c r="A302" s="22"/>
      <c r="B302" s="22"/>
      <c r="C302" s="22"/>
      <c r="D302" s="22"/>
      <c r="E302" s="22"/>
      <c r="F302" s="22"/>
      <c r="G302" s="22"/>
      <c r="H302" s="22"/>
      <c r="I302" s="22"/>
      <c r="J302" s="22"/>
      <c r="K302" s="22"/>
      <c r="L302" s="22"/>
      <c r="M302" s="22"/>
      <c r="N302" s="22"/>
      <c r="O302" s="22"/>
      <c r="P302" s="22"/>
      <c r="Q302" s="22"/>
      <c r="R302" s="22"/>
      <c r="S302" s="22"/>
      <c r="T302" s="22"/>
      <c r="U302" s="22"/>
      <c r="V302" s="22"/>
      <c r="W302" s="22"/>
      <c r="X302" s="22"/>
      <c r="Y302" s="22"/>
      <c r="Z302" s="22"/>
      <c r="AA302" s="22"/>
      <c r="AB302" s="22"/>
      <c r="AC302" s="22"/>
      <c r="AD302" s="22"/>
      <c r="AE302" s="22"/>
      <c r="AF302" s="22"/>
      <c r="AG302" s="22"/>
      <c r="AH302" s="22"/>
      <c r="AI302" s="22"/>
      <c r="AJ302" s="22"/>
      <c r="AK302" s="22"/>
      <c r="AL302" s="22"/>
      <c r="AM302" s="22"/>
      <c r="AN302" s="22"/>
    </row>
    <row r="303" spans="1:40" x14ac:dyDescent="0.25">
      <c r="A303" s="22"/>
      <c r="B303" s="22"/>
      <c r="C303" s="22"/>
      <c r="D303" s="22"/>
      <c r="E303" s="22"/>
      <c r="F303" s="22"/>
      <c r="G303" s="22"/>
      <c r="H303" s="22"/>
      <c r="I303" s="22"/>
      <c r="J303" s="22"/>
      <c r="K303" s="22"/>
      <c r="L303" s="22"/>
      <c r="M303" s="22"/>
      <c r="N303" s="22"/>
      <c r="O303" s="22"/>
      <c r="P303" s="22"/>
      <c r="Q303" s="22"/>
      <c r="R303" s="22"/>
      <c r="S303" s="22"/>
      <c r="T303" s="22"/>
      <c r="U303" s="22"/>
      <c r="V303" s="22"/>
      <c r="W303" s="22"/>
      <c r="X303" s="22"/>
      <c r="Y303" s="22"/>
      <c r="Z303" s="22"/>
      <c r="AA303" s="22"/>
      <c r="AB303" s="22"/>
      <c r="AC303" s="22"/>
      <c r="AD303" s="22"/>
      <c r="AE303" s="22"/>
      <c r="AF303" s="22"/>
      <c r="AG303" s="22"/>
      <c r="AH303" s="22"/>
      <c r="AI303" s="22"/>
      <c r="AJ303" s="22"/>
      <c r="AK303" s="22"/>
      <c r="AL303" s="22"/>
      <c r="AM303" s="22"/>
      <c r="AN303" s="22"/>
    </row>
    <row r="304" spans="1:40" x14ac:dyDescent="0.25">
      <c r="A304" s="22"/>
      <c r="B304" s="22"/>
      <c r="C304" s="22"/>
      <c r="D304" s="22"/>
      <c r="E304" s="22"/>
      <c r="F304" s="22"/>
      <c r="G304" s="22"/>
      <c r="H304" s="22"/>
      <c r="I304" s="22"/>
      <c r="J304" s="22"/>
      <c r="K304" s="22"/>
      <c r="L304" s="22"/>
      <c r="M304" s="22"/>
      <c r="N304" s="22"/>
      <c r="O304" s="22"/>
      <c r="P304" s="22"/>
      <c r="Q304" s="22"/>
      <c r="R304" s="22"/>
      <c r="S304" s="22"/>
      <c r="T304" s="22"/>
      <c r="U304" s="22"/>
      <c r="V304" s="22"/>
      <c r="W304" s="22"/>
      <c r="X304" s="22"/>
      <c r="Y304" s="22"/>
      <c r="Z304" s="22"/>
      <c r="AA304" s="22"/>
      <c r="AB304" s="22"/>
      <c r="AC304" s="22"/>
      <c r="AD304" s="22"/>
      <c r="AE304" s="22"/>
      <c r="AF304" s="22"/>
      <c r="AG304" s="22"/>
      <c r="AH304" s="22"/>
      <c r="AI304" s="22"/>
      <c r="AJ304" s="22"/>
      <c r="AK304" s="22"/>
      <c r="AL304" s="22"/>
      <c r="AM304" s="22"/>
      <c r="AN304" s="22"/>
    </row>
    <row r="305" spans="1:40" x14ac:dyDescent="0.25">
      <c r="A305" s="22"/>
      <c r="B305" s="22"/>
      <c r="C305" s="22"/>
      <c r="D305" s="22"/>
      <c r="E305" s="22"/>
      <c r="F305" s="22"/>
      <c r="G305" s="22"/>
      <c r="H305" s="22"/>
      <c r="I305" s="22"/>
      <c r="J305" s="22"/>
      <c r="K305" s="22"/>
      <c r="L305" s="22"/>
      <c r="M305" s="22"/>
      <c r="N305" s="22"/>
      <c r="O305" s="22"/>
      <c r="P305" s="22"/>
      <c r="Q305" s="22"/>
      <c r="R305" s="22"/>
      <c r="S305" s="22"/>
      <c r="T305" s="22"/>
      <c r="U305" s="22"/>
      <c r="V305" s="22"/>
      <c r="W305" s="22"/>
      <c r="X305" s="22"/>
      <c r="Y305" s="22"/>
      <c r="Z305" s="22"/>
      <c r="AA305" s="22"/>
      <c r="AB305" s="22"/>
      <c r="AC305" s="22"/>
      <c r="AD305" s="22"/>
      <c r="AE305" s="22"/>
      <c r="AF305" s="22"/>
      <c r="AG305" s="22"/>
      <c r="AH305" s="22"/>
      <c r="AI305" s="22"/>
      <c r="AJ305" s="22"/>
      <c r="AK305" s="22"/>
      <c r="AL305" s="22"/>
      <c r="AM305" s="22"/>
      <c r="AN305" s="22"/>
    </row>
    <row r="306" spans="1:40" x14ac:dyDescent="0.25">
      <c r="A306" s="22"/>
      <c r="B306" s="22"/>
      <c r="C306" s="22"/>
      <c r="D306" s="22"/>
      <c r="E306" s="22"/>
      <c r="F306" s="22"/>
      <c r="G306" s="22"/>
      <c r="H306" s="22"/>
      <c r="I306" s="22"/>
      <c r="J306" s="22"/>
      <c r="K306" s="22"/>
      <c r="L306" s="22"/>
      <c r="M306" s="22"/>
      <c r="N306" s="22"/>
      <c r="O306" s="22"/>
      <c r="P306" s="22"/>
      <c r="Q306" s="22"/>
      <c r="R306" s="22"/>
      <c r="S306" s="22"/>
      <c r="T306" s="22"/>
      <c r="U306" s="22"/>
      <c r="V306" s="22"/>
      <c r="W306" s="22"/>
      <c r="X306" s="22"/>
      <c r="Y306" s="22"/>
      <c r="Z306" s="22"/>
      <c r="AA306" s="22"/>
      <c r="AB306" s="22"/>
      <c r="AC306" s="22"/>
      <c r="AD306" s="22"/>
      <c r="AE306" s="22"/>
      <c r="AF306" s="22"/>
      <c r="AG306" s="22"/>
      <c r="AH306" s="22"/>
      <c r="AI306" s="22"/>
      <c r="AJ306" s="22"/>
      <c r="AK306" s="22"/>
      <c r="AL306" s="22"/>
      <c r="AM306" s="22"/>
      <c r="AN306" s="22"/>
    </row>
    <row r="307" spans="1:40" x14ac:dyDescent="0.25">
      <c r="A307" s="22"/>
      <c r="B307" s="22"/>
      <c r="C307" s="22"/>
      <c r="D307" s="22"/>
      <c r="E307" s="22"/>
      <c r="F307" s="22"/>
      <c r="G307" s="22"/>
      <c r="H307" s="22"/>
      <c r="I307" s="22"/>
      <c r="J307" s="22"/>
      <c r="K307" s="22"/>
      <c r="L307" s="22"/>
      <c r="M307" s="22"/>
      <c r="N307" s="22"/>
      <c r="O307" s="22"/>
      <c r="P307" s="22"/>
      <c r="Q307" s="22"/>
      <c r="R307" s="22"/>
      <c r="S307" s="22"/>
      <c r="T307" s="22"/>
      <c r="U307" s="22"/>
      <c r="V307" s="22"/>
      <c r="W307" s="22"/>
      <c r="X307" s="22"/>
      <c r="Y307" s="22"/>
      <c r="Z307" s="22"/>
      <c r="AA307" s="22"/>
      <c r="AB307" s="22"/>
      <c r="AC307" s="22"/>
      <c r="AD307" s="22"/>
      <c r="AE307" s="22"/>
      <c r="AF307" s="22"/>
      <c r="AG307" s="22"/>
      <c r="AH307" s="22"/>
      <c r="AI307" s="22"/>
      <c r="AJ307" s="22"/>
      <c r="AK307" s="22"/>
      <c r="AL307" s="22"/>
      <c r="AM307" s="22"/>
      <c r="AN307" s="22"/>
    </row>
    <row r="308" spans="1:40" x14ac:dyDescent="0.25">
      <c r="A308" s="22"/>
      <c r="B308" s="22"/>
      <c r="C308" s="22"/>
      <c r="D308" s="22"/>
      <c r="E308" s="22"/>
      <c r="F308" s="22"/>
      <c r="G308" s="22"/>
      <c r="H308" s="22"/>
      <c r="I308" s="22"/>
      <c r="J308" s="22"/>
      <c r="K308" s="22"/>
      <c r="L308" s="22"/>
      <c r="M308" s="22"/>
      <c r="N308" s="22"/>
      <c r="O308" s="22"/>
      <c r="P308" s="22"/>
      <c r="Q308" s="22"/>
      <c r="R308" s="22"/>
      <c r="S308" s="22"/>
      <c r="T308" s="22"/>
      <c r="U308" s="22"/>
      <c r="V308" s="22"/>
      <c r="W308" s="22"/>
      <c r="X308" s="22"/>
      <c r="Y308" s="22"/>
      <c r="Z308" s="22"/>
      <c r="AA308" s="22"/>
      <c r="AB308" s="22"/>
      <c r="AC308" s="22"/>
      <c r="AD308" s="22"/>
      <c r="AE308" s="22"/>
      <c r="AF308" s="22"/>
      <c r="AG308" s="22"/>
      <c r="AH308" s="22"/>
      <c r="AI308" s="22"/>
      <c r="AJ308" s="22"/>
      <c r="AK308" s="22"/>
      <c r="AL308" s="22"/>
      <c r="AM308" s="22"/>
      <c r="AN308" s="22"/>
    </row>
    <row r="309" spans="1:40" x14ac:dyDescent="0.25">
      <c r="A309" s="22"/>
      <c r="B309" s="22"/>
      <c r="C309" s="22"/>
      <c r="D309" s="22"/>
      <c r="E309" s="22"/>
      <c r="F309" s="22"/>
      <c r="G309" s="22"/>
      <c r="H309" s="22"/>
      <c r="I309" s="22"/>
      <c r="J309" s="22"/>
      <c r="K309" s="22"/>
      <c r="L309" s="22"/>
      <c r="M309" s="22"/>
      <c r="N309" s="22"/>
      <c r="O309" s="22"/>
      <c r="P309" s="22"/>
      <c r="Q309" s="22"/>
      <c r="R309" s="22"/>
      <c r="S309" s="22"/>
      <c r="T309" s="22"/>
      <c r="U309" s="22"/>
      <c r="V309" s="22"/>
      <c r="W309" s="22"/>
      <c r="X309" s="22"/>
      <c r="Y309" s="22"/>
      <c r="Z309" s="22"/>
      <c r="AA309" s="22"/>
      <c r="AB309" s="22"/>
      <c r="AC309" s="22"/>
      <c r="AD309" s="22"/>
      <c r="AE309" s="22"/>
      <c r="AF309" s="22"/>
      <c r="AG309" s="22"/>
      <c r="AH309" s="22"/>
      <c r="AI309" s="22"/>
      <c r="AJ309" s="22"/>
      <c r="AK309" s="22"/>
      <c r="AL309" s="22"/>
      <c r="AM309" s="22"/>
      <c r="AN309" s="22"/>
    </row>
    <row r="310" spans="1:40" x14ac:dyDescent="0.25">
      <c r="A310" s="22"/>
      <c r="B310" s="22"/>
      <c r="C310" s="22"/>
      <c r="D310" s="22"/>
      <c r="E310" s="22"/>
      <c r="F310" s="22"/>
      <c r="G310" s="22"/>
      <c r="H310" s="22"/>
      <c r="I310" s="22"/>
      <c r="J310" s="22"/>
      <c r="K310" s="22"/>
      <c r="L310" s="22"/>
      <c r="M310" s="22"/>
      <c r="N310" s="22"/>
      <c r="O310" s="22"/>
      <c r="P310" s="22"/>
      <c r="Q310" s="22"/>
      <c r="R310" s="22"/>
      <c r="S310" s="22"/>
      <c r="T310" s="22"/>
      <c r="U310" s="22"/>
      <c r="V310" s="22"/>
      <c r="W310" s="22"/>
      <c r="X310" s="22"/>
      <c r="Y310" s="22"/>
      <c r="Z310" s="22"/>
      <c r="AA310" s="22"/>
      <c r="AB310" s="22"/>
      <c r="AC310" s="22"/>
      <c r="AD310" s="22"/>
      <c r="AE310" s="22"/>
      <c r="AF310" s="22"/>
      <c r="AG310" s="22"/>
      <c r="AH310" s="22"/>
      <c r="AI310" s="22"/>
      <c r="AJ310" s="22"/>
      <c r="AK310" s="22"/>
      <c r="AL310" s="22"/>
      <c r="AM310" s="22"/>
      <c r="AN310" s="22"/>
    </row>
    <row r="311" spans="1:40" x14ac:dyDescent="0.25">
      <c r="A311" s="22"/>
      <c r="B311" s="22"/>
      <c r="C311" s="22"/>
      <c r="D311" s="22"/>
      <c r="E311" s="22"/>
      <c r="F311" s="22"/>
      <c r="G311" s="22"/>
      <c r="H311" s="22"/>
      <c r="I311" s="22"/>
      <c r="J311" s="22"/>
      <c r="K311" s="22"/>
      <c r="L311" s="22"/>
      <c r="M311" s="22"/>
      <c r="N311" s="22"/>
      <c r="O311" s="22"/>
      <c r="P311" s="22"/>
      <c r="Q311" s="22"/>
      <c r="R311" s="22"/>
      <c r="S311" s="22"/>
      <c r="T311" s="22"/>
      <c r="U311" s="22"/>
      <c r="V311" s="22"/>
      <c r="W311" s="22"/>
      <c r="X311" s="22"/>
      <c r="Y311" s="22"/>
      <c r="Z311" s="22"/>
      <c r="AA311" s="22"/>
      <c r="AB311" s="22"/>
      <c r="AC311" s="22"/>
      <c r="AD311" s="22"/>
      <c r="AE311" s="22"/>
      <c r="AF311" s="22"/>
      <c r="AG311" s="22"/>
      <c r="AH311" s="22"/>
      <c r="AI311" s="22"/>
      <c r="AJ311" s="22"/>
      <c r="AK311" s="22"/>
      <c r="AL311" s="22"/>
      <c r="AM311" s="22"/>
      <c r="AN311" s="22"/>
    </row>
    <row r="312" spans="1:40" x14ac:dyDescent="0.25">
      <c r="A312" s="22"/>
      <c r="B312" s="22"/>
      <c r="C312" s="22"/>
      <c r="D312" s="22"/>
      <c r="E312" s="22"/>
      <c r="F312" s="22"/>
      <c r="G312" s="22"/>
      <c r="H312" s="22"/>
      <c r="I312" s="22"/>
      <c r="J312" s="22"/>
      <c r="K312" s="22"/>
      <c r="L312" s="22"/>
      <c r="M312" s="22"/>
      <c r="N312" s="22"/>
      <c r="O312" s="22"/>
      <c r="P312" s="22"/>
      <c r="Q312" s="22"/>
      <c r="R312" s="22"/>
      <c r="S312" s="22"/>
      <c r="T312" s="22"/>
      <c r="U312" s="22"/>
      <c r="V312" s="22"/>
      <c r="W312" s="22"/>
      <c r="X312" s="22"/>
      <c r="Y312" s="22"/>
      <c r="Z312" s="22"/>
      <c r="AA312" s="22"/>
      <c r="AB312" s="22"/>
      <c r="AC312" s="22"/>
      <c r="AD312" s="22"/>
      <c r="AE312" s="22"/>
      <c r="AF312" s="22"/>
      <c r="AG312" s="22"/>
      <c r="AH312" s="22"/>
      <c r="AI312" s="22"/>
      <c r="AJ312" s="22"/>
      <c r="AK312" s="22"/>
      <c r="AL312" s="22"/>
      <c r="AM312" s="22"/>
      <c r="AN312" s="22"/>
    </row>
    <row r="313" spans="1:40" x14ac:dyDescent="0.25">
      <c r="A313" s="22"/>
      <c r="B313" s="22"/>
      <c r="C313" s="22"/>
      <c r="D313" s="22"/>
      <c r="E313" s="22"/>
      <c r="F313" s="22"/>
      <c r="G313" s="22"/>
      <c r="H313" s="22"/>
      <c r="I313" s="22"/>
      <c r="J313" s="22"/>
      <c r="K313" s="22"/>
      <c r="L313" s="22"/>
      <c r="M313" s="22"/>
      <c r="N313" s="22"/>
      <c r="O313" s="22"/>
      <c r="P313" s="22"/>
      <c r="Q313" s="22"/>
      <c r="R313" s="22"/>
      <c r="S313" s="22"/>
      <c r="T313" s="22"/>
      <c r="U313" s="22"/>
      <c r="V313" s="22"/>
      <c r="W313" s="22"/>
      <c r="X313" s="22"/>
      <c r="Y313" s="22"/>
      <c r="Z313" s="22"/>
      <c r="AA313" s="22"/>
      <c r="AB313" s="22"/>
      <c r="AC313" s="22"/>
      <c r="AD313" s="22"/>
      <c r="AE313" s="22"/>
      <c r="AF313" s="22"/>
      <c r="AG313" s="22"/>
      <c r="AH313" s="22"/>
      <c r="AI313" s="22"/>
      <c r="AJ313" s="22"/>
      <c r="AK313" s="22"/>
      <c r="AL313" s="22"/>
      <c r="AM313" s="22"/>
      <c r="AN313" s="22"/>
    </row>
    <row r="314" spans="1:40" x14ac:dyDescent="0.25">
      <c r="A314" s="22"/>
      <c r="B314" s="22"/>
      <c r="C314" s="22"/>
      <c r="D314" s="22"/>
      <c r="E314" s="22"/>
      <c r="F314" s="22"/>
      <c r="G314" s="22"/>
      <c r="H314" s="22"/>
      <c r="I314" s="22"/>
      <c r="J314" s="22"/>
      <c r="K314" s="22"/>
      <c r="L314" s="22"/>
      <c r="M314" s="22"/>
      <c r="N314" s="22"/>
      <c r="O314" s="22"/>
      <c r="P314" s="22"/>
      <c r="Q314" s="22"/>
      <c r="R314" s="22"/>
      <c r="S314" s="22"/>
      <c r="T314" s="22"/>
      <c r="U314" s="22"/>
      <c r="V314" s="22"/>
      <c r="W314" s="22"/>
      <c r="X314" s="22"/>
      <c r="Y314" s="22"/>
      <c r="Z314" s="22"/>
      <c r="AA314" s="22"/>
      <c r="AB314" s="22"/>
      <c r="AC314" s="22"/>
      <c r="AD314" s="22"/>
      <c r="AE314" s="22"/>
      <c r="AF314" s="22"/>
      <c r="AG314" s="22"/>
      <c r="AH314" s="22"/>
      <c r="AI314" s="22"/>
      <c r="AJ314" s="22"/>
      <c r="AK314" s="22"/>
      <c r="AL314" s="22"/>
      <c r="AM314" s="22"/>
      <c r="AN314" s="22"/>
    </row>
    <row r="315" spans="1:40" x14ac:dyDescent="0.25">
      <c r="A315" s="22"/>
      <c r="B315" s="22"/>
      <c r="C315" s="22"/>
      <c r="D315" s="22"/>
      <c r="E315" s="22"/>
      <c r="F315" s="22"/>
      <c r="G315" s="22"/>
      <c r="H315" s="22"/>
      <c r="I315" s="22"/>
      <c r="J315" s="22"/>
      <c r="K315" s="22"/>
      <c r="L315" s="22"/>
      <c r="M315" s="22"/>
      <c r="N315" s="22"/>
      <c r="O315" s="22"/>
      <c r="P315" s="22"/>
      <c r="Q315" s="22"/>
      <c r="R315" s="22"/>
      <c r="S315" s="22"/>
      <c r="T315" s="22"/>
      <c r="U315" s="22"/>
      <c r="V315" s="22"/>
      <c r="W315" s="22"/>
      <c r="X315" s="22"/>
      <c r="Y315" s="22"/>
      <c r="Z315" s="22"/>
      <c r="AA315" s="22"/>
      <c r="AB315" s="22"/>
      <c r="AC315" s="22"/>
      <c r="AD315" s="22"/>
      <c r="AE315" s="22"/>
      <c r="AF315" s="22"/>
      <c r="AG315" s="22"/>
      <c r="AH315" s="22"/>
      <c r="AI315" s="22"/>
      <c r="AJ315" s="22"/>
      <c r="AK315" s="22"/>
      <c r="AL315" s="22"/>
      <c r="AM315" s="22"/>
      <c r="AN315" s="22"/>
    </row>
    <row r="316" spans="1:40" x14ac:dyDescent="0.25">
      <c r="A316" s="22"/>
      <c r="B316" s="22"/>
      <c r="C316" s="22"/>
      <c r="D316" s="22"/>
      <c r="E316" s="22"/>
      <c r="F316" s="22"/>
      <c r="G316" s="22"/>
      <c r="H316" s="22"/>
      <c r="I316" s="22"/>
      <c r="J316" s="22"/>
      <c r="K316" s="22"/>
      <c r="L316" s="22"/>
      <c r="M316" s="22"/>
      <c r="N316" s="22"/>
      <c r="O316" s="22"/>
      <c r="P316" s="22"/>
      <c r="Q316" s="22"/>
      <c r="R316" s="22"/>
      <c r="S316" s="22"/>
      <c r="T316" s="22"/>
      <c r="U316" s="22"/>
      <c r="V316" s="22"/>
      <c r="W316" s="22"/>
      <c r="X316" s="22"/>
      <c r="Y316" s="22"/>
      <c r="Z316" s="22"/>
      <c r="AA316" s="22"/>
      <c r="AB316" s="22"/>
      <c r="AC316" s="22"/>
      <c r="AD316" s="22"/>
      <c r="AE316" s="22"/>
      <c r="AF316" s="22"/>
      <c r="AG316" s="22"/>
      <c r="AH316" s="22"/>
      <c r="AI316" s="22"/>
      <c r="AJ316" s="22"/>
      <c r="AK316" s="22"/>
      <c r="AL316" s="22"/>
      <c r="AM316" s="22"/>
      <c r="AN316" s="22"/>
    </row>
    <row r="317" spans="1:40" x14ac:dyDescent="0.25">
      <c r="A317" s="22"/>
      <c r="B317" s="22"/>
      <c r="C317" s="22"/>
      <c r="D317" s="22"/>
      <c r="E317" s="22"/>
      <c r="F317" s="22"/>
      <c r="G317" s="22"/>
      <c r="H317" s="22"/>
      <c r="I317" s="22"/>
      <c r="J317" s="22"/>
      <c r="K317" s="22"/>
      <c r="L317" s="22"/>
      <c r="M317" s="22"/>
      <c r="N317" s="22"/>
      <c r="O317" s="22"/>
      <c r="P317" s="22"/>
      <c r="Q317" s="22"/>
      <c r="R317" s="22"/>
      <c r="S317" s="22"/>
      <c r="T317" s="22"/>
      <c r="U317" s="22"/>
      <c r="V317" s="22"/>
      <c r="W317" s="22"/>
      <c r="X317" s="22"/>
      <c r="Y317" s="22"/>
      <c r="Z317" s="22"/>
      <c r="AA317" s="22"/>
      <c r="AB317" s="22"/>
      <c r="AC317" s="22"/>
      <c r="AD317" s="22"/>
      <c r="AE317" s="22"/>
      <c r="AF317" s="22"/>
      <c r="AG317" s="22"/>
      <c r="AH317" s="22"/>
      <c r="AI317" s="22"/>
      <c r="AJ317" s="22"/>
      <c r="AK317" s="22"/>
      <c r="AL317" s="22"/>
      <c r="AM317" s="22"/>
      <c r="AN317" s="22"/>
    </row>
    <row r="318" spans="1:40" x14ac:dyDescent="0.25">
      <c r="A318" s="22"/>
      <c r="B318" s="22"/>
      <c r="C318" s="22"/>
      <c r="D318" s="22"/>
      <c r="E318" s="22"/>
      <c r="F318" s="22"/>
      <c r="G318" s="22"/>
      <c r="H318" s="22"/>
      <c r="I318" s="22"/>
      <c r="J318" s="22"/>
      <c r="K318" s="22"/>
      <c r="L318" s="22"/>
      <c r="M318" s="22"/>
      <c r="N318" s="22"/>
      <c r="O318" s="22"/>
      <c r="P318" s="22"/>
      <c r="Q318" s="22"/>
      <c r="R318" s="22"/>
      <c r="S318" s="22"/>
      <c r="T318" s="22"/>
      <c r="U318" s="22"/>
      <c r="V318" s="22"/>
      <c r="W318" s="22"/>
      <c r="X318" s="22"/>
      <c r="Y318" s="22"/>
      <c r="Z318" s="22"/>
      <c r="AA318" s="22"/>
      <c r="AB318" s="22"/>
      <c r="AC318" s="22"/>
      <c r="AD318" s="22"/>
      <c r="AE318" s="22"/>
      <c r="AF318" s="22"/>
      <c r="AG318" s="22"/>
      <c r="AH318" s="22"/>
      <c r="AI318" s="22"/>
      <c r="AJ318" s="22"/>
      <c r="AK318" s="22"/>
      <c r="AL318" s="22"/>
      <c r="AM318" s="22"/>
      <c r="AN318" s="22"/>
    </row>
    <row r="319" spans="1:40" x14ac:dyDescent="0.25">
      <c r="A319" s="22"/>
      <c r="B319" s="22"/>
      <c r="C319" s="22"/>
      <c r="D319" s="22"/>
      <c r="E319" s="22"/>
      <c r="F319" s="22"/>
      <c r="G319" s="22"/>
      <c r="H319" s="22"/>
      <c r="I319" s="22"/>
      <c r="J319" s="22"/>
      <c r="K319" s="22"/>
      <c r="L319" s="22"/>
      <c r="M319" s="22"/>
      <c r="N319" s="22"/>
      <c r="O319" s="22"/>
      <c r="P319" s="22"/>
      <c r="Q319" s="22"/>
      <c r="R319" s="22"/>
      <c r="S319" s="22"/>
      <c r="T319" s="22"/>
      <c r="U319" s="22"/>
      <c r="V319" s="22"/>
      <c r="W319" s="22"/>
      <c r="X319" s="22"/>
      <c r="Y319" s="22"/>
      <c r="Z319" s="22"/>
      <c r="AA319" s="22"/>
      <c r="AB319" s="22"/>
      <c r="AC319" s="22"/>
      <c r="AD319" s="22"/>
      <c r="AE319" s="22"/>
      <c r="AF319" s="22"/>
      <c r="AG319" s="22"/>
      <c r="AH319" s="22"/>
      <c r="AI319" s="22"/>
      <c r="AJ319" s="22"/>
      <c r="AK319" s="22"/>
      <c r="AL319" s="22"/>
      <c r="AM319" s="22"/>
      <c r="AN319" s="22"/>
    </row>
    <row r="320" spans="1:40" x14ac:dyDescent="0.25">
      <c r="A320" s="22"/>
      <c r="B320" s="22"/>
      <c r="C320" s="22"/>
      <c r="D320" s="22"/>
      <c r="E320" s="22"/>
      <c r="F320" s="22"/>
      <c r="G320" s="22"/>
      <c r="H320" s="22"/>
      <c r="I320" s="22"/>
      <c r="J320" s="22"/>
      <c r="K320" s="22"/>
      <c r="L320" s="22"/>
      <c r="M320" s="22"/>
      <c r="N320" s="22"/>
      <c r="O320" s="22"/>
      <c r="P320" s="22"/>
      <c r="Q320" s="22"/>
      <c r="R320" s="22"/>
      <c r="S320" s="22"/>
      <c r="T320" s="22"/>
      <c r="U320" s="22"/>
      <c r="V320" s="22"/>
      <c r="W320" s="22"/>
      <c r="X320" s="22"/>
      <c r="Y320" s="22"/>
      <c r="Z320" s="22"/>
      <c r="AA320" s="22"/>
      <c r="AB320" s="22"/>
      <c r="AC320" s="22"/>
      <c r="AD320" s="22"/>
      <c r="AE320" s="22"/>
      <c r="AF320" s="22"/>
      <c r="AG320" s="22"/>
      <c r="AH320" s="22"/>
      <c r="AI320" s="22"/>
      <c r="AJ320" s="22"/>
      <c r="AK320" s="22"/>
      <c r="AL320" s="22"/>
      <c r="AM320" s="22"/>
      <c r="AN320" s="22"/>
    </row>
    <row r="321" spans="1:40" x14ac:dyDescent="0.25">
      <c r="A321" s="22"/>
      <c r="B321" s="22"/>
      <c r="C321" s="22"/>
      <c r="D321" s="22"/>
      <c r="E321" s="22"/>
      <c r="F321" s="22"/>
      <c r="G321" s="22"/>
      <c r="H321" s="22"/>
      <c r="I321" s="22"/>
      <c r="J321" s="22"/>
      <c r="K321" s="22"/>
      <c r="L321" s="22"/>
      <c r="M321" s="22"/>
      <c r="N321" s="22"/>
      <c r="O321" s="22"/>
      <c r="P321" s="22"/>
      <c r="Q321" s="22"/>
      <c r="R321" s="22"/>
      <c r="S321" s="22"/>
      <c r="T321" s="22"/>
      <c r="U321" s="22"/>
      <c r="V321" s="22"/>
      <c r="W321" s="22"/>
      <c r="X321" s="22"/>
      <c r="Y321" s="22"/>
      <c r="Z321" s="22"/>
      <c r="AA321" s="22"/>
      <c r="AB321" s="22"/>
      <c r="AC321" s="22"/>
      <c r="AD321" s="22"/>
      <c r="AE321" s="22"/>
      <c r="AF321" s="22"/>
      <c r="AG321" s="22"/>
      <c r="AH321" s="22"/>
      <c r="AI321" s="22"/>
      <c r="AJ321" s="22"/>
      <c r="AK321" s="22"/>
      <c r="AL321" s="22"/>
      <c r="AM321" s="22"/>
      <c r="AN321" s="22"/>
    </row>
    <row r="322" spans="1:40" x14ac:dyDescent="0.25">
      <c r="A322" s="22"/>
      <c r="B322" s="22"/>
      <c r="C322" s="22"/>
      <c r="D322" s="22"/>
      <c r="E322" s="22"/>
      <c r="F322" s="22"/>
      <c r="G322" s="22"/>
      <c r="H322" s="22"/>
      <c r="I322" s="22"/>
      <c r="J322" s="22"/>
      <c r="K322" s="22"/>
      <c r="L322" s="22"/>
      <c r="M322" s="22"/>
      <c r="N322" s="22"/>
      <c r="O322" s="22"/>
      <c r="P322" s="22"/>
      <c r="Q322" s="22"/>
      <c r="R322" s="22"/>
      <c r="S322" s="22"/>
      <c r="T322" s="22"/>
      <c r="U322" s="22"/>
      <c r="V322" s="22"/>
      <c r="W322" s="22"/>
      <c r="X322" s="22"/>
      <c r="Y322" s="22"/>
      <c r="Z322" s="22"/>
      <c r="AA322" s="22"/>
      <c r="AB322" s="22"/>
      <c r="AC322" s="22"/>
      <c r="AD322" s="22"/>
      <c r="AE322" s="22"/>
      <c r="AF322" s="22"/>
      <c r="AG322" s="22"/>
      <c r="AH322" s="22"/>
      <c r="AI322" s="22"/>
      <c r="AJ322" s="22"/>
      <c r="AK322" s="22"/>
      <c r="AL322" s="22"/>
      <c r="AM322" s="22"/>
      <c r="AN322" s="22"/>
    </row>
    <row r="323" spans="1:40" x14ac:dyDescent="0.25">
      <c r="A323" s="22"/>
      <c r="B323" s="22"/>
      <c r="C323" s="22"/>
      <c r="D323" s="22"/>
      <c r="E323" s="22"/>
      <c r="F323" s="22"/>
      <c r="G323" s="22"/>
      <c r="H323" s="22"/>
      <c r="I323" s="22"/>
      <c r="J323" s="22"/>
      <c r="K323" s="22"/>
      <c r="L323" s="22"/>
      <c r="M323" s="22"/>
      <c r="N323" s="22"/>
      <c r="O323" s="22"/>
      <c r="P323" s="22"/>
      <c r="Q323" s="22"/>
      <c r="R323" s="22"/>
      <c r="S323" s="22"/>
      <c r="T323" s="22"/>
      <c r="U323" s="22"/>
      <c r="V323" s="22"/>
      <c r="W323" s="22"/>
      <c r="X323" s="22"/>
      <c r="Y323" s="22"/>
      <c r="Z323" s="22"/>
      <c r="AA323" s="22"/>
      <c r="AB323" s="22"/>
      <c r="AC323" s="22"/>
      <c r="AD323" s="22"/>
      <c r="AE323" s="22"/>
      <c r="AF323" s="22"/>
      <c r="AG323" s="22"/>
      <c r="AH323" s="22"/>
      <c r="AI323" s="22"/>
      <c r="AJ323" s="22"/>
      <c r="AK323" s="22"/>
      <c r="AL323" s="22"/>
      <c r="AM323" s="22"/>
      <c r="AN323" s="22"/>
    </row>
    <row r="324" spans="1:40" x14ac:dyDescent="0.25">
      <c r="A324" s="22"/>
      <c r="B324" s="22"/>
      <c r="C324" s="22"/>
      <c r="D324" s="22"/>
      <c r="E324" s="22"/>
      <c r="F324" s="22"/>
      <c r="G324" s="22"/>
      <c r="H324" s="22"/>
      <c r="I324" s="22"/>
      <c r="J324" s="22"/>
      <c r="K324" s="22"/>
      <c r="L324" s="22"/>
      <c r="M324" s="22"/>
      <c r="N324" s="22"/>
      <c r="O324" s="22"/>
      <c r="P324" s="22"/>
      <c r="Q324" s="22"/>
      <c r="R324" s="22"/>
      <c r="S324" s="22"/>
      <c r="T324" s="22"/>
      <c r="U324" s="22"/>
      <c r="V324" s="22"/>
      <c r="W324" s="22"/>
      <c r="X324" s="22"/>
      <c r="Y324" s="22"/>
      <c r="Z324" s="22"/>
      <c r="AA324" s="22"/>
      <c r="AB324" s="22"/>
      <c r="AC324" s="22"/>
      <c r="AD324" s="22"/>
      <c r="AE324" s="22"/>
      <c r="AF324" s="22"/>
      <c r="AG324" s="22"/>
      <c r="AH324" s="22"/>
      <c r="AI324" s="22"/>
      <c r="AJ324" s="22"/>
      <c r="AK324" s="22"/>
      <c r="AL324" s="22"/>
      <c r="AM324" s="22"/>
      <c r="AN324" s="22"/>
    </row>
    <row r="325" spans="1:40" x14ac:dyDescent="0.25">
      <c r="A325" s="22"/>
      <c r="B325" s="22"/>
      <c r="C325" s="22"/>
      <c r="D325" s="22"/>
      <c r="E325" s="22"/>
      <c r="F325" s="22"/>
      <c r="G325" s="22"/>
      <c r="H325" s="22"/>
      <c r="I325" s="22"/>
      <c r="J325" s="22"/>
      <c r="K325" s="22"/>
      <c r="L325" s="22"/>
      <c r="M325" s="22"/>
      <c r="N325" s="22"/>
      <c r="O325" s="22"/>
      <c r="P325" s="22"/>
      <c r="Q325" s="22"/>
      <c r="R325" s="22"/>
      <c r="S325" s="22"/>
      <c r="T325" s="22"/>
      <c r="U325" s="22"/>
      <c r="V325" s="22"/>
      <c r="W325" s="22"/>
      <c r="X325" s="22"/>
      <c r="Y325" s="22"/>
      <c r="Z325" s="22"/>
      <c r="AA325" s="22"/>
      <c r="AB325" s="22"/>
      <c r="AC325" s="22"/>
      <c r="AD325" s="22"/>
      <c r="AE325" s="22"/>
      <c r="AF325" s="22"/>
      <c r="AG325" s="22"/>
      <c r="AH325" s="22"/>
      <c r="AI325" s="22"/>
      <c r="AJ325" s="22"/>
      <c r="AK325" s="22"/>
      <c r="AL325" s="22"/>
      <c r="AM325" s="22"/>
      <c r="AN325" s="22"/>
    </row>
    <row r="326" spans="1:40" x14ac:dyDescent="0.25">
      <c r="A326" s="22"/>
      <c r="B326" s="22"/>
      <c r="C326" s="22"/>
      <c r="D326" s="22"/>
      <c r="E326" s="22"/>
      <c r="F326" s="22"/>
      <c r="G326" s="22"/>
      <c r="H326" s="22"/>
      <c r="I326" s="22"/>
      <c r="J326" s="22"/>
      <c r="K326" s="22"/>
      <c r="L326" s="22"/>
      <c r="M326" s="22"/>
      <c r="N326" s="22"/>
      <c r="O326" s="22"/>
      <c r="P326" s="22"/>
      <c r="Q326" s="22"/>
      <c r="R326" s="22"/>
      <c r="S326" s="22"/>
      <c r="T326" s="22"/>
      <c r="U326" s="22"/>
      <c r="V326" s="22"/>
      <c r="W326" s="22"/>
      <c r="X326" s="22"/>
      <c r="Y326" s="22"/>
      <c r="Z326" s="22"/>
      <c r="AA326" s="22"/>
      <c r="AB326" s="22"/>
      <c r="AC326" s="22"/>
      <c r="AD326" s="22"/>
      <c r="AE326" s="22"/>
      <c r="AF326" s="22"/>
      <c r="AG326" s="22"/>
      <c r="AH326" s="22"/>
      <c r="AI326" s="22"/>
      <c r="AJ326" s="22"/>
      <c r="AK326" s="22"/>
      <c r="AL326" s="22"/>
      <c r="AM326" s="22"/>
      <c r="AN326" s="22"/>
    </row>
    <row r="327" spans="1:40" x14ac:dyDescent="0.25">
      <c r="A327" s="22"/>
      <c r="B327" s="22"/>
      <c r="C327" s="22"/>
      <c r="D327" s="22"/>
      <c r="E327" s="22"/>
      <c r="F327" s="22"/>
      <c r="G327" s="22"/>
      <c r="H327" s="22"/>
      <c r="I327" s="22"/>
      <c r="J327" s="22"/>
      <c r="K327" s="22"/>
      <c r="L327" s="22"/>
      <c r="M327" s="22"/>
      <c r="N327" s="22"/>
      <c r="O327" s="22"/>
      <c r="P327" s="22"/>
      <c r="Q327" s="22"/>
      <c r="R327" s="22"/>
      <c r="S327" s="22"/>
      <c r="T327" s="22"/>
      <c r="U327" s="22"/>
      <c r="V327" s="22"/>
      <c r="W327" s="22"/>
      <c r="X327" s="22"/>
      <c r="Y327" s="22"/>
      <c r="Z327" s="22"/>
      <c r="AA327" s="22"/>
      <c r="AB327" s="22"/>
      <c r="AC327" s="22"/>
      <c r="AD327" s="22"/>
      <c r="AE327" s="22"/>
      <c r="AF327" s="22"/>
      <c r="AG327" s="22"/>
      <c r="AH327" s="22"/>
      <c r="AI327" s="22"/>
      <c r="AJ327" s="22"/>
      <c r="AK327" s="22"/>
      <c r="AL327" s="22"/>
      <c r="AM327" s="22"/>
      <c r="AN327" s="22"/>
    </row>
    <row r="328" spans="1:40" x14ac:dyDescent="0.25">
      <c r="A328" s="22"/>
      <c r="B328" s="22"/>
      <c r="C328" s="22"/>
      <c r="D328" s="22"/>
      <c r="E328" s="22"/>
      <c r="F328" s="22"/>
      <c r="G328" s="22"/>
      <c r="H328" s="22"/>
      <c r="I328" s="22"/>
      <c r="J328" s="22"/>
      <c r="K328" s="22"/>
      <c r="L328" s="22"/>
      <c r="M328" s="22"/>
      <c r="N328" s="22"/>
      <c r="O328" s="22"/>
      <c r="P328" s="22"/>
      <c r="Q328" s="22"/>
      <c r="R328" s="22"/>
      <c r="S328" s="22"/>
      <c r="T328" s="22"/>
      <c r="U328" s="22"/>
      <c r="V328" s="22"/>
      <c r="W328" s="22"/>
      <c r="X328" s="22"/>
      <c r="Y328" s="22"/>
      <c r="Z328" s="22"/>
      <c r="AA328" s="22"/>
      <c r="AB328" s="22"/>
      <c r="AC328" s="22"/>
      <c r="AD328" s="22"/>
      <c r="AE328" s="22"/>
      <c r="AF328" s="22"/>
      <c r="AG328" s="22"/>
      <c r="AH328" s="22"/>
      <c r="AI328" s="22"/>
      <c r="AJ328" s="22"/>
      <c r="AK328" s="22"/>
      <c r="AL328" s="22"/>
      <c r="AM328" s="22"/>
      <c r="AN328" s="22"/>
    </row>
    <row r="329" spans="1:40" x14ac:dyDescent="0.25">
      <c r="A329" s="22"/>
      <c r="B329" s="22"/>
      <c r="C329" s="22"/>
      <c r="D329" s="22"/>
      <c r="E329" s="22"/>
      <c r="F329" s="22"/>
      <c r="G329" s="22"/>
      <c r="H329" s="22"/>
      <c r="I329" s="22"/>
      <c r="J329" s="22"/>
      <c r="K329" s="22"/>
      <c r="L329" s="22"/>
      <c r="M329" s="22"/>
      <c r="N329" s="22"/>
      <c r="O329" s="22"/>
      <c r="P329" s="22"/>
      <c r="Q329" s="22"/>
      <c r="R329" s="22"/>
      <c r="S329" s="22"/>
      <c r="T329" s="22"/>
      <c r="U329" s="22"/>
      <c r="V329" s="22"/>
      <c r="W329" s="22"/>
      <c r="X329" s="22"/>
      <c r="Y329" s="22"/>
      <c r="Z329" s="22"/>
      <c r="AA329" s="22"/>
      <c r="AB329" s="22"/>
      <c r="AC329" s="22"/>
      <c r="AD329" s="22"/>
      <c r="AE329" s="22"/>
      <c r="AF329" s="22"/>
      <c r="AG329" s="22"/>
      <c r="AH329" s="22"/>
      <c r="AI329" s="22"/>
      <c r="AJ329" s="22"/>
      <c r="AK329" s="22"/>
      <c r="AL329" s="22"/>
      <c r="AM329" s="22"/>
      <c r="AN329" s="22"/>
    </row>
    <row r="330" spans="1:40" x14ac:dyDescent="0.25">
      <c r="A330" s="22"/>
      <c r="B330" s="22"/>
      <c r="C330" s="22"/>
      <c r="D330" s="22"/>
      <c r="E330" s="22"/>
      <c r="F330" s="22"/>
      <c r="G330" s="22"/>
      <c r="H330" s="22"/>
      <c r="I330" s="22"/>
      <c r="J330" s="22"/>
      <c r="K330" s="22"/>
      <c r="L330" s="22"/>
      <c r="M330" s="22"/>
      <c r="N330" s="22"/>
      <c r="O330" s="22"/>
      <c r="P330" s="22"/>
      <c r="Q330" s="22"/>
      <c r="R330" s="22"/>
      <c r="S330" s="22"/>
      <c r="T330" s="22"/>
      <c r="U330" s="22"/>
      <c r="V330" s="22"/>
      <c r="W330" s="22"/>
      <c r="X330" s="22"/>
      <c r="Y330" s="22"/>
      <c r="Z330" s="22"/>
      <c r="AA330" s="22"/>
      <c r="AB330" s="22"/>
      <c r="AC330" s="22"/>
      <c r="AD330" s="22"/>
      <c r="AE330" s="22"/>
      <c r="AF330" s="22"/>
      <c r="AG330" s="22"/>
      <c r="AH330" s="22"/>
      <c r="AI330" s="22"/>
      <c r="AJ330" s="22"/>
      <c r="AK330" s="22"/>
      <c r="AL330" s="22"/>
      <c r="AM330" s="22"/>
      <c r="AN330" s="22"/>
    </row>
    <row r="331" spans="1:40" x14ac:dyDescent="0.25">
      <c r="A331" s="22"/>
      <c r="B331" s="22"/>
      <c r="C331" s="22"/>
      <c r="D331" s="22"/>
      <c r="E331" s="22"/>
      <c r="F331" s="22"/>
      <c r="G331" s="22"/>
      <c r="H331" s="22"/>
      <c r="I331" s="22"/>
      <c r="J331" s="22"/>
      <c r="K331" s="22"/>
      <c r="L331" s="22"/>
      <c r="M331" s="22"/>
      <c r="N331" s="22"/>
      <c r="O331" s="22"/>
      <c r="P331" s="22"/>
      <c r="Q331" s="22"/>
      <c r="R331" s="22"/>
      <c r="S331" s="22"/>
      <c r="T331" s="22"/>
      <c r="U331" s="22"/>
      <c r="V331" s="22"/>
      <c r="W331" s="22"/>
      <c r="X331" s="22"/>
      <c r="Y331" s="22"/>
      <c r="Z331" s="22"/>
      <c r="AA331" s="22"/>
      <c r="AB331" s="22"/>
      <c r="AC331" s="22"/>
      <c r="AD331" s="22"/>
      <c r="AE331" s="22"/>
      <c r="AF331" s="22"/>
      <c r="AG331" s="22"/>
      <c r="AH331" s="22"/>
      <c r="AI331" s="22"/>
      <c r="AJ331" s="22"/>
      <c r="AK331" s="22"/>
      <c r="AL331" s="22"/>
      <c r="AM331" s="22"/>
      <c r="AN331" s="22"/>
    </row>
    <row r="332" spans="1:40" x14ac:dyDescent="0.25">
      <c r="A332" s="22"/>
      <c r="B332" s="22"/>
      <c r="C332" s="22"/>
      <c r="D332" s="22"/>
      <c r="E332" s="22"/>
      <c r="F332" s="22"/>
      <c r="G332" s="22"/>
      <c r="H332" s="22"/>
      <c r="I332" s="22"/>
      <c r="J332" s="22"/>
      <c r="K332" s="22"/>
      <c r="L332" s="22"/>
      <c r="M332" s="22"/>
      <c r="N332" s="22"/>
      <c r="O332" s="22"/>
      <c r="P332" s="22"/>
      <c r="Q332" s="22"/>
      <c r="R332" s="22"/>
      <c r="S332" s="22"/>
      <c r="T332" s="22"/>
      <c r="U332" s="22"/>
      <c r="V332" s="22"/>
      <c r="W332" s="22"/>
      <c r="X332" s="22"/>
      <c r="Y332" s="22"/>
      <c r="Z332" s="22"/>
      <c r="AA332" s="22"/>
      <c r="AB332" s="22"/>
      <c r="AC332" s="22"/>
      <c r="AD332" s="22"/>
      <c r="AE332" s="22"/>
      <c r="AF332" s="22"/>
      <c r="AG332" s="22"/>
      <c r="AH332" s="22"/>
      <c r="AI332" s="22"/>
      <c r="AJ332" s="22"/>
      <c r="AK332" s="22"/>
      <c r="AL332" s="22"/>
      <c r="AM332" s="22"/>
      <c r="AN332" s="22"/>
    </row>
    <row r="333" spans="1:40" x14ac:dyDescent="0.25">
      <c r="A333" s="22"/>
      <c r="B333" s="22"/>
      <c r="C333" s="22"/>
      <c r="D333" s="22"/>
      <c r="E333" s="22"/>
      <c r="F333" s="22"/>
      <c r="G333" s="22"/>
      <c r="H333" s="22"/>
      <c r="I333" s="22"/>
      <c r="J333" s="22"/>
      <c r="K333" s="22"/>
      <c r="L333" s="22"/>
      <c r="M333" s="22"/>
      <c r="N333" s="22"/>
      <c r="O333" s="22"/>
      <c r="P333" s="22"/>
      <c r="Q333" s="22"/>
      <c r="R333" s="22"/>
      <c r="S333" s="22"/>
      <c r="T333" s="22"/>
      <c r="U333" s="22"/>
      <c r="V333" s="22"/>
      <c r="W333" s="22"/>
      <c r="X333" s="22"/>
      <c r="Y333" s="22"/>
      <c r="Z333" s="22"/>
      <c r="AA333" s="22"/>
      <c r="AB333" s="22"/>
      <c r="AC333" s="22"/>
      <c r="AD333" s="22"/>
      <c r="AE333" s="22"/>
      <c r="AF333" s="22"/>
      <c r="AG333" s="22"/>
      <c r="AH333" s="22"/>
      <c r="AI333" s="22"/>
      <c r="AJ333" s="22"/>
      <c r="AK333" s="22"/>
      <c r="AL333" s="22"/>
      <c r="AM333" s="22"/>
      <c r="AN333" s="22"/>
    </row>
    <row r="334" spans="1:40" x14ac:dyDescent="0.25">
      <c r="A334" s="22"/>
      <c r="B334" s="22"/>
      <c r="C334" s="22"/>
      <c r="D334" s="22"/>
      <c r="E334" s="22"/>
      <c r="F334" s="22"/>
      <c r="G334" s="22"/>
      <c r="H334" s="22"/>
      <c r="I334" s="22"/>
      <c r="J334" s="22"/>
      <c r="K334" s="22"/>
      <c r="L334" s="22"/>
      <c r="M334" s="22"/>
      <c r="N334" s="22"/>
      <c r="O334" s="22"/>
      <c r="P334" s="22"/>
      <c r="Q334" s="22"/>
      <c r="R334" s="22"/>
      <c r="S334" s="22"/>
      <c r="T334" s="22"/>
      <c r="U334" s="22"/>
      <c r="V334" s="22"/>
      <c r="W334" s="22"/>
      <c r="X334" s="22"/>
      <c r="Y334" s="22"/>
      <c r="Z334" s="22"/>
      <c r="AA334" s="22"/>
      <c r="AB334" s="22"/>
      <c r="AC334" s="22"/>
      <c r="AD334" s="22"/>
      <c r="AE334" s="22"/>
      <c r="AF334" s="22"/>
      <c r="AG334" s="22"/>
      <c r="AH334" s="22"/>
      <c r="AI334" s="22"/>
      <c r="AJ334" s="22"/>
      <c r="AK334" s="22"/>
      <c r="AL334" s="22"/>
      <c r="AM334" s="22"/>
      <c r="AN334" s="22"/>
    </row>
    <row r="335" spans="1:40" x14ac:dyDescent="0.25">
      <c r="A335" s="22"/>
      <c r="B335" s="22"/>
      <c r="C335" s="22"/>
      <c r="D335" s="22"/>
      <c r="E335" s="22"/>
      <c r="F335" s="22"/>
      <c r="G335" s="22"/>
      <c r="H335" s="22"/>
      <c r="I335" s="22"/>
      <c r="J335" s="22"/>
      <c r="K335" s="22"/>
      <c r="L335" s="22"/>
      <c r="M335" s="22"/>
      <c r="N335" s="22"/>
      <c r="O335" s="22"/>
      <c r="P335" s="22"/>
      <c r="Q335" s="22"/>
      <c r="R335" s="22"/>
      <c r="S335" s="22"/>
      <c r="T335" s="22"/>
      <c r="U335" s="22"/>
      <c r="V335" s="22"/>
      <c r="W335" s="22"/>
      <c r="X335" s="22"/>
      <c r="Y335" s="22"/>
      <c r="Z335" s="22"/>
      <c r="AA335" s="22"/>
      <c r="AB335" s="22"/>
      <c r="AC335" s="22"/>
      <c r="AD335" s="22"/>
      <c r="AE335" s="22"/>
      <c r="AF335" s="22"/>
      <c r="AG335" s="22"/>
      <c r="AH335" s="22"/>
      <c r="AI335" s="22"/>
      <c r="AJ335" s="22"/>
      <c r="AK335" s="22"/>
      <c r="AL335" s="22"/>
      <c r="AM335" s="22"/>
      <c r="AN335" s="22"/>
    </row>
    <row r="336" spans="1:40" x14ac:dyDescent="0.25">
      <c r="A336" s="22"/>
      <c r="B336" s="22"/>
      <c r="C336" s="22"/>
      <c r="D336" s="22"/>
      <c r="E336" s="22"/>
      <c r="F336" s="22"/>
      <c r="G336" s="22"/>
      <c r="H336" s="22"/>
      <c r="I336" s="22"/>
      <c r="J336" s="22"/>
      <c r="K336" s="22"/>
      <c r="L336" s="22"/>
      <c r="M336" s="22"/>
      <c r="N336" s="22"/>
      <c r="O336" s="22"/>
      <c r="P336" s="22"/>
      <c r="Q336" s="22"/>
      <c r="R336" s="22"/>
      <c r="S336" s="22"/>
      <c r="T336" s="22"/>
      <c r="U336" s="22"/>
      <c r="V336" s="22"/>
      <c r="W336" s="22"/>
      <c r="X336" s="22"/>
      <c r="Y336" s="22"/>
      <c r="Z336" s="22"/>
      <c r="AA336" s="22"/>
      <c r="AB336" s="22"/>
      <c r="AC336" s="22"/>
      <c r="AD336" s="22"/>
      <c r="AE336" s="22"/>
      <c r="AF336" s="22"/>
      <c r="AG336" s="22"/>
      <c r="AH336" s="22"/>
      <c r="AI336" s="22"/>
      <c r="AJ336" s="22"/>
      <c r="AK336" s="22"/>
      <c r="AL336" s="22"/>
      <c r="AM336" s="22"/>
      <c r="AN336" s="22"/>
    </row>
    <row r="337" spans="1:40" x14ac:dyDescent="0.25">
      <c r="A337" s="22"/>
      <c r="B337" s="22"/>
      <c r="C337" s="22"/>
      <c r="D337" s="22"/>
      <c r="E337" s="22"/>
      <c r="F337" s="22"/>
      <c r="G337" s="22"/>
      <c r="H337" s="22"/>
      <c r="I337" s="22"/>
      <c r="J337" s="22"/>
      <c r="K337" s="22"/>
      <c r="L337" s="22"/>
      <c r="M337" s="22"/>
      <c r="N337" s="22"/>
      <c r="O337" s="22"/>
      <c r="P337" s="22"/>
      <c r="Q337" s="22"/>
      <c r="R337" s="22"/>
      <c r="S337" s="22"/>
      <c r="T337" s="22"/>
      <c r="U337" s="22"/>
      <c r="V337" s="22"/>
      <c r="W337" s="22"/>
      <c r="X337" s="22"/>
      <c r="Y337" s="22"/>
      <c r="Z337" s="22"/>
      <c r="AA337" s="22"/>
      <c r="AB337" s="22"/>
      <c r="AC337" s="22"/>
      <c r="AD337" s="22"/>
      <c r="AE337" s="22"/>
      <c r="AF337" s="22"/>
      <c r="AG337" s="22"/>
      <c r="AH337" s="22"/>
      <c r="AI337" s="22"/>
      <c r="AJ337" s="22"/>
      <c r="AK337" s="22"/>
      <c r="AL337" s="22"/>
      <c r="AM337" s="22"/>
      <c r="AN337" s="22"/>
    </row>
    <row r="338" spans="1:40" x14ac:dyDescent="0.25">
      <c r="A338" s="22"/>
      <c r="B338" s="22"/>
      <c r="C338" s="22"/>
      <c r="D338" s="22"/>
      <c r="E338" s="22"/>
      <c r="F338" s="22"/>
      <c r="G338" s="22"/>
      <c r="H338" s="22"/>
      <c r="I338" s="22"/>
      <c r="J338" s="22"/>
      <c r="K338" s="22"/>
      <c r="L338" s="22"/>
      <c r="M338" s="22"/>
      <c r="N338" s="22"/>
      <c r="O338" s="22"/>
      <c r="P338" s="22"/>
      <c r="Q338" s="22"/>
      <c r="R338" s="22"/>
      <c r="S338" s="22"/>
      <c r="T338" s="22"/>
      <c r="U338" s="22"/>
      <c r="V338" s="22"/>
      <c r="W338" s="22"/>
      <c r="X338" s="22"/>
      <c r="Y338" s="22"/>
      <c r="Z338" s="22"/>
      <c r="AA338" s="22"/>
      <c r="AB338" s="22"/>
      <c r="AC338" s="22"/>
      <c r="AD338" s="22"/>
      <c r="AE338" s="22"/>
      <c r="AF338" s="22"/>
      <c r="AG338" s="22"/>
      <c r="AH338" s="22"/>
      <c r="AI338" s="22"/>
      <c r="AJ338" s="22"/>
      <c r="AK338" s="22"/>
      <c r="AL338" s="22"/>
      <c r="AM338" s="22"/>
      <c r="AN338" s="22"/>
    </row>
    <row r="339" spans="1:40" x14ac:dyDescent="0.25">
      <c r="A339" s="22"/>
      <c r="B339" s="22"/>
      <c r="C339" s="22"/>
      <c r="D339" s="22"/>
      <c r="E339" s="22"/>
      <c r="F339" s="22"/>
      <c r="G339" s="22"/>
      <c r="H339" s="22"/>
      <c r="I339" s="22"/>
      <c r="J339" s="22"/>
      <c r="K339" s="22"/>
      <c r="L339" s="22"/>
      <c r="M339" s="22"/>
      <c r="N339" s="22"/>
      <c r="O339" s="22"/>
      <c r="P339" s="22"/>
      <c r="Q339" s="22"/>
      <c r="R339" s="22"/>
      <c r="S339" s="22"/>
      <c r="T339" s="22"/>
      <c r="U339" s="22"/>
      <c r="V339" s="22"/>
      <c r="W339" s="22"/>
      <c r="X339" s="22"/>
      <c r="Y339" s="22"/>
      <c r="Z339" s="22"/>
      <c r="AA339" s="22"/>
      <c r="AB339" s="22"/>
      <c r="AC339" s="22"/>
      <c r="AD339" s="22"/>
      <c r="AE339" s="22"/>
      <c r="AF339" s="22"/>
      <c r="AG339" s="22"/>
      <c r="AH339" s="22"/>
      <c r="AI339" s="22"/>
      <c r="AJ339" s="22"/>
      <c r="AK339" s="22"/>
      <c r="AL339" s="22"/>
      <c r="AM339" s="22"/>
      <c r="AN339" s="22"/>
    </row>
    <row r="340" spans="1:40" x14ac:dyDescent="0.25">
      <c r="A340" s="22"/>
      <c r="B340" s="22"/>
      <c r="C340" s="22"/>
      <c r="D340" s="22"/>
      <c r="E340" s="22"/>
      <c r="F340" s="22"/>
      <c r="G340" s="22"/>
      <c r="H340" s="22"/>
      <c r="I340" s="22"/>
      <c r="J340" s="22"/>
      <c r="K340" s="22"/>
      <c r="L340" s="22"/>
      <c r="M340" s="22"/>
      <c r="N340" s="22"/>
      <c r="O340" s="22"/>
      <c r="P340" s="22"/>
      <c r="Q340" s="22"/>
      <c r="R340" s="22"/>
      <c r="S340" s="22"/>
      <c r="T340" s="22"/>
      <c r="U340" s="22"/>
      <c r="V340" s="22"/>
      <c r="W340" s="22"/>
      <c r="X340" s="22"/>
      <c r="Y340" s="22"/>
      <c r="Z340" s="22"/>
      <c r="AA340" s="22"/>
      <c r="AB340" s="22"/>
      <c r="AC340" s="22"/>
      <c r="AD340" s="22"/>
      <c r="AE340" s="22"/>
      <c r="AF340" s="22"/>
      <c r="AG340" s="22"/>
      <c r="AH340" s="22"/>
      <c r="AI340" s="22"/>
      <c r="AJ340" s="22"/>
      <c r="AK340" s="22"/>
      <c r="AL340" s="22"/>
      <c r="AM340" s="22"/>
      <c r="AN340" s="22"/>
    </row>
    <row r="341" spans="1:40" x14ac:dyDescent="0.25">
      <c r="A341" s="22"/>
      <c r="B341" s="22"/>
      <c r="C341" s="22"/>
      <c r="D341" s="22"/>
      <c r="E341" s="22"/>
      <c r="F341" s="22"/>
      <c r="G341" s="22"/>
      <c r="H341" s="22"/>
      <c r="I341" s="22"/>
      <c r="J341" s="22"/>
      <c r="K341" s="22"/>
      <c r="L341" s="22"/>
      <c r="M341" s="22"/>
      <c r="N341" s="22"/>
      <c r="O341" s="22"/>
      <c r="P341" s="22"/>
      <c r="Q341" s="22"/>
      <c r="R341" s="22"/>
      <c r="S341" s="22"/>
      <c r="T341" s="22"/>
      <c r="U341" s="22"/>
      <c r="V341" s="22"/>
      <c r="W341" s="22"/>
      <c r="X341" s="22"/>
      <c r="Y341" s="22"/>
      <c r="Z341" s="22"/>
      <c r="AA341" s="22"/>
      <c r="AB341" s="22"/>
      <c r="AC341" s="22"/>
      <c r="AD341" s="22"/>
      <c r="AE341" s="22"/>
      <c r="AF341" s="22"/>
      <c r="AG341" s="22"/>
      <c r="AH341" s="22"/>
      <c r="AI341" s="22"/>
      <c r="AJ341" s="22"/>
      <c r="AK341" s="22"/>
      <c r="AL341" s="22"/>
      <c r="AM341" s="22"/>
      <c r="AN341" s="22"/>
    </row>
    <row r="342" spans="1:40" x14ac:dyDescent="0.25">
      <c r="A342" s="22"/>
      <c r="B342" s="22"/>
      <c r="C342" s="22"/>
      <c r="D342" s="22"/>
      <c r="E342" s="22"/>
      <c r="F342" s="22"/>
      <c r="G342" s="22"/>
      <c r="H342" s="22"/>
      <c r="I342" s="22"/>
      <c r="J342" s="22"/>
      <c r="K342" s="22"/>
      <c r="L342" s="22"/>
      <c r="M342" s="22"/>
      <c r="N342" s="22"/>
      <c r="O342" s="22"/>
      <c r="P342" s="22"/>
      <c r="Q342" s="22"/>
      <c r="R342" s="22"/>
      <c r="S342" s="22"/>
      <c r="T342" s="22"/>
      <c r="U342" s="22"/>
      <c r="V342" s="22"/>
      <c r="W342" s="22"/>
      <c r="X342" s="22"/>
      <c r="Y342" s="22"/>
      <c r="Z342" s="22"/>
      <c r="AA342" s="22"/>
      <c r="AB342" s="22"/>
      <c r="AC342" s="22"/>
      <c r="AD342" s="22"/>
      <c r="AE342" s="22"/>
      <c r="AF342" s="22"/>
      <c r="AG342" s="22"/>
      <c r="AH342" s="22"/>
      <c r="AI342" s="22"/>
      <c r="AJ342" s="22"/>
      <c r="AK342" s="22"/>
      <c r="AL342" s="22"/>
      <c r="AM342" s="22"/>
      <c r="AN342" s="22"/>
    </row>
    <row r="343" spans="1:40" x14ac:dyDescent="0.25">
      <c r="A343" s="22"/>
      <c r="B343" s="22"/>
      <c r="C343" s="22"/>
      <c r="D343" s="22"/>
      <c r="E343" s="22"/>
      <c r="F343" s="22"/>
      <c r="G343" s="22"/>
      <c r="H343" s="22"/>
      <c r="I343" s="22"/>
      <c r="J343" s="22"/>
      <c r="K343" s="22"/>
      <c r="L343" s="22"/>
      <c r="M343" s="22"/>
      <c r="N343" s="22"/>
      <c r="O343" s="22"/>
      <c r="P343" s="22"/>
      <c r="Q343" s="22"/>
      <c r="R343" s="22"/>
      <c r="S343" s="22"/>
      <c r="T343" s="22"/>
      <c r="U343" s="22"/>
      <c r="V343" s="22"/>
      <c r="W343" s="22"/>
      <c r="X343" s="22"/>
      <c r="Y343" s="22"/>
      <c r="Z343" s="22"/>
      <c r="AA343" s="22"/>
      <c r="AB343" s="22"/>
      <c r="AC343" s="22"/>
      <c r="AD343" s="22"/>
      <c r="AE343" s="22"/>
      <c r="AF343" s="22"/>
      <c r="AG343" s="22"/>
      <c r="AH343" s="22"/>
      <c r="AI343" s="22"/>
      <c r="AJ343" s="22"/>
      <c r="AK343" s="22"/>
      <c r="AL343" s="22"/>
      <c r="AM343" s="22"/>
      <c r="AN343" s="22"/>
    </row>
    <row r="344" spans="1:40" x14ac:dyDescent="0.25">
      <c r="A344" s="22"/>
      <c r="B344" s="22"/>
      <c r="C344" s="22"/>
      <c r="D344" s="22"/>
      <c r="E344" s="22"/>
      <c r="F344" s="22"/>
      <c r="G344" s="22"/>
      <c r="H344" s="22"/>
      <c r="I344" s="22"/>
      <c r="J344" s="22"/>
      <c r="K344" s="22"/>
      <c r="L344" s="22"/>
      <c r="M344" s="22"/>
      <c r="N344" s="22"/>
      <c r="O344" s="22"/>
      <c r="P344" s="22"/>
      <c r="Q344" s="22"/>
      <c r="R344" s="22"/>
      <c r="S344" s="22"/>
      <c r="T344" s="22"/>
      <c r="U344" s="22"/>
      <c r="V344" s="22"/>
      <c r="W344" s="22"/>
      <c r="X344" s="22"/>
      <c r="Y344" s="22"/>
      <c r="Z344" s="22"/>
      <c r="AA344" s="22"/>
      <c r="AB344" s="22"/>
      <c r="AC344" s="22"/>
      <c r="AD344" s="22"/>
      <c r="AE344" s="22"/>
      <c r="AF344" s="22"/>
      <c r="AG344" s="22"/>
      <c r="AH344" s="22"/>
      <c r="AI344" s="22"/>
      <c r="AJ344" s="22"/>
      <c r="AK344" s="22"/>
      <c r="AL344" s="22"/>
      <c r="AM344" s="22"/>
      <c r="AN344" s="22"/>
    </row>
    <row r="345" spans="1:40" x14ac:dyDescent="0.25">
      <c r="A345" s="22"/>
      <c r="B345" s="22"/>
      <c r="C345" s="22"/>
      <c r="D345" s="22"/>
      <c r="E345" s="22"/>
      <c r="F345" s="22"/>
      <c r="G345" s="22"/>
      <c r="H345" s="22"/>
      <c r="I345" s="22"/>
      <c r="J345" s="22"/>
      <c r="K345" s="22"/>
      <c r="L345" s="22"/>
      <c r="M345" s="22"/>
      <c r="N345" s="22"/>
      <c r="O345" s="22"/>
      <c r="P345" s="22"/>
      <c r="Q345" s="22"/>
      <c r="R345" s="22"/>
      <c r="S345" s="22"/>
      <c r="T345" s="22"/>
      <c r="U345" s="22"/>
      <c r="V345" s="22"/>
      <c r="W345" s="22"/>
      <c r="X345" s="22"/>
      <c r="Y345" s="22"/>
      <c r="Z345" s="22"/>
      <c r="AA345" s="22"/>
      <c r="AB345" s="22"/>
      <c r="AC345" s="22"/>
      <c r="AD345" s="22"/>
      <c r="AE345" s="22"/>
      <c r="AF345" s="22"/>
      <c r="AG345" s="22"/>
      <c r="AH345" s="22"/>
      <c r="AI345" s="22"/>
      <c r="AJ345" s="22"/>
      <c r="AK345" s="22"/>
      <c r="AL345" s="22"/>
      <c r="AM345" s="22"/>
      <c r="AN345" s="22"/>
    </row>
    <row r="346" spans="1:40" x14ac:dyDescent="0.25">
      <c r="A346" s="22"/>
      <c r="B346" s="22"/>
      <c r="C346" s="22"/>
      <c r="D346" s="22"/>
      <c r="E346" s="22"/>
      <c r="F346" s="22"/>
      <c r="G346" s="22"/>
      <c r="H346" s="22"/>
      <c r="I346" s="22"/>
      <c r="J346" s="22"/>
      <c r="K346" s="22"/>
      <c r="L346" s="22"/>
      <c r="M346" s="22"/>
      <c r="N346" s="22"/>
      <c r="O346" s="22"/>
      <c r="P346" s="22"/>
      <c r="Q346" s="22"/>
      <c r="R346" s="22"/>
      <c r="S346" s="22"/>
      <c r="T346" s="22"/>
      <c r="U346" s="22"/>
      <c r="V346" s="22"/>
      <c r="W346" s="22"/>
      <c r="X346" s="22"/>
      <c r="Y346" s="22"/>
      <c r="Z346" s="22"/>
      <c r="AA346" s="22"/>
      <c r="AB346" s="22"/>
      <c r="AC346" s="22"/>
      <c r="AD346" s="22"/>
      <c r="AE346" s="22"/>
      <c r="AF346" s="22"/>
      <c r="AG346" s="22"/>
      <c r="AH346" s="22"/>
      <c r="AI346" s="22"/>
      <c r="AJ346" s="22"/>
      <c r="AK346" s="22"/>
      <c r="AL346" s="22"/>
      <c r="AM346" s="22"/>
      <c r="AN346" s="22"/>
    </row>
    <row r="347" spans="1:40" x14ac:dyDescent="0.25">
      <c r="A347" s="22"/>
      <c r="B347" s="22"/>
      <c r="C347" s="22"/>
      <c r="D347" s="22"/>
      <c r="E347" s="22"/>
      <c r="F347" s="22"/>
      <c r="G347" s="22"/>
      <c r="H347" s="22"/>
      <c r="I347" s="22"/>
      <c r="J347" s="22"/>
      <c r="K347" s="22"/>
      <c r="L347" s="22"/>
      <c r="M347" s="22"/>
      <c r="N347" s="22"/>
      <c r="O347" s="22"/>
      <c r="P347" s="22"/>
      <c r="Q347" s="22"/>
      <c r="R347" s="22"/>
      <c r="S347" s="22"/>
      <c r="T347" s="22"/>
      <c r="U347" s="22"/>
      <c r="V347" s="22"/>
      <c r="W347" s="22"/>
      <c r="X347" s="22"/>
      <c r="Y347" s="22"/>
      <c r="Z347" s="22"/>
      <c r="AA347" s="22"/>
      <c r="AB347" s="22"/>
      <c r="AC347" s="22"/>
      <c r="AD347" s="22"/>
      <c r="AE347" s="22"/>
      <c r="AF347" s="22"/>
      <c r="AG347" s="22"/>
      <c r="AH347" s="22"/>
      <c r="AI347" s="22"/>
      <c r="AJ347" s="22"/>
      <c r="AK347" s="22"/>
      <c r="AL347" s="22"/>
      <c r="AM347" s="22"/>
      <c r="AN347" s="22"/>
    </row>
    <row r="348" spans="1:40" x14ac:dyDescent="0.25">
      <c r="A348" s="22"/>
      <c r="B348" s="22"/>
      <c r="C348" s="22"/>
      <c r="D348" s="22"/>
      <c r="E348" s="22"/>
      <c r="F348" s="22"/>
      <c r="G348" s="22"/>
      <c r="H348" s="22"/>
      <c r="I348" s="22"/>
      <c r="J348" s="22"/>
      <c r="K348" s="22"/>
      <c r="L348" s="22"/>
      <c r="M348" s="22"/>
      <c r="N348" s="22"/>
      <c r="O348" s="22"/>
      <c r="P348" s="22"/>
      <c r="Q348" s="22"/>
      <c r="R348" s="22"/>
      <c r="S348" s="22"/>
      <c r="T348" s="22"/>
      <c r="U348" s="22"/>
      <c r="V348" s="22"/>
      <c r="W348" s="22"/>
      <c r="X348" s="22"/>
      <c r="Y348" s="22"/>
      <c r="Z348" s="22"/>
      <c r="AA348" s="22"/>
      <c r="AB348" s="22"/>
      <c r="AC348" s="22"/>
      <c r="AD348" s="22"/>
      <c r="AE348" s="22"/>
      <c r="AF348" s="22"/>
      <c r="AG348" s="22"/>
      <c r="AH348" s="22"/>
      <c r="AI348" s="22"/>
      <c r="AJ348" s="22"/>
      <c r="AK348" s="22"/>
      <c r="AL348" s="22"/>
      <c r="AM348" s="22"/>
      <c r="AN348" s="22"/>
    </row>
    <row r="349" spans="1:40" x14ac:dyDescent="0.25">
      <c r="A349" s="22"/>
      <c r="B349" s="22"/>
      <c r="C349" s="22"/>
      <c r="D349" s="22"/>
      <c r="E349" s="22"/>
      <c r="F349" s="22"/>
      <c r="G349" s="22"/>
      <c r="H349" s="22"/>
      <c r="I349" s="22"/>
      <c r="J349" s="22"/>
      <c r="K349" s="22"/>
      <c r="L349" s="22"/>
      <c r="M349" s="22"/>
      <c r="N349" s="22"/>
      <c r="O349" s="22"/>
      <c r="P349" s="22"/>
      <c r="Q349" s="22"/>
      <c r="R349" s="22"/>
      <c r="S349" s="22"/>
      <c r="T349" s="22"/>
      <c r="U349" s="22"/>
      <c r="V349" s="22"/>
      <c r="W349" s="22"/>
      <c r="X349" s="22"/>
      <c r="Y349" s="22"/>
      <c r="Z349" s="22"/>
      <c r="AA349" s="22"/>
      <c r="AB349" s="22"/>
      <c r="AC349" s="22"/>
      <c r="AD349" s="22"/>
      <c r="AE349" s="22"/>
      <c r="AF349" s="22"/>
      <c r="AG349" s="22"/>
      <c r="AH349" s="22"/>
      <c r="AI349" s="22"/>
      <c r="AJ349" s="22"/>
      <c r="AK349" s="22"/>
      <c r="AL349" s="22"/>
      <c r="AM349" s="22"/>
      <c r="AN349" s="22"/>
    </row>
    <row r="350" spans="1:40" x14ac:dyDescent="0.25">
      <c r="A350" s="22"/>
      <c r="B350" s="22"/>
      <c r="C350" s="22"/>
      <c r="D350" s="22"/>
      <c r="E350" s="22"/>
      <c r="F350" s="22"/>
      <c r="G350" s="22"/>
      <c r="H350" s="22"/>
      <c r="I350" s="22"/>
      <c r="J350" s="22"/>
      <c r="K350" s="22"/>
      <c r="L350" s="22"/>
      <c r="M350" s="22"/>
      <c r="N350" s="22"/>
      <c r="O350" s="22"/>
      <c r="P350" s="22"/>
      <c r="Q350" s="22"/>
      <c r="R350" s="22"/>
      <c r="S350" s="22"/>
      <c r="T350" s="22"/>
      <c r="U350" s="22"/>
      <c r="V350" s="22"/>
      <c r="W350" s="22"/>
      <c r="X350" s="22"/>
      <c r="Y350" s="22"/>
      <c r="Z350" s="22"/>
      <c r="AA350" s="22"/>
      <c r="AB350" s="22"/>
      <c r="AC350" s="22"/>
      <c r="AD350" s="22"/>
      <c r="AE350" s="22"/>
      <c r="AF350" s="22"/>
      <c r="AG350" s="22"/>
      <c r="AH350" s="22"/>
      <c r="AI350" s="22"/>
      <c r="AJ350" s="22"/>
      <c r="AK350" s="22"/>
      <c r="AL350" s="22"/>
      <c r="AM350" s="22"/>
      <c r="AN350" s="22"/>
    </row>
    <row r="351" spans="1:40" x14ac:dyDescent="0.25">
      <c r="A351" s="22"/>
      <c r="B351" s="22"/>
      <c r="C351" s="22"/>
      <c r="D351" s="22"/>
      <c r="E351" s="22"/>
      <c r="F351" s="22"/>
      <c r="G351" s="22"/>
      <c r="H351" s="22"/>
      <c r="I351" s="22"/>
      <c r="J351" s="22"/>
      <c r="K351" s="22"/>
      <c r="L351" s="22"/>
      <c r="M351" s="22"/>
      <c r="N351" s="22"/>
      <c r="O351" s="22"/>
      <c r="P351" s="22"/>
      <c r="Q351" s="22"/>
      <c r="R351" s="22"/>
      <c r="S351" s="22"/>
      <c r="T351" s="22"/>
      <c r="U351" s="22"/>
      <c r="V351" s="22"/>
      <c r="W351" s="22"/>
      <c r="X351" s="22"/>
      <c r="Y351" s="22"/>
      <c r="Z351" s="22"/>
      <c r="AA351" s="22"/>
      <c r="AB351" s="22"/>
      <c r="AC351" s="22"/>
      <c r="AD351" s="22"/>
      <c r="AE351" s="22"/>
      <c r="AF351" s="22"/>
      <c r="AG351" s="22"/>
      <c r="AH351" s="22"/>
      <c r="AI351" s="22"/>
      <c r="AJ351" s="22"/>
      <c r="AK351" s="22"/>
      <c r="AL351" s="22"/>
      <c r="AM351" s="22"/>
      <c r="AN351" s="22"/>
    </row>
    <row r="352" spans="1:40" x14ac:dyDescent="0.25">
      <c r="A352" s="22"/>
      <c r="B352" s="22"/>
      <c r="C352" s="22"/>
      <c r="D352" s="22"/>
      <c r="E352" s="22"/>
      <c r="F352" s="22"/>
      <c r="G352" s="22"/>
      <c r="H352" s="22"/>
      <c r="I352" s="22"/>
      <c r="J352" s="22"/>
      <c r="K352" s="22"/>
      <c r="L352" s="22"/>
      <c r="M352" s="22"/>
      <c r="N352" s="22"/>
      <c r="O352" s="22"/>
      <c r="P352" s="22"/>
      <c r="Q352" s="22"/>
      <c r="R352" s="22"/>
      <c r="S352" s="22"/>
      <c r="T352" s="22"/>
      <c r="U352" s="22"/>
      <c r="V352" s="22"/>
      <c r="W352" s="22"/>
      <c r="X352" s="22"/>
      <c r="Y352" s="22"/>
      <c r="Z352" s="22"/>
      <c r="AA352" s="22"/>
      <c r="AB352" s="22"/>
      <c r="AC352" s="22"/>
      <c r="AD352" s="22"/>
      <c r="AE352" s="22"/>
      <c r="AF352" s="22"/>
      <c r="AG352" s="22"/>
      <c r="AH352" s="22"/>
      <c r="AI352" s="22"/>
      <c r="AJ352" s="22"/>
      <c r="AK352" s="22"/>
      <c r="AL352" s="22"/>
      <c r="AM352" s="22"/>
      <c r="AN352" s="22"/>
    </row>
    <row r="353" spans="1:40" x14ac:dyDescent="0.25">
      <c r="A353" s="22"/>
      <c r="B353" s="22"/>
      <c r="C353" s="22"/>
      <c r="D353" s="22"/>
      <c r="E353" s="22"/>
      <c r="F353" s="22"/>
      <c r="G353" s="22"/>
      <c r="H353" s="22"/>
      <c r="I353" s="22"/>
      <c r="J353" s="22"/>
      <c r="K353" s="22"/>
      <c r="L353" s="22"/>
      <c r="M353" s="22"/>
      <c r="N353" s="22"/>
      <c r="O353" s="22"/>
      <c r="P353" s="22"/>
      <c r="Q353" s="22"/>
      <c r="R353" s="22"/>
      <c r="S353" s="22"/>
      <c r="T353" s="22"/>
      <c r="U353" s="22"/>
      <c r="V353" s="22"/>
      <c r="W353" s="22"/>
      <c r="X353" s="22"/>
      <c r="Y353" s="22"/>
      <c r="Z353" s="22"/>
      <c r="AA353" s="22"/>
      <c r="AB353" s="22"/>
      <c r="AC353" s="22"/>
      <c r="AD353" s="22"/>
      <c r="AE353" s="22"/>
      <c r="AF353" s="22"/>
      <c r="AG353" s="22"/>
      <c r="AH353" s="22"/>
      <c r="AI353" s="22"/>
      <c r="AJ353" s="22"/>
      <c r="AK353" s="22"/>
      <c r="AL353" s="22"/>
      <c r="AM353" s="22"/>
      <c r="AN353" s="22"/>
    </row>
    <row r="354" spans="1:40" x14ac:dyDescent="0.25">
      <c r="A354" s="22"/>
      <c r="B354" s="22"/>
      <c r="C354" s="22"/>
      <c r="D354" s="22"/>
      <c r="E354" s="22"/>
      <c r="F354" s="22"/>
      <c r="G354" s="22"/>
      <c r="H354" s="22"/>
      <c r="I354" s="22"/>
      <c r="J354" s="22"/>
      <c r="K354" s="22"/>
      <c r="L354" s="22"/>
      <c r="M354" s="22"/>
      <c r="N354" s="22"/>
      <c r="O354" s="22"/>
      <c r="P354" s="22"/>
      <c r="Q354" s="22"/>
      <c r="R354" s="22"/>
      <c r="S354" s="22"/>
      <c r="T354" s="22"/>
      <c r="U354" s="22"/>
      <c r="V354" s="22"/>
      <c r="W354" s="22"/>
      <c r="X354" s="22"/>
      <c r="Y354" s="22"/>
      <c r="Z354" s="22"/>
      <c r="AA354" s="22"/>
      <c r="AB354" s="22"/>
      <c r="AC354" s="22"/>
      <c r="AD354" s="22"/>
      <c r="AE354" s="22"/>
      <c r="AF354" s="22"/>
      <c r="AG354" s="22"/>
      <c r="AH354" s="22"/>
      <c r="AI354" s="22"/>
      <c r="AJ354" s="22"/>
      <c r="AK354" s="22"/>
      <c r="AL354" s="22"/>
      <c r="AM354" s="22"/>
      <c r="AN354" s="22"/>
    </row>
    <row r="355" spans="1:40" x14ac:dyDescent="0.25">
      <c r="A355" s="22"/>
      <c r="B355" s="22"/>
      <c r="C355" s="22"/>
      <c r="D355" s="22"/>
      <c r="E355" s="22"/>
      <c r="F355" s="22"/>
      <c r="G355" s="22"/>
      <c r="H355" s="22"/>
      <c r="I355" s="22"/>
      <c r="J355" s="22"/>
      <c r="K355" s="22"/>
      <c r="L355" s="22"/>
      <c r="M355" s="22"/>
      <c r="N355" s="22"/>
      <c r="O355" s="22"/>
      <c r="P355" s="22"/>
      <c r="Q355" s="22"/>
      <c r="R355" s="22"/>
      <c r="S355" s="22"/>
      <c r="T355" s="22"/>
      <c r="U355" s="22"/>
      <c r="V355" s="22"/>
      <c r="W355" s="22"/>
      <c r="X355" s="22"/>
      <c r="Y355" s="22"/>
      <c r="Z355" s="22"/>
      <c r="AA355" s="22"/>
      <c r="AB355" s="22"/>
      <c r="AC355" s="22"/>
      <c r="AD355" s="22"/>
      <c r="AE355" s="22"/>
      <c r="AF355" s="22"/>
      <c r="AG355" s="22"/>
      <c r="AH355" s="22"/>
      <c r="AI355" s="22"/>
      <c r="AJ355" s="22"/>
      <c r="AK355" s="22"/>
      <c r="AL355" s="22"/>
      <c r="AM355" s="22"/>
      <c r="AN355" s="22"/>
    </row>
    <row r="356" spans="1:40" x14ac:dyDescent="0.25">
      <c r="A356" s="22"/>
      <c r="B356" s="22"/>
      <c r="C356" s="22"/>
      <c r="D356" s="22"/>
      <c r="E356" s="22"/>
      <c r="F356" s="22"/>
      <c r="G356" s="22"/>
      <c r="H356" s="22"/>
      <c r="I356" s="22"/>
      <c r="J356" s="22"/>
      <c r="K356" s="22"/>
      <c r="L356" s="22"/>
      <c r="M356" s="22"/>
      <c r="N356" s="22"/>
      <c r="O356" s="22"/>
      <c r="P356" s="22"/>
      <c r="Q356" s="22"/>
      <c r="R356" s="22"/>
      <c r="S356" s="22"/>
      <c r="T356" s="22"/>
      <c r="U356" s="22"/>
      <c r="V356" s="22"/>
      <c r="W356" s="22"/>
      <c r="X356" s="22"/>
      <c r="Y356" s="22"/>
      <c r="Z356" s="22"/>
      <c r="AA356" s="22"/>
      <c r="AB356" s="22"/>
      <c r="AC356" s="22"/>
      <c r="AD356" s="22"/>
      <c r="AE356" s="22"/>
      <c r="AF356" s="22"/>
      <c r="AG356" s="22"/>
      <c r="AH356" s="22"/>
      <c r="AI356" s="22"/>
      <c r="AJ356" s="22"/>
      <c r="AK356" s="22"/>
      <c r="AL356" s="22"/>
      <c r="AM356" s="22"/>
      <c r="AN356" s="22"/>
    </row>
    <row r="357" spans="1:40" x14ac:dyDescent="0.25">
      <c r="A357" s="22"/>
      <c r="B357" s="22"/>
      <c r="C357" s="22"/>
      <c r="D357" s="22"/>
      <c r="E357" s="22"/>
      <c r="F357" s="22"/>
      <c r="G357" s="22"/>
      <c r="H357" s="22"/>
      <c r="I357" s="22"/>
      <c r="J357" s="22"/>
      <c r="K357" s="22"/>
      <c r="L357" s="22"/>
      <c r="M357" s="22"/>
      <c r="N357" s="22"/>
      <c r="O357" s="22"/>
      <c r="P357" s="22"/>
      <c r="Q357" s="22"/>
      <c r="R357" s="22"/>
      <c r="S357" s="22"/>
      <c r="T357" s="22"/>
      <c r="U357" s="22"/>
      <c r="V357" s="22"/>
      <c r="W357" s="22"/>
      <c r="X357" s="22"/>
      <c r="Y357" s="22"/>
      <c r="Z357" s="22"/>
      <c r="AA357" s="22"/>
      <c r="AB357" s="22"/>
      <c r="AC357" s="22"/>
      <c r="AD357" s="22"/>
      <c r="AE357" s="22"/>
      <c r="AF357" s="22"/>
      <c r="AG357" s="22"/>
      <c r="AH357" s="22"/>
      <c r="AI357" s="22"/>
      <c r="AJ357" s="22"/>
      <c r="AK357" s="22"/>
      <c r="AL357" s="22"/>
      <c r="AM357" s="22"/>
      <c r="AN357" s="22"/>
    </row>
    <row r="358" spans="1:40" x14ac:dyDescent="0.25">
      <c r="A358" s="22"/>
      <c r="B358" s="22"/>
      <c r="C358" s="22"/>
      <c r="D358" s="22"/>
      <c r="E358" s="22"/>
      <c r="F358" s="22"/>
      <c r="G358" s="22"/>
      <c r="H358" s="22"/>
      <c r="I358" s="22"/>
      <c r="J358" s="22"/>
      <c r="K358" s="22"/>
      <c r="L358" s="22"/>
      <c r="M358" s="22"/>
      <c r="N358" s="22"/>
      <c r="O358" s="22"/>
      <c r="P358" s="22"/>
      <c r="Q358" s="22"/>
      <c r="R358" s="22"/>
      <c r="S358" s="22"/>
      <c r="T358" s="22"/>
      <c r="U358" s="22"/>
      <c r="V358" s="22"/>
      <c r="W358" s="22"/>
      <c r="X358" s="22"/>
      <c r="Y358" s="22"/>
      <c r="Z358" s="22"/>
      <c r="AA358" s="22"/>
      <c r="AB358" s="22"/>
      <c r="AC358" s="22"/>
      <c r="AD358" s="22"/>
      <c r="AE358" s="22"/>
      <c r="AF358" s="22"/>
      <c r="AG358" s="22"/>
      <c r="AH358" s="22"/>
      <c r="AI358" s="22"/>
      <c r="AJ358" s="22"/>
      <c r="AK358" s="22"/>
      <c r="AL358" s="22"/>
      <c r="AM358" s="22"/>
      <c r="AN358" s="22"/>
    </row>
    <row r="359" spans="1:40" x14ac:dyDescent="0.25">
      <c r="A359" s="22"/>
      <c r="B359" s="22"/>
      <c r="C359" s="22"/>
      <c r="D359" s="22"/>
      <c r="E359" s="22"/>
      <c r="F359" s="22"/>
      <c r="G359" s="22"/>
      <c r="H359" s="22"/>
      <c r="I359" s="22"/>
      <c r="J359" s="22"/>
      <c r="K359" s="22"/>
      <c r="L359" s="22"/>
      <c r="M359" s="22"/>
      <c r="N359" s="22"/>
      <c r="O359" s="22"/>
      <c r="P359" s="22"/>
      <c r="Q359" s="22"/>
      <c r="R359" s="22"/>
      <c r="S359" s="22"/>
      <c r="T359" s="22"/>
      <c r="U359" s="22"/>
      <c r="V359" s="22"/>
      <c r="W359" s="22"/>
      <c r="X359" s="22"/>
      <c r="Y359" s="22"/>
      <c r="Z359" s="22"/>
      <c r="AA359" s="22"/>
      <c r="AB359" s="22"/>
      <c r="AC359" s="22"/>
      <c r="AD359" s="22"/>
      <c r="AE359" s="22"/>
      <c r="AF359" s="22"/>
      <c r="AG359" s="22"/>
      <c r="AH359" s="22"/>
      <c r="AI359" s="22"/>
      <c r="AJ359" s="22"/>
      <c r="AK359" s="22"/>
      <c r="AL359" s="22"/>
      <c r="AM359" s="22"/>
      <c r="AN359" s="22"/>
    </row>
    <row r="360" spans="1:40" x14ac:dyDescent="0.25">
      <c r="A360" s="22"/>
      <c r="B360" s="22"/>
      <c r="C360" s="22"/>
      <c r="D360" s="22"/>
      <c r="E360" s="22"/>
      <c r="F360" s="22"/>
      <c r="G360" s="22"/>
      <c r="H360" s="22"/>
      <c r="I360" s="22"/>
      <c r="J360" s="22"/>
      <c r="K360" s="22"/>
      <c r="L360" s="22"/>
      <c r="M360" s="22"/>
      <c r="N360" s="22"/>
      <c r="O360" s="22"/>
      <c r="P360" s="22"/>
      <c r="Q360" s="22"/>
      <c r="R360" s="22"/>
      <c r="S360" s="22"/>
      <c r="T360" s="22"/>
      <c r="U360" s="22"/>
      <c r="V360" s="22"/>
      <c r="W360" s="22"/>
      <c r="X360" s="22"/>
      <c r="Y360" s="22"/>
      <c r="Z360" s="22"/>
      <c r="AA360" s="22"/>
      <c r="AB360" s="22"/>
      <c r="AC360" s="22"/>
      <c r="AD360" s="22"/>
      <c r="AE360" s="22"/>
      <c r="AF360" s="22"/>
      <c r="AG360" s="22"/>
      <c r="AH360" s="22"/>
      <c r="AI360" s="22"/>
      <c r="AJ360" s="22"/>
      <c r="AK360" s="22"/>
      <c r="AL360" s="22"/>
      <c r="AM360" s="22"/>
      <c r="AN360" s="22"/>
    </row>
    <row r="361" spans="1:40" x14ac:dyDescent="0.25">
      <c r="A361" s="22"/>
      <c r="B361" s="22"/>
      <c r="C361" s="22"/>
      <c r="D361" s="22"/>
      <c r="E361" s="22"/>
      <c r="F361" s="22"/>
      <c r="G361" s="22"/>
      <c r="H361" s="22"/>
      <c r="I361" s="22"/>
      <c r="J361" s="22"/>
      <c r="K361" s="22"/>
      <c r="L361" s="22"/>
      <c r="M361" s="22"/>
      <c r="N361" s="22"/>
      <c r="O361" s="22"/>
      <c r="P361" s="22"/>
      <c r="Q361" s="22"/>
      <c r="R361" s="22"/>
      <c r="S361" s="22"/>
      <c r="T361" s="22"/>
      <c r="U361" s="22"/>
      <c r="V361" s="22"/>
      <c r="W361" s="22"/>
      <c r="X361" s="22"/>
      <c r="Y361" s="22"/>
      <c r="Z361" s="22"/>
      <c r="AA361" s="22"/>
      <c r="AB361" s="22"/>
      <c r="AC361" s="22"/>
      <c r="AD361" s="22"/>
      <c r="AE361" s="22"/>
      <c r="AF361" s="22"/>
      <c r="AG361" s="22"/>
      <c r="AH361" s="22"/>
      <c r="AI361" s="22"/>
      <c r="AJ361" s="22"/>
      <c r="AK361" s="22"/>
      <c r="AL361" s="22"/>
      <c r="AM361" s="22"/>
      <c r="AN361" s="22"/>
    </row>
    <row r="362" spans="1:40" x14ac:dyDescent="0.25">
      <c r="A362" s="22"/>
      <c r="B362" s="22"/>
      <c r="C362" s="22"/>
      <c r="D362" s="22"/>
      <c r="E362" s="22"/>
      <c r="F362" s="22"/>
      <c r="G362" s="22"/>
      <c r="H362" s="22"/>
      <c r="I362" s="22"/>
      <c r="J362" s="22"/>
      <c r="K362" s="22"/>
      <c r="L362" s="22"/>
      <c r="M362" s="22"/>
      <c r="N362" s="22"/>
      <c r="O362" s="22"/>
      <c r="P362" s="22"/>
      <c r="Q362" s="22"/>
      <c r="R362" s="22"/>
      <c r="S362" s="22"/>
      <c r="T362" s="22"/>
      <c r="U362" s="22"/>
      <c r="V362" s="22"/>
      <c r="W362" s="22"/>
      <c r="X362" s="22"/>
      <c r="Y362" s="22"/>
      <c r="Z362" s="22"/>
      <c r="AA362" s="22"/>
      <c r="AB362" s="22"/>
      <c r="AC362" s="22"/>
      <c r="AD362" s="22"/>
      <c r="AE362" s="22"/>
      <c r="AF362" s="22"/>
      <c r="AG362" s="22"/>
      <c r="AH362" s="22"/>
      <c r="AI362" s="22"/>
      <c r="AJ362" s="22"/>
      <c r="AK362" s="22"/>
      <c r="AL362" s="22"/>
      <c r="AM362" s="22"/>
      <c r="AN362" s="22"/>
    </row>
    <row r="363" spans="1:40" x14ac:dyDescent="0.25">
      <c r="A363" s="22"/>
      <c r="B363" s="22"/>
      <c r="C363" s="22"/>
      <c r="D363" s="22"/>
      <c r="E363" s="22"/>
      <c r="F363" s="22"/>
      <c r="G363" s="22"/>
      <c r="H363" s="22"/>
      <c r="I363" s="22"/>
      <c r="J363" s="22"/>
      <c r="K363" s="22"/>
      <c r="L363" s="22"/>
      <c r="M363" s="22"/>
      <c r="N363" s="22"/>
      <c r="O363" s="22"/>
      <c r="P363" s="22"/>
      <c r="Q363" s="22"/>
      <c r="R363" s="22"/>
      <c r="S363" s="22"/>
      <c r="T363" s="22"/>
      <c r="U363" s="22"/>
      <c r="V363" s="22"/>
      <c r="W363" s="22"/>
      <c r="X363" s="22"/>
      <c r="Y363" s="22"/>
      <c r="Z363" s="22"/>
      <c r="AA363" s="22"/>
      <c r="AB363" s="22"/>
      <c r="AC363" s="22"/>
      <c r="AD363" s="22"/>
      <c r="AE363" s="22"/>
      <c r="AF363" s="22"/>
      <c r="AG363" s="22"/>
      <c r="AH363" s="22"/>
      <c r="AI363" s="22"/>
      <c r="AJ363" s="22"/>
      <c r="AK363" s="22"/>
      <c r="AL363" s="22"/>
      <c r="AM363" s="22"/>
      <c r="AN363" s="22"/>
    </row>
    <row r="364" spans="1:40" x14ac:dyDescent="0.25">
      <c r="A364" s="22"/>
      <c r="B364" s="22"/>
      <c r="C364" s="22"/>
      <c r="D364" s="22"/>
      <c r="E364" s="22"/>
      <c r="F364" s="22"/>
      <c r="G364" s="22"/>
      <c r="H364" s="22"/>
      <c r="I364" s="22"/>
      <c r="J364" s="22"/>
      <c r="K364" s="22"/>
      <c r="L364" s="22"/>
      <c r="M364" s="22"/>
      <c r="N364" s="22"/>
      <c r="O364" s="22"/>
      <c r="P364" s="22"/>
      <c r="Q364" s="22"/>
      <c r="R364" s="22"/>
      <c r="S364" s="22"/>
      <c r="T364" s="22"/>
      <c r="U364" s="22"/>
      <c r="V364" s="22"/>
      <c r="W364" s="22"/>
      <c r="X364" s="22"/>
      <c r="Y364" s="22"/>
      <c r="Z364" s="22"/>
      <c r="AA364" s="22"/>
      <c r="AB364" s="22"/>
      <c r="AC364" s="22"/>
      <c r="AD364" s="22"/>
      <c r="AE364" s="22"/>
      <c r="AF364" s="22"/>
      <c r="AG364" s="22"/>
      <c r="AH364" s="22"/>
      <c r="AI364" s="22"/>
      <c r="AJ364" s="22"/>
      <c r="AK364" s="22"/>
      <c r="AL364" s="22"/>
      <c r="AM364" s="22"/>
      <c r="AN364" s="22"/>
    </row>
    <row r="365" spans="1:40" x14ac:dyDescent="0.25">
      <c r="A365" s="22"/>
      <c r="B365" s="22"/>
      <c r="C365" s="22"/>
      <c r="D365" s="22"/>
      <c r="E365" s="22"/>
      <c r="F365" s="22"/>
      <c r="G365" s="22"/>
      <c r="H365" s="22"/>
      <c r="I365" s="22"/>
      <c r="J365" s="22"/>
      <c r="K365" s="22"/>
      <c r="L365" s="22"/>
      <c r="M365" s="22"/>
      <c r="N365" s="22"/>
      <c r="O365" s="22"/>
      <c r="P365" s="22"/>
      <c r="Q365" s="22"/>
      <c r="R365" s="22"/>
      <c r="S365" s="22"/>
      <c r="T365" s="22"/>
      <c r="U365" s="22"/>
      <c r="V365" s="22"/>
      <c r="W365" s="22"/>
      <c r="X365" s="22"/>
      <c r="Y365" s="22"/>
      <c r="Z365" s="22"/>
      <c r="AA365" s="22"/>
      <c r="AB365" s="22"/>
      <c r="AC365" s="22"/>
      <c r="AD365" s="22"/>
      <c r="AE365" s="22"/>
      <c r="AF365" s="22"/>
      <c r="AG365" s="22"/>
      <c r="AH365" s="22"/>
      <c r="AI365" s="22"/>
      <c r="AJ365" s="22"/>
      <c r="AK365" s="22"/>
      <c r="AL365" s="22"/>
      <c r="AM365" s="22"/>
      <c r="AN365" s="22"/>
    </row>
    <row r="366" spans="1:40" x14ac:dyDescent="0.25">
      <c r="A366" s="22"/>
      <c r="B366" s="22"/>
      <c r="C366" s="22"/>
      <c r="D366" s="22"/>
      <c r="E366" s="22"/>
      <c r="F366" s="22"/>
      <c r="G366" s="22"/>
      <c r="H366" s="22"/>
      <c r="I366" s="22"/>
      <c r="J366" s="22"/>
      <c r="K366" s="22"/>
      <c r="L366" s="22"/>
      <c r="M366" s="22"/>
      <c r="N366" s="22"/>
      <c r="O366" s="22"/>
      <c r="P366" s="22"/>
      <c r="Q366" s="22"/>
      <c r="R366" s="22"/>
      <c r="S366" s="22"/>
      <c r="T366" s="22"/>
      <c r="U366" s="22"/>
      <c r="V366" s="22"/>
      <c r="W366" s="22"/>
      <c r="X366" s="22"/>
      <c r="Y366" s="22"/>
      <c r="Z366" s="22"/>
      <c r="AA366" s="22"/>
      <c r="AB366" s="22"/>
      <c r="AC366" s="22"/>
      <c r="AD366" s="22"/>
      <c r="AE366" s="22"/>
      <c r="AF366" s="22"/>
      <c r="AG366" s="22"/>
      <c r="AH366" s="22"/>
      <c r="AI366" s="22"/>
      <c r="AJ366" s="22"/>
      <c r="AK366" s="22"/>
      <c r="AL366" s="22"/>
      <c r="AM366" s="22"/>
      <c r="AN366" s="22"/>
    </row>
    <row r="367" spans="1:40" x14ac:dyDescent="0.25">
      <c r="A367" s="22"/>
      <c r="B367" s="22"/>
      <c r="C367" s="22"/>
      <c r="D367" s="22"/>
      <c r="E367" s="22"/>
      <c r="F367" s="22"/>
      <c r="G367" s="22"/>
      <c r="H367" s="22"/>
      <c r="I367" s="22"/>
      <c r="J367" s="22"/>
      <c r="K367" s="22"/>
      <c r="L367" s="22"/>
      <c r="M367" s="22"/>
      <c r="N367" s="22"/>
      <c r="O367" s="22"/>
      <c r="P367" s="22"/>
      <c r="Q367" s="22"/>
      <c r="R367" s="22"/>
      <c r="S367" s="22"/>
      <c r="T367" s="22"/>
      <c r="U367" s="22"/>
      <c r="V367" s="22"/>
      <c r="W367" s="22"/>
      <c r="X367" s="22"/>
      <c r="Y367" s="22"/>
      <c r="Z367" s="22"/>
      <c r="AA367" s="22"/>
      <c r="AB367" s="22"/>
      <c r="AC367" s="22"/>
      <c r="AD367" s="22"/>
      <c r="AE367" s="22"/>
      <c r="AF367" s="22"/>
      <c r="AG367" s="22"/>
      <c r="AH367" s="22"/>
      <c r="AI367" s="22"/>
      <c r="AJ367" s="22"/>
      <c r="AK367" s="22"/>
      <c r="AL367" s="22"/>
      <c r="AM367" s="22"/>
      <c r="AN367" s="22"/>
    </row>
    <row r="368" spans="1:40" x14ac:dyDescent="0.25">
      <c r="A368" s="22"/>
      <c r="B368" s="22"/>
      <c r="C368" s="22"/>
      <c r="D368" s="22"/>
      <c r="E368" s="22"/>
      <c r="F368" s="22"/>
      <c r="G368" s="22"/>
      <c r="H368" s="22"/>
      <c r="I368" s="22"/>
      <c r="J368" s="22"/>
      <c r="K368" s="22"/>
      <c r="L368" s="22"/>
      <c r="M368" s="22"/>
      <c r="N368" s="22"/>
      <c r="O368" s="22"/>
      <c r="P368" s="22"/>
      <c r="Q368" s="22"/>
      <c r="R368" s="22"/>
      <c r="S368" s="22"/>
      <c r="T368" s="22"/>
      <c r="U368" s="22"/>
      <c r="V368" s="22"/>
      <c r="W368" s="22"/>
      <c r="X368" s="22"/>
      <c r="Y368" s="22"/>
      <c r="Z368" s="22"/>
      <c r="AA368" s="22"/>
      <c r="AB368" s="22"/>
      <c r="AC368" s="22"/>
      <c r="AD368" s="22"/>
      <c r="AE368" s="22"/>
      <c r="AF368" s="22"/>
      <c r="AG368" s="22"/>
      <c r="AH368" s="22"/>
      <c r="AI368" s="22"/>
      <c r="AJ368" s="22"/>
      <c r="AK368" s="22"/>
      <c r="AL368" s="22"/>
      <c r="AM368" s="22"/>
      <c r="AN368" s="22"/>
    </row>
    <row r="369" spans="1:40" x14ac:dyDescent="0.25">
      <c r="A369" s="22"/>
      <c r="B369" s="22"/>
      <c r="C369" s="22"/>
      <c r="D369" s="22"/>
      <c r="E369" s="22"/>
      <c r="F369" s="22"/>
      <c r="G369" s="22"/>
      <c r="H369" s="22"/>
      <c r="I369" s="22"/>
      <c r="J369" s="22"/>
      <c r="K369" s="22"/>
      <c r="L369" s="22"/>
      <c r="M369" s="22"/>
      <c r="N369" s="22"/>
      <c r="O369" s="22"/>
      <c r="P369" s="22"/>
      <c r="Q369" s="22"/>
      <c r="R369" s="22"/>
      <c r="S369" s="22"/>
      <c r="T369" s="22"/>
      <c r="U369" s="22"/>
      <c r="V369" s="22"/>
      <c r="W369" s="22"/>
      <c r="X369" s="22"/>
      <c r="Y369" s="22"/>
      <c r="Z369" s="22"/>
      <c r="AA369" s="22"/>
      <c r="AB369" s="22"/>
      <c r="AC369" s="22"/>
      <c r="AD369" s="22"/>
      <c r="AE369" s="22"/>
      <c r="AF369" s="22"/>
      <c r="AG369" s="22"/>
      <c r="AH369" s="22"/>
      <c r="AI369" s="22"/>
      <c r="AJ369" s="22"/>
      <c r="AK369" s="22"/>
      <c r="AL369" s="22"/>
      <c r="AM369" s="22"/>
      <c r="AN369" s="22"/>
    </row>
    <row r="370" spans="1:40" x14ac:dyDescent="0.25">
      <c r="A370" s="22"/>
      <c r="B370" s="22"/>
      <c r="C370" s="22"/>
      <c r="D370" s="22"/>
      <c r="E370" s="22"/>
      <c r="F370" s="22"/>
      <c r="G370" s="22"/>
      <c r="H370" s="22"/>
      <c r="I370" s="22"/>
      <c r="J370" s="22"/>
      <c r="K370" s="22"/>
      <c r="L370" s="22"/>
      <c r="M370" s="22"/>
      <c r="N370" s="22"/>
      <c r="O370" s="22"/>
      <c r="P370" s="22"/>
      <c r="Q370" s="22"/>
      <c r="R370" s="22"/>
      <c r="S370" s="22"/>
      <c r="T370" s="22"/>
      <c r="U370" s="22"/>
      <c r="V370" s="22"/>
      <c r="W370" s="22"/>
      <c r="X370" s="22"/>
      <c r="Y370" s="22"/>
      <c r="Z370" s="22"/>
      <c r="AA370" s="22"/>
      <c r="AB370" s="22"/>
      <c r="AC370" s="22"/>
      <c r="AD370" s="22"/>
      <c r="AE370" s="22"/>
      <c r="AF370" s="22"/>
      <c r="AG370" s="22"/>
      <c r="AH370" s="22"/>
      <c r="AI370" s="22"/>
      <c r="AJ370" s="22"/>
      <c r="AK370" s="22"/>
      <c r="AL370" s="22"/>
      <c r="AM370" s="22"/>
      <c r="AN370" s="22"/>
    </row>
    <row r="371" spans="1:40" x14ac:dyDescent="0.25">
      <c r="A371" s="22"/>
      <c r="B371" s="22"/>
      <c r="C371" s="22"/>
      <c r="D371" s="22"/>
      <c r="E371" s="22"/>
      <c r="F371" s="22"/>
      <c r="G371" s="22"/>
      <c r="H371" s="22"/>
      <c r="I371" s="22"/>
      <c r="J371" s="22"/>
      <c r="K371" s="22"/>
      <c r="L371" s="22"/>
      <c r="M371" s="22"/>
      <c r="N371" s="22"/>
      <c r="O371" s="22"/>
      <c r="P371" s="22"/>
      <c r="Q371" s="22"/>
      <c r="R371" s="22"/>
      <c r="S371" s="22"/>
      <c r="T371" s="22"/>
      <c r="U371" s="22"/>
      <c r="V371" s="22"/>
      <c r="W371" s="22"/>
      <c r="X371" s="22"/>
      <c r="Y371" s="22"/>
      <c r="Z371" s="22"/>
      <c r="AA371" s="22"/>
      <c r="AB371" s="22"/>
      <c r="AC371" s="22"/>
      <c r="AD371" s="22"/>
      <c r="AE371" s="22"/>
      <c r="AF371" s="22"/>
      <c r="AG371" s="22"/>
      <c r="AH371" s="22"/>
      <c r="AI371" s="22"/>
      <c r="AJ371" s="22"/>
      <c r="AK371" s="22"/>
      <c r="AL371" s="22"/>
      <c r="AM371" s="22"/>
      <c r="AN371" s="22"/>
    </row>
    <row r="372" spans="1:40" x14ac:dyDescent="0.25">
      <c r="A372" s="22"/>
      <c r="B372" s="22"/>
      <c r="C372" s="22"/>
      <c r="D372" s="22"/>
      <c r="E372" s="22"/>
      <c r="F372" s="22"/>
      <c r="G372" s="22"/>
      <c r="H372" s="22"/>
      <c r="I372" s="22"/>
      <c r="J372" s="22"/>
      <c r="K372" s="22"/>
      <c r="L372" s="22"/>
      <c r="M372" s="22"/>
      <c r="N372" s="22"/>
      <c r="O372" s="22"/>
      <c r="P372" s="22"/>
      <c r="Q372" s="22"/>
      <c r="R372" s="22"/>
      <c r="S372" s="22"/>
      <c r="T372" s="22"/>
      <c r="U372" s="22"/>
      <c r="V372" s="22"/>
      <c r="W372" s="22"/>
      <c r="X372" s="22"/>
      <c r="Y372" s="22"/>
      <c r="Z372" s="22"/>
      <c r="AA372" s="22"/>
      <c r="AB372" s="22"/>
      <c r="AC372" s="22"/>
      <c r="AD372" s="22"/>
      <c r="AE372" s="22"/>
      <c r="AF372" s="22"/>
      <c r="AG372" s="22"/>
      <c r="AH372" s="22"/>
      <c r="AI372" s="22"/>
      <c r="AJ372" s="22"/>
      <c r="AK372" s="22"/>
      <c r="AL372" s="22"/>
      <c r="AM372" s="22"/>
      <c r="AN372" s="22"/>
    </row>
    <row r="373" spans="1:40" x14ac:dyDescent="0.25">
      <c r="A373" s="22"/>
      <c r="B373" s="22"/>
      <c r="C373" s="22"/>
      <c r="D373" s="22"/>
      <c r="E373" s="22"/>
      <c r="F373" s="22"/>
      <c r="G373" s="22"/>
      <c r="H373" s="22"/>
      <c r="I373" s="22"/>
      <c r="J373" s="22"/>
      <c r="K373" s="22"/>
      <c r="L373" s="22"/>
      <c r="M373" s="22"/>
      <c r="N373" s="22"/>
      <c r="O373" s="22"/>
      <c r="P373" s="22"/>
      <c r="Q373" s="22"/>
      <c r="R373" s="22"/>
      <c r="S373" s="22"/>
      <c r="T373" s="22"/>
      <c r="U373" s="22"/>
      <c r="V373" s="22"/>
      <c r="W373" s="22"/>
      <c r="X373" s="22"/>
      <c r="Y373" s="22"/>
      <c r="Z373" s="22"/>
      <c r="AA373" s="22"/>
      <c r="AB373" s="22"/>
      <c r="AC373" s="22"/>
      <c r="AD373" s="22"/>
      <c r="AE373" s="22"/>
      <c r="AF373" s="22"/>
      <c r="AG373" s="22"/>
      <c r="AH373" s="22"/>
      <c r="AI373" s="22"/>
      <c r="AJ373" s="22"/>
      <c r="AK373" s="22"/>
      <c r="AL373" s="22"/>
      <c r="AM373" s="22"/>
      <c r="AN373" s="22"/>
    </row>
    <row r="374" spans="1:40" x14ac:dyDescent="0.25">
      <c r="A374" s="22"/>
      <c r="B374" s="22"/>
      <c r="C374" s="22"/>
      <c r="D374" s="22"/>
      <c r="E374" s="22"/>
      <c r="F374" s="22"/>
      <c r="G374" s="22"/>
      <c r="H374" s="22"/>
      <c r="I374" s="22"/>
      <c r="J374" s="22"/>
      <c r="K374" s="22"/>
      <c r="L374" s="22"/>
      <c r="M374" s="22"/>
      <c r="N374" s="22"/>
      <c r="O374" s="22"/>
      <c r="P374" s="22"/>
      <c r="Q374" s="22"/>
      <c r="R374" s="22"/>
      <c r="S374" s="22"/>
      <c r="T374" s="22"/>
      <c r="U374" s="22"/>
      <c r="V374" s="22"/>
      <c r="W374" s="22"/>
      <c r="X374" s="22"/>
      <c r="Y374" s="22"/>
      <c r="Z374" s="22"/>
      <c r="AA374" s="22"/>
      <c r="AB374" s="22"/>
      <c r="AC374" s="22"/>
      <c r="AD374" s="22"/>
      <c r="AE374" s="22"/>
      <c r="AF374" s="22"/>
      <c r="AG374" s="22"/>
      <c r="AH374" s="22"/>
      <c r="AI374" s="22"/>
      <c r="AJ374" s="22"/>
      <c r="AK374" s="22"/>
      <c r="AL374" s="22"/>
      <c r="AM374" s="22"/>
      <c r="AN374" s="22"/>
    </row>
    <row r="375" spans="1:40" x14ac:dyDescent="0.25">
      <c r="A375" s="22"/>
      <c r="B375" s="22"/>
      <c r="C375" s="22"/>
      <c r="D375" s="22"/>
      <c r="E375" s="22"/>
      <c r="F375" s="22"/>
      <c r="G375" s="22"/>
      <c r="H375" s="22"/>
      <c r="I375" s="22"/>
      <c r="J375" s="22"/>
      <c r="K375" s="22"/>
      <c r="L375" s="22"/>
      <c r="M375" s="22"/>
      <c r="N375" s="22"/>
      <c r="O375" s="22"/>
      <c r="P375" s="22"/>
      <c r="Q375" s="22"/>
      <c r="R375" s="22"/>
      <c r="S375" s="22"/>
      <c r="T375" s="22"/>
      <c r="U375" s="22"/>
      <c r="V375" s="22"/>
      <c r="W375" s="22"/>
      <c r="X375" s="22"/>
      <c r="Y375" s="22"/>
      <c r="Z375" s="22"/>
      <c r="AA375" s="22"/>
      <c r="AB375" s="22"/>
      <c r="AC375" s="22"/>
      <c r="AD375" s="22"/>
      <c r="AE375" s="22"/>
      <c r="AF375" s="22"/>
      <c r="AG375" s="22"/>
      <c r="AH375" s="22"/>
      <c r="AI375" s="22"/>
      <c r="AJ375" s="22"/>
      <c r="AK375" s="22"/>
      <c r="AL375" s="22"/>
      <c r="AM375" s="22"/>
      <c r="AN375" s="22"/>
    </row>
    <row r="376" spans="1:40" x14ac:dyDescent="0.25">
      <c r="A376" s="22"/>
      <c r="B376" s="22"/>
      <c r="C376" s="22"/>
      <c r="D376" s="22"/>
      <c r="E376" s="22"/>
      <c r="F376" s="22"/>
      <c r="G376" s="22"/>
      <c r="H376" s="22"/>
      <c r="I376" s="22"/>
      <c r="J376" s="22"/>
      <c r="K376" s="22"/>
      <c r="L376" s="22"/>
      <c r="M376" s="22"/>
      <c r="N376" s="22"/>
      <c r="O376" s="22"/>
      <c r="P376" s="22"/>
      <c r="Q376" s="22"/>
      <c r="R376" s="22"/>
      <c r="S376" s="22"/>
      <c r="T376" s="22"/>
      <c r="U376" s="22"/>
      <c r="V376" s="22"/>
      <c r="W376" s="22"/>
      <c r="X376" s="22"/>
      <c r="Y376" s="22"/>
      <c r="Z376" s="22"/>
      <c r="AA376" s="22"/>
      <c r="AB376" s="22"/>
      <c r="AC376" s="22"/>
      <c r="AD376" s="22"/>
      <c r="AE376" s="22"/>
      <c r="AF376" s="22"/>
      <c r="AG376" s="22"/>
      <c r="AH376" s="22"/>
      <c r="AI376" s="22"/>
      <c r="AJ376" s="22"/>
      <c r="AK376" s="22"/>
      <c r="AL376" s="22"/>
      <c r="AM376" s="22"/>
      <c r="AN376" s="22"/>
    </row>
    <row r="377" spans="1:40" x14ac:dyDescent="0.25">
      <c r="A377" s="22"/>
      <c r="B377" s="22"/>
      <c r="C377" s="22"/>
      <c r="D377" s="22"/>
      <c r="E377" s="22"/>
      <c r="F377" s="22"/>
      <c r="G377" s="22"/>
      <c r="H377" s="22"/>
      <c r="I377" s="22"/>
      <c r="J377" s="22"/>
      <c r="K377" s="22"/>
      <c r="L377" s="22"/>
      <c r="M377" s="22"/>
      <c r="N377" s="22"/>
      <c r="O377" s="22"/>
      <c r="P377" s="22"/>
      <c r="Q377" s="22"/>
      <c r="R377" s="22"/>
      <c r="S377" s="22"/>
      <c r="T377" s="22"/>
      <c r="U377" s="22"/>
      <c r="V377" s="22"/>
      <c r="W377" s="22"/>
      <c r="X377" s="22"/>
      <c r="Y377" s="22"/>
      <c r="Z377" s="22"/>
      <c r="AA377" s="22"/>
      <c r="AB377" s="22"/>
      <c r="AC377" s="22"/>
      <c r="AD377" s="22"/>
      <c r="AE377" s="22"/>
      <c r="AF377" s="22"/>
      <c r="AG377" s="22"/>
      <c r="AH377" s="22"/>
      <c r="AI377" s="22"/>
      <c r="AJ377" s="22"/>
      <c r="AK377" s="22"/>
      <c r="AL377" s="22"/>
      <c r="AM377" s="22"/>
      <c r="AN377" s="22"/>
    </row>
    <row r="378" spans="1:40" x14ac:dyDescent="0.25">
      <c r="A378" s="22"/>
      <c r="B378" s="22"/>
      <c r="C378" s="22"/>
      <c r="D378" s="22"/>
      <c r="E378" s="22"/>
      <c r="F378" s="22"/>
      <c r="G378" s="22"/>
      <c r="H378" s="22"/>
      <c r="I378" s="22"/>
      <c r="J378" s="22"/>
      <c r="K378" s="22"/>
      <c r="L378" s="22"/>
      <c r="M378" s="22"/>
      <c r="N378" s="22"/>
      <c r="O378" s="22"/>
      <c r="P378" s="22"/>
      <c r="Q378" s="22"/>
      <c r="R378" s="22"/>
      <c r="S378" s="22"/>
      <c r="T378" s="22"/>
      <c r="U378" s="22"/>
      <c r="V378" s="22"/>
      <c r="W378" s="22"/>
      <c r="X378" s="22"/>
      <c r="Y378" s="22"/>
      <c r="Z378" s="22"/>
      <c r="AA378" s="22"/>
      <c r="AB378" s="22"/>
      <c r="AC378" s="22"/>
      <c r="AD378" s="22"/>
      <c r="AE378" s="22"/>
      <c r="AF378" s="22"/>
      <c r="AG378" s="22"/>
      <c r="AH378" s="22"/>
      <c r="AI378" s="22"/>
      <c r="AJ378" s="22"/>
      <c r="AK378" s="22"/>
      <c r="AL378" s="22"/>
      <c r="AM378" s="22"/>
      <c r="AN378" s="22"/>
    </row>
    <row r="379" spans="1:40" x14ac:dyDescent="0.25">
      <c r="A379" s="22"/>
      <c r="B379" s="22"/>
      <c r="C379" s="22"/>
      <c r="D379" s="22"/>
      <c r="E379" s="22"/>
      <c r="F379" s="22"/>
      <c r="G379" s="22"/>
      <c r="H379" s="22"/>
      <c r="I379" s="22"/>
      <c r="J379" s="22"/>
      <c r="K379" s="22"/>
      <c r="L379" s="22"/>
      <c r="M379" s="22"/>
      <c r="N379" s="22"/>
      <c r="O379" s="22"/>
      <c r="P379" s="22"/>
      <c r="Q379" s="22"/>
      <c r="R379" s="22"/>
      <c r="S379" s="22"/>
      <c r="T379" s="22"/>
      <c r="U379" s="22"/>
      <c r="V379" s="22"/>
      <c r="W379" s="22"/>
      <c r="X379" s="22"/>
      <c r="Y379" s="22"/>
      <c r="Z379" s="22"/>
      <c r="AA379" s="22"/>
      <c r="AB379" s="22"/>
      <c r="AC379" s="22"/>
      <c r="AD379" s="22"/>
      <c r="AE379" s="22"/>
      <c r="AF379" s="22"/>
      <c r="AG379" s="22"/>
      <c r="AH379" s="22"/>
      <c r="AI379" s="22"/>
      <c r="AJ379" s="22"/>
      <c r="AK379" s="22"/>
      <c r="AL379" s="22"/>
      <c r="AM379" s="22"/>
      <c r="AN379" s="22"/>
    </row>
    <row r="380" spans="1:40" x14ac:dyDescent="0.25">
      <c r="A380" s="22"/>
      <c r="B380" s="22"/>
      <c r="C380" s="22"/>
      <c r="D380" s="22"/>
      <c r="E380" s="22"/>
      <c r="F380" s="22"/>
      <c r="G380" s="22"/>
      <c r="H380" s="22"/>
      <c r="I380" s="22"/>
      <c r="J380" s="22"/>
      <c r="K380" s="22"/>
      <c r="L380" s="22"/>
      <c r="M380" s="22"/>
      <c r="N380" s="22"/>
      <c r="O380" s="22"/>
      <c r="P380" s="22"/>
      <c r="Q380" s="22"/>
      <c r="R380" s="22"/>
      <c r="S380" s="22"/>
      <c r="T380" s="22"/>
      <c r="U380" s="22"/>
      <c r="V380" s="22"/>
      <c r="W380" s="22"/>
      <c r="X380" s="22"/>
      <c r="Y380" s="22"/>
      <c r="Z380" s="22"/>
      <c r="AA380" s="22"/>
      <c r="AB380" s="22"/>
      <c r="AC380" s="22"/>
      <c r="AD380" s="22"/>
      <c r="AE380" s="22"/>
      <c r="AF380" s="22"/>
      <c r="AG380" s="22"/>
      <c r="AH380" s="22"/>
      <c r="AI380" s="22"/>
      <c r="AJ380" s="22"/>
      <c r="AK380" s="22"/>
      <c r="AL380" s="22"/>
      <c r="AM380" s="22"/>
      <c r="AN380" s="22"/>
    </row>
    <row r="381" spans="1:40" x14ac:dyDescent="0.25">
      <c r="A381" s="22"/>
      <c r="B381" s="22"/>
      <c r="C381" s="22"/>
      <c r="D381" s="22"/>
      <c r="E381" s="22"/>
      <c r="F381" s="22"/>
      <c r="G381" s="22"/>
      <c r="H381" s="22"/>
      <c r="I381" s="22"/>
      <c r="J381" s="22"/>
      <c r="K381" s="22"/>
      <c r="L381" s="22"/>
      <c r="M381" s="22"/>
      <c r="N381" s="22"/>
      <c r="O381" s="22"/>
      <c r="P381" s="22"/>
      <c r="Q381" s="22"/>
      <c r="R381" s="22"/>
      <c r="S381" s="22"/>
      <c r="T381" s="22"/>
      <c r="U381" s="22"/>
      <c r="V381" s="22"/>
      <c r="W381" s="22"/>
      <c r="X381" s="22"/>
      <c r="Y381" s="22"/>
      <c r="Z381" s="22"/>
      <c r="AA381" s="22"/>
      <c r="AB381" s="22"/>
      <c r="AC381" s="22"/>
      <c r="AD381" s="22"/>
      <c r="AE381" s="22"/>
      <c r="AF381" s="22"/>
      <c r="AG381" s="22"/>
      <c r="AH381" s="22"/>
      <c r="AI381" s="22"/>
      <c r="AJ381" s="22"/>
      <c r="AK381" s="22"/>
      <c r="AL381" s="22"/>
      <c r="AM381" s="22"/>
      <c r="AN381" s="22"/>
    </row>
    <row r="382" spans="1:40" x14ac:dyDescent="0.25">
      <c r="A382" s="22"/>
      <c r="B382" s="22"/>
      <c r="C382" s="22"/>
      <c r="D382" s="22"/>
      <c r="E382" s="22"/>
      <c r="F382" s="22"/>
      <c r="G382" s="22"/>
      <c r="H382" s="22"/>
      <c r="I382" s="22"/>
      <c r="J382" s="22"/>
      <c r="K382" s="22"/>
      <c r="L382" s="22"/>
      <c r="M382" s="22"/>
      <c r="N382" s="22"/>
      <c r="O382" s="22"/>
      <c r="P382" s="22"/>
      <c r="Q382" s="22"/>
      <c r="R382" s="22"/>
      <c r="S382" s="22"/>
      <c r="T382" s="22"/>
      <c r="U382" s="22"/>
      <c r="V382" s="22"/>
      <c r="W382" s="22"/>
      <c r="X382" s="22"/>
      <c r="Y382" s="22"/>
      <c r="Z382" s="22"/>
      <c r="AA382" s="22"/>
      <c r="AB382" s="22"/>
      <c r="AC382" s="22"/>
      <c r="AD382" s="22"/>
      <c r="AE382" s="22"/>
      <c r="AF382" s="22"/>
      <c r="AG382" s="22"/>
      <c r="AH382" s="22"/>
      <c r="AI382" s="22"/>
      <c r="AJ382" s="22"/>
      <c r="AK382" s="22"/>
      <c r="AL382" s="22"/>
      <c r="AM382" s="22"/>
      <c r="AN382" s="22"/>
    </row>
    <row r="383" spans="1:40" x14ac:dyDescent="0.25">
      <c r="A383" s="22"/>
      <c r="B383" s="22"/>
      <c r="C383" s="22"/>
      <c r="D383" s="22"/>
      <c r="E383" s="22"/>
      <c r="F383" s="22"/>
      <c r="G383" s="22"/>
      <c r="H383" s="22"/>
      <c r="I383" s="22"/>
      <c r="J383" s="22"/>
      <c r="K383" s="22"/>
      <c r="L383" s="22"/>
      <c r="M383" s="22"/>
      <c r="N383" s="22"/>
      <c r="O383" s="22"/>
      <c r="P383" s="22"/>
      <c r="Q383" s="22"/>
      <c r="R383" s="22"/>
      <c r="S383" s="22"/>
      <c r="T383" s="22"/>
      <c r="U383" s="22"/>
      <c r="V383" s="22"/>
      <c r="W383" s="22"/>
      <c r="X383" s="22"/>
      <c r="Y383" s="22"/>
      <c r="Z383" s="22"/>
      <c r="AA383" s="22"/>
      <c r="AB383" s="22"/>
      <c r="AC383" s="22"/>
      <c r="AD383" s="22"/>
      <c r="AE383" s="22"/>
      <c r="AF383" s="22"/>
      <c r="AG383" s="22"/>
      <c r="AH383" s="22"/>
      <c r="AI383" s="22"/>
      <c r="AJ383" s="22"/>
      <c r="AK383" s="22"/>
      <c r="AL383" s="22"/>
      <c r="AM383" s="22"/>
      <c r="AN383" s="22"/>
    </row>
    <row r="384" spans="1:40" x14ac:dyDescent="0.25">
      <c r="A384" s="22"/>
      <c r="B384" s="22"/>
      <c r="C384" s="22"/>
      <c r="D384" s="22"/>
      <c r="E384" s="22"/>
      <c r="F384" s="22"/>
      <c r="G384" s="22"/>
      <c r="H384" s="22"/>
      <c r="I384" s="22"/>
      <c r="J384" s="22"/>
      <c r="K384" s="22"/>
      <c r="L384" s="22"/>
      <c r="M384" s="22"/>
      <c r="N384" s="22"/>
      <c r="O384" s="22"/>
      <c r="P384" s="22"/>
      <c r="Q384" s="22"/>
      <c r="R384" s="22"/>
      <c r="S384" s="22"/>
      <c r="T384" s="22"/>
      <c r="U384" s="22"/>
      <c r="V384" s="22"/>
      <c r="W384" s="22"/>
      <c r="X384" s="22"/>
      <c r="Y384" s="22"/>
      <c r="Z384" s="22"/>
      <c r="AA384" s="22"/>
      <c r="AB384" s="22"/>
      <c r="AC384" s="22"/>
      <c r="AD384" s="22"/>
      <c r="AE384" s="22"/>
      <c r="AF384" s="22"/>
      <c r="AG384" s="22"/>
      <c r="AH384" s="22"/>
      <c r="AI384" s="22"/>
      <c r="AJ384" s="22"/>
      <c r="AK384" s="22"/>
      <c r="AL384" s="22"/>
      <c r="AM384" s="22"/>
      <c r="AN384" s="22"/>
    </row>
    <row r="385" spans="1:40" x14ac:dyDescent="0.25">
      <c r="A385" s="22"/>
      <c r="B385" s="22"/>
      <c r="C385" s="22"/>
      <c r="D385" s="22"/>
      <c r="E385" s="22"/>
      <c r="F385" s="22"/>
      <c r="G385" s="22"/>
      <c r="H385" s="22"/>
      <c r="I385" s="22"/>
      <c r="J385" s="22"/>
      <c r="K385" s="22"/>
      <c r="L385" s="22"/>
      <c r="M385" s="22"/>
      <c r="N385" s="22"/>
      <c r="O385" s="22"/>
      <c r="P385" s="22"/>
      <c r="Q385" s="22"/>
      <c r="R385" s="22"/>
      <c r="S385" s="22"/>
      <c r="T385" s="22"/>
      <c r="U385" s="22"/>
      <c r="V385" s="22"/>
      <c r="W385" s="22"/>
      <c r="X385" s="22"/>
      <c r="Y385" s="22"/>
      <c r="Z385" s="22"/>
      <c r="AA385" s="22"/>
      <c r="AB385" s="22"/>
      <c r="AC385" s="22"/>
      <c r="AD385" s="22"/>
      <c r="AE385" s="22"/>
      <c r="AF385" s="22"/>
      <c r="AG385" s="22"/>
      <c r="AH385" s="22"/>
      <c r="AI385" s="22"/>
      <c r="AJ385" s="22"/>
      <c r="AK385" s="22"/>
      <c r="AL385" s="22"/>
      <c r="AM385" s="22"/>
      <c r="AN385" s="22"/>
    </row>
    <row r="386" spans="1:40" x14ac:dyDescent="0.25">
      <c r="A386" s="22"/>
      <c r="B386" s="22"/>
      <c r="C386" s="22"/>
      <c r="D386" s="22"/>
      <c r="E386" s="22"/>
      <c r="F386" s="22"/>
      <c r="G386" s="22"/>
      <c r="H386" s="22"/>
      <c r="I386" s="22"/>
      <c r="J386" s="22"/>
      <c r="K386" s="22"/>
      <c r="L386" s="22"/>
      <c r="M386" s="22"/>
      <c r="N386" s="22"/>
      <c r="O386" s="22"/>
      <c r="P386" s="22"/>
      <c r="Q386" s="22"/>
      <c r="R386" s="22"/>
      <c r="S386" s="22"/>
      <c r="T386" s="22"/>
      <c r="U386" s="22"/>
      <c r="V386" s="22"/>
      <c r="W386" s="22"/>
      <c r="X386" s="22"/>
      <c r="Y386" s="22"/>
      <c r="Z386" s="22"/>
      <c r="AA386" s="22"/>
      <c r="AB386" s="22"/>
      <c r="AC386" s="22"/>
      <c r="AD386" s="22"/>
      <c r="AE386" s="22"/>
      <c r="AF386" s="22"/>
      <c r="AG386" s="22"/>
      <c r="AH386" s="22"/>
      <c r="AI386" s="22"/>
      <c r="AJ386" s="22"/>
      <c r="AK386" s="22"/>
      <c r="AL386" s="22"/>
      <c r="AM386" s="22"/>
      <c r="AN386" s="22"/>
    </row>
    <row r="387" spans="1:40" x14ac:dyDescent="0.25">
      <c r="A387" s="22"/>
      <c r="B387" s="22"/>
      <c r="C387" s="22"/>
      <c r="D387" s="22"/>
      <c r="E387" s="22"/>
      <c r="F387" s="22"/>
      <c r="G387" s="22"/>
      <c r="H387" s="22"/>
      <c r="I387" s="22"/>
      <c r="J387" s="22"/>
      <c r="K387" s="22"/>
      <c r="L387" s="22"/>
      <c r="M387" s="22"/>
      <c r="N387" s="22"/>
      <c r="O387" s="22"/>
      <c r="P387" s="22"/>
      <c r="Q387" s="22"/>
      <c r="R387" s="22"/>
      <c r="S387" s="22"/>
      <c r="T387" s="22"/>
      <c r="U387" s="22"/>
      <c r="V387" s="22"/>
      <c r="W387" s="22"/>
      <c r="X387" s="22"/>
      <c r="Y387" s="22"/>
      <c r="Z387" s="22"/>
      <c r="AA387" s="22"/>
      <c r="AB387" s="22"/>
      <c r="AC387" s="22"/>
      <c r="AD387" s="22"/>
      <c r="AE387" s="22"/>
      <c r="AF387" s="22"/>
      <c r="AG387" s="22"/>
      <c r="AH387" s="22"/>
      <c r="AI387" s="22"/>
      <c r="AJ387" s="22"/>
      <c r="AK387" s="22"/>
      <c r="AL387" s="22"/>
      <c r="AM387" s="22"/>
      <c r="AN387" s="22"/>
    </row>
    <row r="388" spans="1:40" x14ac:dyDescent="0.25">
      <c r="A388" s="22"/>
      <c r="B388" s="22"/>
      <c r="C388" s="22"/>
      <c r="D388" s="22"/>
      <c r="E388" s="22"/>
      <c r="F388" s="22"/>
      <c r="G388" s="22"/>
      <c r="H388" s="22"/>
      <c r="I388" s="22"/>
      <c r="J388" s="22"/>
      <c r="K388" s="22"/>
      <c r="L388" s="22"/>
      <c r="M388" s="22"/>
      <c r="N388" s="22"/>
      <c r="O388" s="22"/>
      <c r="P388" s="22"/>
      <c r="Q388" s="22"/>
      <c r="R388" s="22"/>
      <c r="S388" s="22"/>
      <c r="T388" s="22"/>
      <c r="U388" s="22"/>
      <c r="V388" s="22"/>
      <c r="W388" s="22"/>
      <c r="X388" s="22"/>
      <c r="Y388" s="22"/>
      <c r="Z388" s="22"/>
      <c r="AA388" s="22"/>
      <c r="AB388" s="22"/>
      <c r="AC388" s="22"/>
      <c r="AD388" s="22"/>
      <c r="AE388" s="22"/>
      <c r="AF388" s="22"/>
      <c r="AG388" s="22"/>
      <c r="AH388" s="22"/>
      <c r="AI388" s="22"/>
      <c r="AJ388" s="22"/>
      <c r="AK388" s="22"/>
      <c r="AL388" s="22"/>
      <c r="AM388" s="22"/>
      <c r="AN388" s="22"/>
    </row>
    <row r="389" spans="1:40" x14ac:dyDescent="0.25">
      <c r="A389" s="22"/>
      <c r="B389" s="22"/>
      <c r="C389" s="22"/>
      <c r="D389" s="22"/>
      <c r="E389" s="22"/>
      <c r="F389" s="22"/>
      <c r="G389" s="22"/>
      <c r="H389" s="22"/>
      <c r="I389" s="22"/>
      <c r="J389" s="22"/>
      <c r="K389" s="22"/>
      <c r="L389" s="22"/>
      <c r="M389" s="22"/>
      <c r="N389" s="22"/>
      <c r="O389" s="22"/>
      <c r="P389" s="22"/>
      <c r="Q389" s="22"/>
      <c r="R389" s="22"/>
      <c r="S389" s="22"/>
      <c r="T389" s="22"/>
      <c r="U389" s="22"/>
      <c r="V389" s="22"/>
      <c r="W389" s="22"/>
      <c r="X389" s="22"/>
      <c r="Y389" s="22"/>
      <c r="Z389" s="22"/>
      <c r="AA389" s="22"/>
      <c r="AB389" s="22"/>
      <c r="AC389" s="22"/>
      <c r="AD389" s="22"/>
      <c r="AE389" s="22"/>
      <c r="AF389" s="22"/>
      <c r="AG389" s="22"/>
      <c r="AH389" s="22"/>
      <c r="AI389" s="22"/>
      <c r="AJ389" s="22"/>
      <c r="AK389" s="22"/>
      <c r="AL389" s="22"/>
      <c r="AM389" s="22"/>
      <c r="AN389" s="22"/>
    </row>
    <row r="390" spans="1:40" x14ac:dyDescent="0.25">
      <c r="A390" s="22"/>
      <c r="B390" s="22"/>
      <c r="C390" s="22"/>
      <c r="D390" s="22"/>
      <c r="E390" s="22"/>
      <c r="F390" s="22"/>
      <c r="G390" s="22"/>
      <c r="H390" s="22"/>
      <c r="I390" s="22"/>
      <c r="J390" s="22"/>
      <c r="K390" s="22"/>
      <c r="L390" s="22"/>
      <c r="M390" s="22"/>
      <c r="N390" s="22"/>
      <c r="O390" s="22"/>
      <c r="P390" s="22"/>
      <c r="Q390" s="22"/>
      <c r="R390" s="22"/>
      <c r="S390" s="22"/>
      <c r="T390" s="22"/>
      <c r="U390" s="22"/>
      <c r="V390" s="22"/>
      <c r="W390" s="22"/>
      <c r="X390" s="22"/>
      <c r="Y390" s="22"/>
      <c r="Z390" s="22"/>
      <c r="AA390" s="22"/>
      <c r="AB390" s="22"/>
      <c r="AC390" s="22"/>
      <c r="AD390" s="22"/>
      <c r="AE390" s="22"/>
      <c r="AF390" s="22"/>
      <c r="AG390" s="22"/>
      <c r="AH390" s="22"/>
      <c r="AI390" s="22"/>
      <c r="AJ390" s="22"/>
      <c r="AK390" s="22"/>
      <c r="AL390" s="22"/>
      <c r="AM390" s="22"/>
      <c r="AN390" s="22"/>
    </row>
    <row r="391" spans="1:40" x14ac:dyDescent="0.25">
      <c r="A391" s="22"/>
      <c r="B391" s="22"/>
      <c r="C391" s="22"/>
      <c r="D391" s="22"/>
      <c r="E391" s="22"/>
      <c r="F391" s="22"/>
      <c r="G391" s="22"/>
      <c r="H391" s="22"/>
      <c r="I391" s="22"/>
      <c r="J391" s="22"/>
      <c r="K391" s="22"/>
      <c r="L391" s="22"/>
      <c r="M391" s="22"/>
      <c r="N391" s="22"/>
      <c r="O391" s="22"/>
      <c r="P391" s="22"/>
      <c r="Q391" s="22"/>
      <c r="R391" s="22"/>
      <c r="S391" s="22"/>
      <c r="T391" s="22"/>
      <c r="U391" s="22"/>
      <c r="V391" s="22"/>
      <c r="W391" s="22"/>
      <c r="X391" s="22"/>
      <c r="Y391" s="22"/>
      <c r="Z391" s="22"/>
      <c r="AA391" s="22"/>
      <c r="AB391" s="22"/>
      <c r="AC391" s="22"/>
      <c r="AD391" s="22"/>
      <c r="AE391" s="22"/>
      <c r="AF391" s="22"/>
      <c r="AG391" s="22"/>
      <c r="AH391" s="22"/>
      <c r="AI391" s="22"/>
      <c r="AJ391" s="22"/>
      <c r="AK391" s="22"/>
      <c r="AL391" s="22"/>
      <c r="AM391" s="22"/>
      <c r="AN391" s="22"/>
    </row>
    <row r="392" spans="1:40" x14ac:dyDescent="0.25">
      <c r="A392" s="22"/>
      <c r="B392" s="22"/>
      <c r="C392" s="22"/>
      <c r="D392" s="22"/>
      <c r="E392" s="22"/>
      <c r="F392" s="22"/>
      <c r="G392" s="22"/>
      <c r="H392" s="22"/>
      <c r="I392" s="22"/>
      <c r="J392" s="22"/>
      <c r="K392" s="22"/>
      <c r="L392" s="22"/>
      <c r="M392" s="22"/>
      <c r="N392" s="22"/>
      <c r="O392" s="22"/>
      <c r="P392" s="22"/>
      <c r="Q392" s="22"/>
      <c r="R392" s="22"/>
      <c r="S392" s="22"/>
      <c r="T392" s="22"/>
      <c r="U392" s="22"/>
      <c r="V392" s="22"/>
      <c r="W392" s="22"/>
      <c r="X392" s="22"/>
      <c r="Y392" s="22"/>
      <c r="Z392" s="22"/>
      <c r="AA392" s="22"/>
      <c r="AB392" s="22"/>
      <c r="AC392" s="22"/>
      <c r="AD392" s="22"/>
      <c r="AE392" s="22"/>
      <c r="AF392" s="22"/>
      <c r="AG392" s="22"/>
      <c r="AH392" s="22"/>
      <c r="AI392" s="22"/>
      <c r="AJ392" s="22"/>
      <c r="AK392" s="22"/>
      <c r="AL392" s="22"/>
      <c r="AM392" s="22"/>
      <c r="AN392" s="22"/>
    </row>
    <row r="393" spans="1:40" x14ac:dyDescent="0.25">
      <c r="A393" s="22"/>
      <c r="B393" s="22"/>
      <c r="C393" s="22"/>
      <c r="D393" s="22"/>
      <c r="E393" s="22"/>
      <c r="F393" s="22"/>
      <c r="G393" s="22"/>
      <c r="H393" s="22"/>
      <c r="I393" s="22"/>
      <c r="J393" s="22"/>
      <c r="K393" s="22"/>
      <c r="L393" s="22"/>
      <c r="M393" s="22"/>
      <c r="N393" s="22"/>
      <c r="O393" s="22"/>
      <c r="P393" s="22"/>
      <c r="Q393" s="22"/>
      <c r="R393" s="22"/>
      <c r="S393" s="22"/>
      <c r="T393" s="22"/>
      <c r="U393" s="22"/>
      <c r="V393" s="22"/>
      <c r="W393" s="22"/>
      <c r="X393" s="22"/>
      <c r="Y393" s="22"/>
      <c r="Z393" s="22"/>
      <c r="AA393" s="22"/>
      <c r="AB393" s="22"/>
      <c r="AC393" s="22"/>
      <c r="AD393" s="22"/>
      <c r="AE393" s="22"/>
      <c r="AF393" s="22"/>
      <c r="AG393" s="22"/>
      <c r="AH393" s="22"/>
      <c r="AI393" s="22"/>
      <c r="AJ393" s="22"/>
      <c r="AK393" s="22"/>
      <c r="AL393" s="22"/>
      <c r="AM393" s="22"/>
      <c r="AN393" s="22"/>
    </row>
    <row r="394" spans="1:40" x14ac:dyDescent="0.25">
      <c r="A394" s="22"/>
      <c r="B394" s="22"/>
      <c r="C394" s="22"/>
      <c r="D394" s="22"/>
      <c r="E394" s="22"/>
      <c r="F394" s="22"/>
      <c r="G394" s="22"/>
      <c r="H394" s="22"/>
      <c r="I394" s="22"/>
      <c r="J394" s="22"/>
      <c r="K394" s="22"/>
      <c r="L394" s="22"/>
      <c r="M394" s="22"/>
      <c r="N394" s="22"/>
      <c r="O394" s="22"/>
      <c r="P394" s="22"/>
      <c r="Q394" s="22"/>
      <c r="R394" s="22"/>
      <c r="S394" s="22"/>
      <c r="T394" s="22"/>
      <c r="U394" s="22"/>
      <c r="V394" s="22"/>
      <c r="W394" s="22"/>
      <c r="X394" s="22"/>
      <c r="Y394" s="22"/>
      <c r="Z394" s="22"/>
      <c r="AA394" s="22"/>
      <c r="AB394" s="22"/>
      <c r="AC394" s="22"/>
      <c r="AD394" s="22"/>
      <c r="AE394" s="22"/>
      <c r="AF394" s="22"/>
      <c r="AG394" s="22"/>
      <c r="AH394" s="22"/>
      <c r="AI394" s="22"/>
      <c r="AJ394" s="22"/>
      <c r="AK394" s="22"/>
      <c r="AL394" s="22"/>
      <c r="AM394" s="22"/>
      <c r="AN394" s="22"/>
    </row>
    <row r="395" spans="1:40" x14ac:dyDescent="0.25">
      <c r="A395" s="22"/>
      <c r="B395" s="22"/>
      <c r="C395" s="22"/>
      <c r="D395" s="22"/>
      <c r="E395" s="22"/>
      <c r="F395" s="22"/>
      <c r="G395" s="22"/>
      <c r="H395" s="22"/>
      <c r="I395" s="22"/>
      <c r="J395" s="22"/>
      <c r="K395" s="22"/>
      <c r="L395" s="22"/>
      <c r="M395" s="22"/>
      <c r="N395" s="22"/>
      <c r="O395" s="22"/>
      <c r="P395" s="22"/>
      <c r="Q395" s="22"/>
      <c r="R395" s="22"/>
      <c r="S395" s="22"/>
      <c r="T395" s="22"/>
      <c r="U395" s="22"/>
      <c r="V395" s="22"/>
      <c r="W395" s="22"/>
      <c r="X395" s="22"/>
      <c r="Y395" s="22"/>
      <c r="Z395" s="22"/>
      <c r="AA395" s="22"/>
      <c r="AB395" s="22"/>
      <c r="AC395" s="22"/>
      <c r="AD395" s="22"/>
      <c r="AE395" s="22"/>
      <c r="AF395" s="22"/>
      <c r="AG395" s="22"/>
      <c r="AH395" s="22"/>
      <c r="AI395" s="22"/>
      <c r="AJ395" s="22"/>
      <c r="AK395" s="22"/>
      <c r="AL395" s="22"/>
      <c r="AM395" s="22"/>
      <c r="AN395" s="22"/>
    </row>
    <row r="396" spans="1:40" x14ac:dyDescent="0.25">
      <c r="A396" s="22"/>
      <c r="B396" s="22"/>
      <c r="C396" s="22"/>
      <c r="D396" s="22"/>
      <c r="E396" s="22"/>
      <c r="F396" s="22"/>
      <c r="G396" s="22"/>
      <c r="H396" s="22"/>
      <c r="I396" s="22"/>
      <c r="J396" s="22"/>
      <c r="K396" s="22"/>
      <c r="L396" s="22"/>
      <c r="M396" s="22"/>
      <c r="N396" s="22"/>
      <c r="O396" s="22"/>
      <c r="P396" s="22"/>
      <c r="Q396" s="22"/>
      <c r="R396" s="22"/>
      <c r="S396" s="22"/>
      <c r="T396" s="22"/>
      <c r="U396" s="22"/>
      <c r="V396" s="22"/>
      <c r="W396" s="22"/>
      <c r="X396" s="22"/>
      <c r="Y396" s="22"/>
      <c r="Z396" s="22"/>
      <c r="AA396" s="22"/>
      <c r="AB396" s="22"/>
      <c r="AC396" s="22"/>
      <c r="AD396" s="22"/>
      <c r="AE396" s="22"/>
      <c r="AF396" s="22"/>
      <c r="AG396" s="22"/>
      <c r="AH396" s="22"/>
      <c r="AI396" s="22"/>
      <c r="AJ396" s="22"/>
      <c r="AK396" s="22"/>
      <c r="AL396" s="22"/>
      <c r="AM396" s="22"/>
      <c r="AN396" s="22"/>
    </row>
    <row r="397" spans="1:40" x14ac:dyDescent="0.25">
      <c r="A397" s="22"/>
      <c r="B397" s="22"/>
      <c r="C397" s="22"/>
      <c r="D397" s="22"/>
      <c r="E397" s="22"/>
      <c r="F397" s="22"/>
      <c r="G397" s="22"/>
      <c r="H397" s="22"/>
      <c r="I397" s="22"/>
      <c r="J397" s="22"/>
      <c r="K397" s="22"/>
      <c r="L397" s="22"/>
      <c r="M397" s="22"/>
      <c r="N397" s="22"/>
      <c r="O397" s="22"/>
      <c r="P397" s="22"/>
      <c r="Q397" s="22"/>
      <c r="R397" s="22"/>
      <c r="S397" s="22"/>
      <c r="T397" s="22"/>
      <c r="U397" s="22"/>
      <c r="V397" s="22"/>
      <c r="W397" s="22"/>
      <c r="X397" s="22"/>
      <c r="Y397" s="22"/>
      <c r="Z397" s="22"/>
      <c r="AA397" s="22"/>
      <c r="AB397" s="22"/>
      <c r="AC397" s="22"/>
      <c r="AD397" s="22"/>
      <c r="AE397" s="22"/>
      <c r="AF397" s="22"/>
      <c r="AG397" s="22"/>
      <c r="AH397" s="22"/>
      <c r="AI397" s="22"/>
      <c r="AJ397" s="22"/>
      <c r="AK397" s="22"/>
      <c r="AL397" s="22"/>
      <c r="AM397" s="22"/>
      <c r="AN397" s="22"/>
    </row>
    <row r="398" spans="1:40" x14ac:dyDescent="0.25">
      <c r="A398" s="22"/>
      <c r="B398" s="22"/>
      <c r="C398" s="22"/>
      <c r="D398" s="22"/>
      <c r="E398" s="22"/>
      <c r="F398" s="22"/>
      <c r="G398" s="22"/>
      <c r="H398" s="22"/>
      <c r="I398" s="22"/>
      <c r="J398" s="22"/>
      <c r="K398" s="22"/>
      <c r="L398" s="22"/>
      <c r="M398" s="22"/>
      <c r="N398" s="22"/>
      <c r="O398" s="22"/>
      <c r="P398" s="22"/>
      <c r="Q398" s="22"/>
      <c r="R398" s="22"/>
      <c r="S398" s="22"/>
      <c r="T398" s="22"/>
      <c r="U398" s="22"/>
      <c r="V398" s="22"/>
      <c r="W398" s="22"/>
      <c r="X398" s="22"/>
      <c r="Y398" s="22"/>
      <c r="Z398" s="22"/>
      <c r="AA398" s="22"/>
      <c r="AB398" s="22"/>
      <c r="AC398" s="22"/>
      <c r="AD398" s="22"/>
      <c r="AE398" s="22"/>
      <c r="AF398" s="22"/>
      <c r="AG398" s="22"/>
      <c r="AH398" s="22"/>
      <c r="AI398" s="22"/>
      <c r="AJ398" s="22"/>
      <c r="AK398" s="22"/>
      <c r="AL398" s="22"/>
      <c r="AM398" s="22"/>
      <c r="AN398" s="22"/>
    </row>
    <row r="399" spans="1:40" x14ac:dyDescent="0.25">
      <c r="A399" s="22"/>
      <c r="B399" s="22"/>
      <c r="C399" s="22"/>
      <c r="D399" s="22"/>
      <c r="E399" s="22"/>
      <c r="F399" s="22"/>
      <c r="G399" s="22"/>
      <c r="H399" s="22"/>
      <c r="I399" s="22"/>
      <c r="J399" s="22"/>
      <c r="K399" s="22"/>
      <c r="L399" s="22"/>
      <c r="M399" s="22"/>
      <c r="N399" s="22"/>
      <c r="O399" s="22"/>
      <c r="P399" s="22"/>
      <c r="Q399" s="22"/>
      <c r="R399" s="22"/>
      <c r="S399" s="22"/>
      <c r="T399" s="22"/>
      <c r="U399" s="22"/>
      <c r="V399" s="22"/>
      <c r="W399" s="22"/>
      <c r="X399" s="22"/>
      <c r="Y399" s="22"/>
      <c r="Z399" s="22"/>
      <c r="AA399" s="22"/>
      <c r="AB399" s="22"/>
      <c r="AC399" s="22"/>
      <c r="AD399" s="22"/>
      <c r="AE399" s="22"/>
      <c r="AF399" s="22"/>
      <c r="AG399" s="22"/>
      <c r="AH399" s="22"/>
      <c r="AI399" s="22"/>
      <c r="AJ399" s="22"/>
      <c r="AK399" s="22"/>
      <c r="AL399" s="22"/>
      <c r="AM399" s="22"/>
      <c r="AN399" s="22"/>
    </row>
    <row r="400" spans="1:40" x14ac:dyDescent="0.25">
      <c r="A400" s="22"/>
      <c r="B400" s="22"/>
      <c r="C400" s="22"/>
      <c r="D400" s="22"/>
      <c r="E400" s="22"/>
      <c r="F400" s="22"/>
      <c r="G400" s="22"/>
      <c r="H400" s="22"/>
      <c r="I400" s="22"/>
      <c r="J400" s="22"/>
      <c r="K400" s="22"/>
      <c r="L400" s="22"/>
      <c r="M400" s="22"/>
      <c r="N400" s="22"/>
      <c r="O400" s="22"/>
      <c r="P400" s="22"/>
      <c r="Q400" s="22"/>
      <c r="R400" s="22"/>
      <c r="S400" s="22"/>
      <c r="T400" s="22"/>
      <c r="U400" s="22"/>
      <c r="V400" s="22"/>
      <c r="W400" s="22"/>
      <c r="X400" s="22"/>
      <c r="Y400" s="22"/>
      <c r="Z400" s="22"/>
      <c r="AA400" s="22"/>
      <c r="AB400" s="22"/>
      <c r="AC400" s="22"/>
      <c r="AD400" s="22"/>
      <c r="AE400" s="22"/>
      <c r="AF400" s="22"/>
      <c r="AG400" s="22"/>
      <c r="AH400" s="22"/>
      <c r="AI400" s="22"/>
      <c r="AJ400" s="22"/>
      <c r="AK400" s="22"/>
      <c r="AL400" s="22"/>
      <c r="AM400" s="22"/>
      <c r="AN400" s="22"/>
    </row>
    <row r="401" spans="1:40" x14ac:dyDescent="0.25">
      <c r="A401" s="22"/>
      <c r="B401" s="22"/>
      <c r="C401" s="22"/>
      <c r="D401" s="22"/>
      <c r="E401" s="22"/>
      <c r="F401" s="22"/>
      <c r="G401" s="22"/>
      <c r="H401" s="22"/>
      <c r="I401" s="22"/>
      <c r="J401" s="22"/>
      <c r="K401" s="22"/>
      <c r="L401" s="22"/>
      <c r="M401" s="22"/>
      <c r="N401" s="22"/>
      <c r="O401" s="22"/>
      <c r="P401" s="22"/>
      <c r="Q401" s="22"/>
      <c r="R401" s="22"/>
      <c r="S401" s="22"/>
      <c r="T401" s="22"/>
      <c r="U401" s="22"/>
      <c r="V401" s="22"/>
      <c r="W401" s="22"/>
      <c r="X401" s="22"/>
      <c r="Y401" s="22"/>
      <c r="Z401" s="22"/>
      <c r="AA401" s="22"/>
      <c r="AB401" s="22"/>
      <c r="AC401" s="22"/>
      <c r="AD401" s="22"/>
      <c r="AE401" s="22"/>
      <c r="AF401" s="22"/>
      <c r="AG401" s="22"/>
      <c r="AH401" s="22"/>
      <c r="AI401" s="22"/>
      <c r="AJ401" s="22"/>
      <c r="AK401" s="22"/>
      <c r="AL401" s="22"/>
      <c r="AM401" s="22"/>
      <c r="AN401" s="22"/>
    </row>
    <row r="402" spans="1:40" x14ac:dyDescent="0.25">
      <c r="A402" s="22"/>
      <c r="B402" s="22"/>
      <c r="C402" s="22"/>
      <c r="D402" s="22"/>
      <c r="E402" s="22"/>
      <c r="F402" s="22"/>
      <c r="G402" s="22"/>
      <c r="H402" s="22"/>
      <c r="I402" s="22"/>
      <c r="J402" s="22"/>
      <c r="K402" s="22"/>
      <c r="L402" s="22"/>
      <c r="M402" s="22"/>
      <c r="N402" s="22"/>
      <c r="O402" s="22"/>
      <c r="P402" s="22"/>
      <c r="Q402" s="22"/>
      <c r="R402" s="22"/>
      <c r="S402" s="22"/>
      <c r="T402" s="22"/>
      <c r="U402" s="22"/>
      <c r="V402" s="22"/>
      <c r="W402" s="22"/>
      <c r="X402" s="22"/>
      <c r="Y402" s="22"/>
      <c r="Z402" s="22"/>
      <c r="AA402" s="22"/>
      <c r="AB402" s="22"/>
      <c r="AC402" s="22"/>
      <c r="AD402" s="22"/>
      <c r="AE402" s="22"/>
      <c r="AF402" s="22"/>
      <c r="AG402" s="22"/>
      <c r="AH402" s="22"/>
      <c r="AI402" s="22"/>
      <c r="AJ402" s="22"/>
      <c r="AK402" s="22"/>
      <c r="AL402" s="22"/>
      <c r="AM402" s="22"/>
      <c r="AN402" s="22"/>
    </row>
    <row r="403" spans="1:40" x14ac:dyDescent="0.25">
      <c r="A403" s="22"/>
      <c r="B403" s="22"/>
      <c r="C403" s="22"/>
      <c r="D403" s="22"/>
      <c r="E403" s="22"/>
      <c r="F403" s="22"/>
      <c r="G403" s="22"/>
      <c r="H403" s="22"/>
      <c r="I403" s="22"/>
      <c r="J403" s="22"/>
      <c r="K403" s="22"/>
      <c r="L403" s="22"/>
      <c r="M403" s="22"/>
      <c r="N403" s="22"/>
      <c r="O403" s="22"/>
      <c r="P403" s="22"/>
      <c r="Q403" s="22"/>
      <c r="R403" s="22"/>
      <c r="S403" s="22"/>
      <c r="T403" s="22"/>
      <c r="U403" s="22"/>
      <c r="V403" s="22"/>
      <c r="W403" s="22"/>
      <c r="X403" s="22"/>
      <c r="Y403" s="22"/>
      <c r="Z403" s="22"/>
      <c r="AA403" s="22"/>
      <c r="AB403" s="22"/>
      <c r="AC403" s="22"/>
      <c r="AD403" s="22"/>
      <c r="AE403" s="22"/>
      <c r="AF403" s="22"/>
      <c r="AG403" s="22"/>
      <c r="AH403" s="22"/>
      <c r="AI403" s="22"/>
      <c r="AJ403" s="22"/>
      <c r="AK403" s="22"/>
      <c r="AL403" s="22"/>
      <c r="AM403" s="22"/>
      <c r="AN403" s="22"/>
    </row>
    <row r="404" spans="1:40" x14ac:dyDescent="0.25">
      <c r="A404" s="22"/>
      <c r="B404" s="22"/>
      <c r="C404" s="22"/>
      <c r="D404" s="22"/>
      <c r="E404" s="22"/>
      <c r="F404" s="22"/>
      <c r="G404" s="22"/>
      <c r="H404" s="22"/>
      <c r="I404" s="22"/>
      <c r="J404" s="22"/>
      <c r="K404" s="22"/>
      <c r="L404" s="22"/>
      <c r="M404" s="22"/>
      <c r="N404" s="22"/>
      <c r="O404" s="22"/>
      <c r="P404" s="22"/>
      <c r="Q404" s="22"/>
      <c r="R404" s="22"/>
      <c r="S404" s="22"/>
      <c r="T404" s="22"/>
      <c r="U404" s="22"/>
      <c r="V404" s="22"/>
      <c r="W404" s="22"/>
      <c r="X404" s="22"/>
      <c r="Y404" s="22"/>
      <c r="Z404" s="22"/>
      <c r="AA404" s="22"/>
      <c r="AB404" s="22"/>
      <c r="AC404" s="22"/>
      <c r="AD404" s="22"/>
      <c r="AE404" s="22"/>
      <c r="AF404" s="22"/>
      <c r="AG404" s="22"/>
      <c r="AH404" s="22"/>
      <c r="AI404" s="22"/>
      <c r="AJ404" s="22"/>
      <c r="AK404" s="22"/>
      <c r="AL404" s="22"/>
      <c r="AM404" s="22"/>
      <c r="AN404" s="22"/>
    </row>
    <row r="405" spans="1:40" x14ac:dyDescent="0.25">
      <c r="A405" s="22"/>
      <c r="B405" s="22"/>
      <c r="C405" s="22"/>
      <c r="D405" s="22"/>
      <c r="E405" s="22"/>
      <c r="F405" s="22"/>
      <c r="G405" s="22"/>
      <c r="H405" s="22"/>
      <c r="I405" s="22"/>
      <c r="J405" s="22"/>
      <c r="K405" s="22"/>
      <c r="L405" s="22"/>
      <c r="M405" s="22"/>
      <c r="N405" s="22"/>
      <c r="O405" s="22"/>
      <c r="P405" s="22"/>
      <c r="Q405" s="22"/>
      <c r="R405" s="22"/>
      <c r="S405" s="22"/>
      <c r="T405" s="22"/>
      <c r="U405" s="22"/>
      <c r="V405" s="22"/>
      <c r="W405" s="22"/>
      <c r="X405" s="22"/>
      <c r="Y405" s="22"/>
      <c r="Z405" s="22"/>
      <c r="AA405" s="22"/>
      <c r="AB405" s="22"/>
      <c r="AC405" s="22"/>
      <c r="AD405" s="22"/>
      <c r="AE405" s="22"/>
      <c r="AF405" s="22"/>
      <c r="AG405" s="22"/>
      <c r="AH405" s="22"/>
      <c r="AI405" s="22"/>
      <c r="AJ405" s="22"/>
      <c r="AK405" s="22"/>
      <c r="AL405" s="22"/>
      <c r="AM405" s="22"/>
      <c r="AN405" s="22"/>
    </row>
    <row r="406" spans="1:40" x14ac:dyDescent="0.25">
      <c r="A406" s="22"/>
      <c r="B406" s="22"/>
      <c r="C406" s="22"/>
      <c r="D406" s="22"/>
      <c r="E406" s="22"/>
      <c r="F406" s="22"/>
      <c r="G406" s="22"/>
      <c r="H406" s="22"/>
      <c r="I406" s="22"/>
      <c r="J406" s="22"/>
      <c r="K406" s="22"/>
      <c r="L406" s="22"/>
      <c r="M406" s="22"/>
      <c r="N406" s="22"/>
      <c r="O406" s="22"/>
      <c r="P406" s="22"/>
      <c r="Q406" s="22"/>
      <c r="R406" s="22"/>
      <c r="S406" s="22"/>
      <c r="T406" s="22"/>
      <c r="U406" s="22"/>
      <c r="V406" s="22"/>
      <c r="W406" s="22"/>
      <c r="X406" s="22"/>
      <c r="Y406" s="22"/>
      <c r="Z406" s="22"/>
      <c r="AA406" s="22"/>
      <c r="AB406" s="22"/>
      <c r="AC406" s="22"/>
      <c r="AD406" s="22"/>
      <c r="AE406" s="22"/>
      <c r="AF406" s="22"/>
      <c r="AG406" s="22"/>
      <c r="AH406" s="22"/>
      <c r="AI406" s="22"/>
      <c r="AJ406" s="22"/>
      <c r="AK406" s="22"/>
      <c r="AL406" s="22"/>
      <c r="AM406" s="22"/>
      <c r="AN406" s="22"/>
    </row>
    <row r="407" spans="1:40" x14ac:dyDescent="0.25">
      <c r="A407" s="22"/>
      <c r="B407" s="22"/>
      <c r="C407" s="22"/>
      <c r="D407" s="22"/>
      <c r="E407" s="22"/>
      <c r="F407" s="22"/>
      <c r="G407" s="22"/>
      <c r="H407" s="22"/>
      <c r="I407" s="22"/>
      <c r="J407" s="22"/>
      <c r="K407" s="22"/>
      <c r="L407" s="22"/>
      <c r="M407" s="22"/>
      <c r="N407" s="22"/>
      <c r="O407" s="22"/>
      <c r="P407" s="22"/>
      <c r="Q407" s="22"/>
      <c r="R407" s="22"/>
      <c r="S407" s="22"/>
      <c r="T407" s="22"/>
      <c r="U407" s="22"/>
      <c r="V407" s="22"/>
      <c r="W407" s="22"/>
      <c r="X407" s="22"/>
      <c r="Y407" s="22"/>
      <c r="Z407" s="22"/>
      <c r="AA407" s="22"/>
      <c r="AB407" s="22"/>
      <c r="AC407" s="22"/>
      <c r="AD407" s="22"/>
      <c r="AE407" s="22"/>
      <c r="AF407" s="22"/>
      <c r="AG407" s="22"/>
      <c r="AH407" s="22"/>
      <c r="AI407" s="22"/>
      <c r="AJ407" s="22"/>
      <c r="AK407" s="22"/>
      <c r="AL407" s="22"/>
      <c r="AM407" s="22"/>
      <c r="AN407" s="22"/>
    </row>
    <row r="408" spans="1:40" x14ac:dyDescent="0.25">
      <c r="A408" s="22"/>
      <c r="B408" s="22"/>
      <c r="C408" s="22"/>
      <c r="D408" s="22"/>
      <c r="E408" s="22"/>
      <c r="F408" s="22"/>
      <c r="G408" s="22"/>
      <c r="H408" s="22"/>
      <c r="I408" s="22"/>
      <c r="J408" s="22"/>
      <c r="K408" s="22"/>
      <c r="L408" s="22"/>
      <c r="M408" s="22"/>
      <c r="N408" s="22"/>
      <c r="O408" s="22"/>
      <c r="P408" s="22"/>
      <c r="Q408" s="22"/>
      <c r="R408" s="22"/>
      <c r="S408" s="22"/>
      <c r="T408" s="22"/>
      <c r="U408" s="22"/>
      <c r="V408" s="22"/>
      <c r="W408" s="22"/>
      <c r="X408" s="22"/>
      <c r="Y408" s="22"/>
      <c r="Z408" s="22"/>
      <c r="AA408" s="22"/>
      <c r="AB408" s="22"/>
      <c r="AC408" s="22"/>
      <c r="AD408" s="22"/>
      <c r="AE408" s="22"/>
      <c r="AF408" s="22"/>
      <c r="AG408" s="22"/>
      <c r="AH408" s="22"/>
      <c r="AI408" s="22"/>
      <c r="AJ408" s="22"/>
      <c r="AK408" s="22"/>
      <c r="AL408" s="22"/>
      <c r="AM408" s="22"/>
      <c r="AN408" s="22"/>
    </row>
    <row r="409" spans="1:40" x14ac:dyDescent="0.25">
      <c r="A409" s="22"/>
      <c r="B409" s="22"/>
      <c r="C409" s="22"/>
      <c r="D409" s="22"/>
      <c r="E409" s="22"/>
      <c r="F409" s="22"/>
      <c r="G409" s="22"/>
      <c r="H409" s="22"/>
      <c r="I409" s="22"/>
      <c r="J409" s="22"/>
      <c r="K409" s="22"/>
      <c r="L409" s="22"/>
      <c r="M409" s="22"/>
      <c r="N409" s="22"/>
      <c r="O409" s="22"/>
      <c r="P409" s="22"/>
      <c r="Q409" s="22"/>
      <c r="R409" s="22"/>
      <c r="S409" s="22"/>
      <c r="T409" s="22"/>
      <c r="U409" s="22"/>
      <c r="V409" s="22"/>
      <c r="W409" s="22"/>
      <c r="X409" s="22"/>
      <c r="Y409" s="22"/>
      <c r="Z409" s="22"/>
      <c r="AA409" s="22"/>
      <c r="AB409" s="22"/>
      <c r="AC409" s="22"/>
      <c r="AD409" s="22"/>
      <c r="AE409" s="22"/>
      <c r="AF409" s="22"/>
      <c r="AG409" s="22"/>
      <c r="AH409" s="22"/>
      <c r="AI409" s="22"/>
      <c r="AJ409" s="22"/>
      <c r="AK409" s="22"/>
      <c r="AL409" s="22"/>
      <c r="AM409" s="22"/>
      <c r="AN409" s="22"/>
    </row>
    <row r="410" spans="1:40" x14ac:dyDescent="0.25">
      <c r="A410" s="22"/>
      <c r="B410" s="22"/>
      <c r="C410" s="22"/>
      <c r="D410" s="22"/>
      <c r="E410" s="22"/>
      <c r="F410" s="22"/>
      <c r="G410" s="22"/>
      <c r="H410" s="22"/>
      <c r="I410" s="22"/>
      <c r="J410" s="22"/>
      <c r="K410" s="22"/>
      <c r="L410" s="22"/>
      <c r="M410" s="22"/>
      <c r="N410" s="22"/>
      <c r="O410" s="22"/>
      <c r="P410" s="22"/>
      <c r="Q410" s="22"/>
      <c r="R410" s="22"/>
      <c r="S410" s="22"/>
      <c r="T410" s="22"/>
      <c r="U410" s="22"/>
      <c r="V410" s="22"/>
      <c r="W410" s="22"/>
      <c r="X410" s="22"/>
      <c r="Y410" s="22"/>
      <c r="Z410" s="22"/>
      <c r="AA410" s="22"/>
      <c r="AB410" s="22"/>
      <c r="AC410" s="22"/>
      <c r="AD410" s="22"/>
      <c r="AE410" s="22"/>
      <c r="AF410" s="22"/>
      <c r="AG410" s="22"/>
      <c r="AH410" s="22"/>
      <c r="AI410" s="22"/>
      <c r="AJ410" s="22"/>
      <c r="AK410" s="22"/>
      <c r="AL410" s="22"/>
      <c r="AM410" s="22"/>
      <c r="AN410" s="22"/>
    </row>
    <row r="411" spans="1:40" x14ac:dyDescent="0.25">
      <c r="A411" s="22"/>
      <c r="B411" s="22"/>
      <c r="C411" s="22"/>
      <c r="D411" s="22"/>
      <c r="E411" s="22"/>
      <c r="F411" s="22"/>
      <c r="G411" s="22"/>
      <c r="H411" s="22"/>
      <c r="I411" s="22"/>
      <c r="J411" s="22"/>
      <c r="K411" s="22"/>
      <c r="L411" s="22"/>
      <c r="M411" s="22"/>
      <c r="N411" s="22"/>
      <c r="O411" s="22"/>
      <c r="P411" s="22"/>
      <c r="Q411" s="22"/>
      <c r="R411" s="22"/>
      <c r="S411" s="22"/>
      <c r="T411" s="22"/>
      <c r="U411" s="22"/>
      <c r="V411" s="22"/>
      <c r="W411" s="22"/>
      <c r="X411" s="22"/>
      <c r="Y411" s="22"/>
      <c r="Z411" s="22"/>
      <c r="AA411" s="22"/>
      <c r="AB411" s="22"/>
      <c r="AC411" s="22"/>
      <c r="AD411" s="22"/>
      <c r="AE411" s="22"/>
      <c r="AF411" s="22"/>
      <c r="AG411" s="22"/>
      <c r="AH411" s="22"/>
      <c r="AI411" s="22"/>
      <c r="AJ411" s="22"/>
      <c r="AK411" s="22"/>
      <c r="AL411" s="22"/>
      <c r="AM411" s="22"/>
      <c r="AN411" s="22"/>
    </row>
    <row r="412" spans="1:40" x14ac:dyDescent="0.25">
      <c r="A412" s="22"/>
      <c r="B412" s="22"/>
      <c r="C412" s="22"/>
      <c r="D412" s="22"/>
      <c r="E412" s="22"/>
      <c r="F412" s="22"/>
      <c r="G412" s="22"/>
      <c r="H412" s="22"/>
      <c r="I412" s="22"/>
      <c r="J412" s="22"/>
      <c r="K412" s="22"/>
      <c r="L412" s="22"/>
      <c r="M412" s="22"/>
      <c r="N412" s="22"/>
      <c r="O412" s="22"/>
      <c r="P412" s="22"/>
      <c r="Q412" s="22"/>
      <c r="R412" s="22"/>
      <c r="S412" s="22"/>
      <c r="T412" s="22"/>
      <c r="U412" s="22"/>
      <c r="V412" s="22"/>
      <c r="W412" s="22"/>
      <c r="X412" s="22"/>
      <c r="Y412" s="22"/>
      <c r="Z412" s="22"/>
      <c r="AA412" s="22"/>
      <c r="AB412" s="22"/>
      <c r="AC412" s="22"/>
      <c r="AD412" s="22"/>
      <c r="AE412" s="22"/>
      <c r="AF412" s="22"/>
      <c r="AG412" s="22"/>
      <c r="AH412" s="22"/>
      <c r="AI412" s="22"/>
      <c r="AJ412" s="22"/>
      <c r="AK412" s="22"/>
      <c r="AL412" s="22"/>
      <c r="AM412" s="22"/>
      <c r="AN412" s="22"/>
    </row>
    <row r="413" spans="1:40" x14ac:dyDescent="0.25">
      <c r="A413" s="22"/>
      <c r="B413" s="22"/>
      <c r="C413" s="22"/>
      <c r="D413" s="22"/>
      <c r="E413" s="22"/>
      <c r="F413" s="22"/>
      <c r="G413" s="22"/>
      <c r="H413" s="22"/>
      <c r="I413" s="22"/>
      <c r="J413" s="22"/>
      <c r="K413" s="22"/>
      <c r="L413" s="22"/>
      <c r="M413" s="22"/>
      <c r="N413" s="22"/>
      <c r="O413" s="22"/>
      <c r="P413" s="22"/>
      <c r="Q413" s="22"/>
      <c r="R413" s="22"/>
      <c r="S413" s="22"/>
      <c r="T413" s="22"/>
      <c r="U413" s="22"/>
      <c r="V413" s="22"/>
      <c r="W413" s="22"/>
      <c r="X413" s="22"/>
      <c r="Y413" s="22"/>
      <c r="Z413" s="22"/>
      <c r="AA413" s="22"/>
      <c r="AB413" s="22"/>
      <c r="AC413" s="22"/>
      <c r="AD413" s="22"/>
      <c r="AE413" s="22"/>
      <c r="AF413" s="22"/>
      <c r="AG413" s="22"/>
      <c r="AH413" s="22"/>
      <c r="AI413" s="22"/>
      <c r="AJ413" s="22"/>
      <c r="AK413" s="22"/>
      <c r="AL413" s="22"/>
      <c r="AM413" s="22"/>
      <c r="AN413" s="22"/>
    </row>
    <row r="414" spans="1:40" x14ac:dyDescent="0.25">
      <c r="A414" s="22"/>
      <c r="B414" s="22"/>
      <c r="C414" s="22"/>
      <c r="D414" s="22"/>
      <c r="E414" s="22"/>
      <c r="F414" s="22"/>
      <c r="G414" s="22"/>
      <c r="H414" s="22"/>
      <c r="I414" s="22"/>
      <c r="J414" s="22"/>
      <c r="K414" s="22"/>
      <c r="L414" s="22"/>
      <c r="M414" s="22"/>
      <c r="N414" s="22"/>
      <c r="O414" s="22"/>
      <c r="P414" s="22"/>
      <c r="Q414" s="22"/>
      <c r="R414" s="22"/>
      <c r="S414" s="22"/>
      <c r="T414" s="22"/>
      <c r="U414" s="22"/>
      <c r="V414" s="22"/>
      <c r="W414" s="22"/>
      <c r="X414" s="22"/>
      <c r="Y414" s="22"/>
      <c r="Z414" s="22"/>
      <c r="AA414" s="22"/>
      <c r="AB414" s="22"/>
      <c r="AC414" s="22"/>
      <c r="AD414" s="22"/>
      <c r="AE414" s="22"/>
      <c r="AF414" s="22"/>
      <c r="AG414" s="22"/>
      <c r="AH414" s="22"/>
      <c r="AI414" s="22"/>
      <c r="AJ414" s="22"/>
      <c r="AK414" s="22"/>
      <c r="AL414" s="22"/>
      <c r="AM414" s="22"/>
      <c r="AN414" s="22"/>
    </row>
    <row r="415" spans="1:40" x14ac:dyDescent="0.25">
      <c r="A415" s="22"/>
      <c r="B415" s="22"/>
      <c r="C415" s="22"/>
      <c r="D415" s="22"/>
      <c r="E415" s="22"/>
      <c r="F415" s="22"/>
      <c r="G415" s="22"/>
      <c r="H415" s="22"/>
      <c r="I415" s="22"/>
      <c r="J415" s="22"/>
      <c r="K415" s="22"/>
      <c r="L415" s="22"/>
      <c r="M415" s="22"/>
      <c r="N415" s="22"/>
      <c r="O415" s="22"/>
      <c r="P415" s="22"/>
      <c r="Q415" s="22"/>
      <c r="R415" s="22"/>
      <c r="S415" s="22"/>
      <c r="T415" s="22"/>
      <c r="U415" s="22"/>
      <c r="V415" s="22"/>
      <c r="W415" s="22"/>
      <c r="X415" s="22"/>
      <c r="Y415" s="22"/>
      <c r="Z415" s="22"/>
      <c r="AA415" s="22"/>
      <c r="AB415" s="22"/>
      <c r="AC415" s="22"/>
      <c r="AD415" s="22"/>
      <c r="AE415" s="22"/>
      <c r="AF415" s="22"/>
      <c r="AG415" s="22"/>
      <c r="AH415" s="22"/>
      <c r="AI415" s="22"/>
      <c r="AJ415" s="22"/>
      <c r="AK415" s="22"/>
      <c r="AL415" s="22"/>
      <c r="AM415" s="22"/>
      <c r="AN415" s="22"/>
    </row>
    <row r="416" spans="1:40" x14ac:dyDescent="0.25">
      <c r="A416" s="22"/>
      <c r="B416" s="22"/>
      <c r="C416" s="22"/>
      <c r="D416" s="22"/>
      <c r="E416" s="22"/>
      <c r="F416" s="22"/>
      <c r="G416" s="22"/>
      <c r="H416" s="22"/>
      <c r="I416" s="22"/>
      <c r="J416" s="22"/>
      <c r="K416" s="22"/>
      <c r="L416" s="22"/>
      <c r="M416" s="22"/>
      <c r="N416" s="22"/>
      <c r="O416" s="22"/>
      <c r="P416" s="22"/>
      <c r="Q416" s="22"/>
      <c r="R416" s="22"/>
      <c r="S416" s="22"/>
      <c r="T416" s="22"/>
      <c r="U416" s="22"/>
      <c r="V416" s="22"/>
      <c r="W416" s="22"/>
      <c r="X416" s="22"/>
      <c r="Y416" s="22"/>
      <c r="Z416" s="22"/>
      <c r="AA416" s="22"/>
      <c r="AB416" s="22"/>
      <c r="AC416" s="22"/>
      <c r="AD416" s="22"/>
      <c r="AE416" s="22"/>
      <c r="AF416" s="22"/>
      <c r="AG416" s="22"/>
      <c r="AH416" s="22"/>
      <c r="AI416" s="22"/>
      <c r="AJ416" s="22"/>
      <c r="AK416" s="22"/>
      <c r="AL416" s="22"/>
      <c r="AM416" s="22"/>
      <c r="AN416" s="22"/>
    </row>
    <row r="417" spans="1:40" x14ac:dyDescent="0.25">
      <c r="A417" s="22"/>
      <c r="B417" s="22"/>
      <c r="C417" s="22"/>
      <c r="D417" s="22"/>
      <c r="E417" s="22"/>
      <c r="F417" s="22"/>
      <c r="G417" s="22"/>
      <c r="H417" s="22"/>
      <c r="I417" s="22"/>
      <c r="J417" s="22"/>
      <c r="K417" s="22"/>
      <c r="L417" s="22"/>
      <c r="M417" s="22"/>
      <c r="N417" s="22"/>
      <c r="O417" s="22"/>
      <c r="P417" s="22"/>
      <c r="Q417" s="22"/>
      <c r="R417" s="22"/>
      <c r="S417" s="22"/>
      <c r="T417" s="22"/>
      <c r="U417" s="22"/>
      <c r="V417" s="22"/>
      <c r="W417" s="22"/>
      <c r="X417" s="22"/>
      <c r="Y417" s="22"/>
      <c r="Z417" s="22"/>
      <c r="AA417" s="22"/>
      <c r="AB417" s="22"/>
      <c r="AC417" s="22"/>
      <c r="AD417" s="22"/>
      <c r="AE417" s="22"/>
      <c r="AF417" s="22"/>
      <c r="AG417" s="22"/>
      <c r="AH417" s="22"/>
      <c r="AI417" s="22"/>
      <c r="AJ417" s="22"/>
      <c r="AK417" s="22"/>
      <c r="AL417" s="22"/>
      <c r="AM417" s="22"/>
      <c r="AN417" s="22"/>
    </row>
    <row r="418" spans="1:40" x14ac:dyDescent="0.25">
      <c r="A418" s="22"/>
      <c r="B418" s="22"/>
      <c r="C418" s="22"/>
      <c r="D418" s="22"/>
      <c r="E418" s="22"/>
      <c r="F418" s="22"/>
      <c r="G418" s="22"/>
      <c r="H418" s="22"/>
      <c r="I418" s="22"/>
      <c r="J418" s="22"/>
      <c r="K418" s="22"/>
      <c r="L418" s="22"/>
      <c r="M418" s="22"/>
      <c r="N418" s="22"/>
      <c r="O418" s="22"/>
      <c r="P418" s="22"/>
      <c r="Q418" s="22"/>
      <c r="R418" s="22"/>
      <c r="S418" s="22"/>
      <c r="T418" s="22"/>
      <c r="U418" s="22"/>
      <c r="V418" s="22"/>
      <c r="W418" s="22"/>
      <c r="X418" s="22"/>
      <c r="Y418" s="22"/>
      <c r="Z418" s="22"/>
      <c r="AA418" s="22"/>
      <c r="AB418" s="22"/>
      <c r="AC418" s="22"/>
      <c r="AD418" s="22"/>
      <c r="AE418" s="22"/>
      <c r="AF418" s="22"/>
      <c r="AG418" s="22"/>
      <c r="AH418" s="22"/>
      <c r="AI418" s="22"/>
      <c r="AJ418" s="22"/>
      <c r="AK418" s="22"/>
      <c r="AL418" s="22"/>
      <c r="AM418" s="22"/>
      <c r="AN418" s="22"/>
    </row>
    <row r="419" spans="1:40" x14ac:dyDescent="0.25">
      <c r="A419" s="22"/>
      <c r="B419" s="22"/>
      <c r="C419" s="22"/>
      <c r="D419" s="22"/>
      <c r="E419" s="22"/>
      <c r="F419" s="22"/>
      <c r="G419" s="22"/>
      <c r="H419" s="22"/>
      <c r="I419" s="22"/>
      <c r="J419" s="22"/>
      <c r="K419" s="22"/>
      <c r="L419" s="22"/>
      <c r="M419" s="22"/>
      <c r="N419" s="22"/>
      <c r="O419" s="22"/>
      <c r="P419" s="22"/>
      <c r="Q419" s="22"/>
      <c r="R419" s="22"/>
      <c r="S419" s="22"/>
      <c r="T419" s="22"/>
      <c r="U419" s="22"/>
      <c r="V419" s="22"/>
      <c r="W419" s="22"/>
      <c r="X419" s="22"/>
      <c r="Y419" s="22"/>
      <c r="Z419" s="22"/>
      <c r="AA419" s="22"/>
      <c r="AB419" s="22"/>
      <c r="AC419" s="22"/>
      <c r="AD419" s="22"/>
      <c r="AE419" s="22"/>
      <c r="AF419" s="22"/>
      <c r="AG419" s="22"/>
      <c r="AH419" s="22"/>
      <c r="AI419" s="22"/>
      <c r="AJ419" s="22"/>
      <c r="AK419" s="22"/>
      <c r="AL419" s="22"/>
      <c r="AM419" s="22"/>
      <c r="AN419" s="22"/>
    </row>
    <row r="420" spans="1:40" x14ac:dyDescent="0.25">
      <c r="A420" s="22"/>
      <c r="B420" s="22"/>
      <c r="C420" s="22"/>
      <c r="D420" s="22"/>
      <c r="E420" s="22"/>
      <c r="F420" s="22"/>
      <c r="G420" s="22"/>
      <c r="H420" s="22"/>
      <c r="I420" s="22"/>
      <c r="J420" s="22"/>
      <c r="K420" s="22"/>
      <c r="L420" s="22"/>
      <c r="M420" s="22"/>
      <c r="N420" s="22"/>
      <c r="O420" s="22"/>
      <c r="P420" s="22"/>
      <c r="Q420" s="22"/>
      <c r="R420" s="22"/>
      <c r="S420" s="22"/>
      <c r="T420" s="22"/>
      <c r="U420" s="22"/>
      <c r="V420" s="22"/>
      <c r="W420" s="22"/>
      <c r="X420" s="22"/>
      <c r="Y420" s="22"/>
      <c r="Z420" s="22"/>
      <c r="AA420" s="22"/>
      <c r="AB420" s="22"/>
      <c r="AC420" s="22"/>
      <c r="AD420" s="22"/>
      <c r="AE420" s="22"/>
      <c r="AF420" s="22"/>
      <c r="AG420" s="22"/>
      <c r="AH420" s="22"/>
      <c r="AI420" s="22"/>
      <c r="AJ420" s="22"/>
      <c r="AK420" s="22"/>
      <c r="AL420" s="22"/>
      <c r="AM420" s="22"/>
      <c r="AN420" s="22"/>
    </row>
    <row r="421" spans="1:40" x14ac:dyDescent="0.25">
      <c r="A421" s="22"/>
      <c r="B421" s="22"/>
      <c r="C421" s="22"/>
      <c r="D421" s="22"/>
      <c r="E421" s="22"/>
      <c r="F421" s="22"/>
      <c r="G421" s="22"/>
      <c r="H421" s="22"/>
      <c r="I421" s="22"/>
      <c r="J421" s="22"/>
      <c r="K421" s="22"/>
      <c r="L421" s="22"/>
      <c r="M421" s="22"/>
      <c r="N421" s="22"/>
      <c r="O421" s="22"/>
      <c r="P421" s="22"/>
      <c r="Q421" s="22"/>
      <c r="R421" s="22"/>
      <c r="S421" s="22"/>
      <c r="T421" s="22"/>
      <c r="U421" s="22"/>
      <c r="V421" s="22"/>
      <c r="W421" s="22"/>
      <c r="X421" s="22"/>
      <c r="Y421" s="22"/>
      <c r="Z421" s="22"/>
      <c r="AA421" s="22"/>
      <c r="AB421" s="22"/>
      <c r="AC421" s="22"/>
      <c r="AD421" s="22"/>
      <c r="AE421" s="22"/>
      <c r="AF421" s="22"/>
      <c r="AG421" s="22"/>
      <c r="AH421" s="22"/>
      <c r="AI421" s="22"/>
      <c r="AJ421" s="22"/>
      <c r="AK421" s="22"/>
      <c r="AL421" s="22"/>
      <c r="AM421" s="22"/>
      <c r="AN421" s="22"/>
    </row>
    <row r="422" spans="1:40" x14ac:dyDescent="0.25">
      <c r="A422" s="22"/>
      <c r="B422" s="22"/>
      <c r="C422" s="22"/>
      <c r="D422" s="22"/>
      <c r="E422" s="22"/>
      <c r="F422" s="22"/>
      <c r="G422" s="22"/>
      <c r="H422" s="22"/>
      <c r="I422" s="22"/>
      <c r="J422" s="22"/>
      <c r="K422" s="22"/>
      <c r="L422" s="22"/>
      <c r="M422" s="22"/>
      <c r="N422" s="22"/>
      <c r="O422" s="22"/>
      <c r="P422" s="22"/>
      <c r="Q422" s="22"/>
      <c r="R422" s="22"/>
      <c r="S422" s="22"/>
      <c r="T422" s="22"/>
      <c r="U422" s="22"/>
      <c r="V422" s="22"/>
      <c r="W422" s="22"/>
      <c r="X422" s="22"/>
      <c r="Y422" s="22"/>
      <c r="Z422" s="22"/>
      <c r="AA422" s="22"/>
      <c r="AB422" s="22"/>
      <c r="AC422" s="22"/>
      <c r="AD422" s="22"/>
      <c r="AE422" s="22"/>
      <c r="AF422" s="22"/>
      <c r="AG422" s="22"/>
      <c r="AH422" s="22"/>
      <c r="AI422" s="22"/>
      <c r="AJ422" s="22"/>
      <c r="AK422" s="22"/>
      <c r="AL422" s="22"/>
      <c r="AM422" s="22"/>
      <c r="AN422" s="22"/>
    </row>
    <row r="423" spans="1:40" x14ac:dyDescent="0.25">
      <c r="A423" s="22"/>
      <c r="B423" s="22"/>
      <c r="C423" s="22"/>
      <c r="D423" s="22"/>
      <c r="E423" s="22"/>
      <c r="F423" s="22"/>
      <c r="G423" s="22"/>
      <c r="H423" s="22"/>
      <c r="I423" s="22"/>
      <c r="J423" s="22"/>
      <c r="K423" s="22"/>
      <c r="L423" s="22"/>
      <c r="M423" s="22"/>
      <c r="N423" s="22"/>
      <c r="O423" s="22"/>
      <c r="P423" s="22"/>
      <c r="Q423" s="22"/>
      <c r="R423" s="22"/>
      <c r="S423" s="22"/>
      <c r="T423" s="22"/>
      <c r="U423" s="22"/>
      <c r="V423" s="22"/>
      <c r="W423" s="22"/>
      <c r="X423" s="22"/>
      <c r="Y423" s="22"/>
      <c r="Z423" s="22"/>
      <c r="AA423" s="22"/>
      <c r="AB423" s="22"/>
      <c r="AC423" s="22"/>
      <c r="AD423" s="22"/>
      <c r="AE423" s="22"/>
      <c r="AF423" s="22"/>
      <c r="AG423" s="22"/>
      <c r="AH423" s="22"/>
      <c r="AI423" s="22"/>
      <c r="AJ423" s="22"/>
      <c r="AK423" s="22"/>
      <c r="AL423" s="22"/>
      <c r="AM423" s="22"/>
      <c r="AN423" s="22"/>
    </row>
    <row r="424" spans="1:40" x14ac:dyDescent="0.25">
      <c r="A424" s="22"/>
      <c r="B424" s="22"/>
      <c r="C424" s="22"/>
      <c r="D424" s="22"/>
      <c r="E424" s="22"/>
      <c r="F424" s="22"/>
      <c r="G424" s="22"/>
      <c r="H424" s="22"/>
      <c r="I424" s="22"/>
      <c r="J424" s="22"/>
      <c r="K424" s="22"/>
      <c r="L424" s="22"/>
      <c r="M424" s="22"/>
      <c r="N424" s="22"/>
      <c r="O424" s="22"/>
      <c r="P424" s="22"/>
      <c r="Q424" s="22"/>
      <c r="R424" s="22"/>
      <c r="S424" s="22"/>
      <c r="T424" s="22"/>
      <c r="U424" s="22"/>
      <c r="V424" s="22"/>
      <c r="W424" s="22"/>
      <c r="X424" s="22"/>
      <c r="Y424" s="22"/>
      <c r="Z424" s="22"/>
      <c r="AA424" s="22"/>
      <c r="AB424" s="22"/>
      <c r="AC424" s="22"/>
      <c r="AD424" s="22"/>
      <c r="AE424" s="22"/>
      <c r="AF424" s="22"/>
      <c r="AG424" s="22"/>
      <c r="AH424" s="22"/>
      <c r="AI424" s="22"/>
      <c r="AJ424" s="22"/>
      <c r="AK424" s="22"/>
      <c r="AL424" s="22"/>
      <c r="AM424" s="22"/>
      <c r="AN424" s="22"/>
    </row>
    <row r="425" spans="1:40" x14ac:dyDescent="0.25">
      <c r="A425" s="22"/>
      <c r="B425" s="22"/>
      <c r="C425" s="22"/>
      <c r="D425" s="22"/>
      <c r="E425" s="22"/>
      <c r="F425" s="22"/>
      <c r="G425" s="22"/>
      <c r="H425" s="22"/>
      <c r="I425" s="22"/>
      <c r="J425" s="22"/>
      <c r="K425" s="22"/>
      <c r="L425" s="22"/>
      <c r="M425" s="22"/>
      <c r="N425" s="22"/>
      <c r="O425" s="22"/>
      <c r="P425" s="22"/>
      <c r="Q425" s="22"/>
      <c r="R425" s="22"/>
      <c r="S425" s="22"/>
      <c r="T425" s="22"/>
      <c r="U425" s="22"/>
      <c r="V425" s="22"/>
      <c r="W425" s="22"/>
      <c r="X425" s="22"/>
      <c r="Y425" s="22"/>
      <c r="Z425" s="22"/>
      <c r="AA425" s="22"/>
      <c r="AB425" s="22"/>
      <c r="AC425" s="22"/>
      <c r="AD425" s="22"/>
      <c r="AE425" s="22"/>
      <c r="AF425" s="22"/>
      <c r="AG425" s="22"/>
      <c r="AH425" s="22"/>
      <c r="AI425" s="22"/>
      <c r="AJ425" s="22"/>
      <c r="AK425" s="22"/>
      <c r="AL425" s="22"/>
      <c r="AM425" s="22"/>
      <c r="AN425" s="22"/>
    </row>
    <row r="426" spans="1:40" x14ac:dyDescent="0.25">
      <c r="A426" s="22"/>
      <c r="B426" s="22"/>
      <c r="C426" s="22"/>
      <c r="D426" s="22"/>
      <c r="E426" s="22"/>
      <c r="F426" s="22"/>
      <c r="G426" s="22"/>
      <c r="H426" s="22"/>
      <c r="I426" s="22"/>
      <c r="J426" s="22"/>
      <c r="K426" s="22"/>
      <c r="L426" s="22"/>
      <c r="M426" s="22"/>
      <c r="N426" s="22"/>
      <c r="O426" s="22"/>
      <c r="P426" s="22"/>
      <c r="Q426" s="22"/>
      <c r="R426" s="22"/>
      <c r="S426" s="22"/>
      <c r="T426" s="22"/>
      <c r="U426" s="22"/>
      <c r="V426" s="22"/>
      <c r="W426" s="22"/>
      <c r="X426" s="22"/>
      <c r="Y426" s="22"/>
      <c r="Z426" s="22"/>
      <c r="AA426" s="22"/>
      <c r="AB426" s="22"/>
      <c r="AC426" s="22"/>
      <c r="AD426" s="22"/>
      <c r="AE426" s="22"/>
      <c r="AF426" s="22"/>
      <c r="AG426" s="22"/>
      <c r="AH426" s="22"/>
      <c r="AI426" s="22"/>
      <c r="AJ426" s="22"/>
      <c r="AK426" s="22"/>
      <c r="AL426" s="22"/>
      <c r="AM426" s="22"/>
      <c r="AN426" s="22"/>
    </row>
    <row r="427" spans="1:40" x14ac:dyDescent="0.25">
      <c r="A427" s="22"/>
      <c r="B427" s="22"/>
      <c r="C427" s="22"/>
      <c r="D427" s="22"/>
      <c r="E427" s="22"/>
      <c r="F427" s="22"/>
      <c r="G427" s="22"/>
      <c r="H427" s="22"/>
      <c r="I427" s="22"/>
      <c r="J427" s="22"/>
      <c r="K427" s="22"/>
      <c r="L427" s="22"/>
      <c r="M427" s="22"/>
      <c r="N427" s="22"/>
      <c r="O427" s="22"/>
      <c r="P427" s="22"/>
      <c r="Q427" s="22"/>
      <c r="R427" s="22"/>
      <c r="S427" s="22"/>
      <c r="T427" s="22"/>
      <c r="U427" s="22"/>
      <c r="V427" s="22"/>
      <c r="W427" s="22"/>
      <c r="X427" s="22"/>
      <c r="Y427" s="22"/>
      <c r="Z427" s="22"/>
      <c r="AA427" s="22"/>
      <c r="AB427" s="22"/>
      <c r="AC427" s="22"/>
      <c r="AD427" s="22"/>
      <c r="AE427" s="22"/>
      <c r="AF427" s="22"/>
      <c r="AG427" s="22"/>
      <c r="AH427" s="22"/>
      <c r="AI427" s="22"/>
      <c r="AJ427" s="22"/>
      <c r="AK427" s="22"/>
      <c r="AL427" s="22"/>
      <c r="AM427" s="22"/>
      <c r="AN427" s="22"/>
    </row>
    <row r="428" spans="1:40" x14ac:dyDescent="0.25">
      <c r="A428" s="22"/>
      <c r="B428" s="22"/>
      <c r="C428" s="22"/>
      <c r="D428" s="22"/>
      <c r="E428" s="22"/>
      <c r="F428" s="22"/>
      <c r="G428" s="22"/>
      <c r="H428" s="22"/>
      <c r="I428" s="22"/>
      <c r="J428" s="22"/>
      <c r="K428" s="22"/>
      <c r="L428" s="22"/>
      <c r="M428" s="22"/>
      <c r="N428" s="22"/>
      <c r="O428" s="22"/>
      <c r="P428" s="22"/>
      <c r="Q428" s="22"/>
      <c r="R428" s="22"/>
      <c r="S428" s="22"/>
      <c r="T428" s="22"/>
      <c r="U428" s="22"/>
      <c r="V428" s="22"/>
      <c r="W428" s="22"/>
      <c r="X428" s="22"/>
      <c r="Y428" s="22"/>
      <c r="Z428" s="22"/>
      <c r="AA428" s="22"/>
      <c r="AB428" s="22"/>
      <c r="AC428" s="22"/>
      <c r="AD428" s="22"/>
      <c r="AE428" s="22"/>
      <c r="AF428" s="22"/>
      <c r="AG428" s="22"/>
      <c r="AH428" s="22"/>
      <c r="AI428" s="22"/>
      <c r="AJ428" s="22"/>
      <c r="AK428" s="22"/>
      <c r="AL428" s="22"/>
      <c r="AM428" s="22"/>
      <c r="AN428" s="22"/>
    </row>
    <row r="429" spans="1:40" x14ac:dyDescent="0.25">
      <c r="A429" s="22"/>
      <c r="B429" s="22"/>
      <c r="C429" s="22"/>
      <c r="D429" s="22"/>
      <c r="E429" s="22"/>
      <c r="F429" s="22"/>
      <c r="G429" s="22"/>
      <c r="H429" s="22"/>
      <c r="I429" s="22"/>
      <c r="J429" s="22"/>
      <c r="K429" s="22"/>
      <c r="L429" s="22"/>
      <c r="M429" s="22"/>
      <c r="N429" s="22"/>
      <c r="O429" s="22"/>
      <c r="P429" s="22"/>
      <c r="Q429" s="22"/>
      <c r="R429" s="22"/>
      <c r="S429" s="22"/>
      <c r="T429" s="22"/>
      <c r="U429" s="22"/>
      <c r="V429" s="22"/>
      <c r="W429" s="22"/>
      <c r="X429" s="22"/>
      <c r="Y429" s="22"/>
      <c r="Z429" s="22"/>
      <c r="AA429" s="22"/>
      <c r="AB429" s="22"/>
      <c r="AC429" s="22"/>
      <c r="AD429" s="22"/>
      <c r="AE429" s="22"/>
      <c r="AF429" s="22"/>
      <c r="AG429" s="22"/>
      <c r="AH429" s="22"/>
      <c r="AI429" s="22"/>
      <c r="AJ429" s="22"/>
      <c r="AK429" s="22"/>
      <c r="AL429" s="22"/>
      <c r="AM429" s="22"/>
      <c r="AN429" s="22"/>
    </row>
    <row r="430" spans="1:40" x14ac:dyDescent="0.25">
      <c r="A430" s="22"/>
      <c r="B430" s="22"/>
      <c r="C430" s="22"/>
      <c r="D430" s="22"/>
      <c r="E430" s="22"/>
      <c r="F430" s="22"/>
      <c r="G430" s="22"/>
      <c r="H430" s="22"/>
      <c r="I430" s="22"/>
      <c r="J430" s="22"/>
      <c r="K430" s="22"/>
      <c r="L430" s="22"/>
      <c r="M430" s="22"/>
      <c r="N430" s="22"/>
      <c r="O430" s="22"/>
      <c r="P430" s="22"/>
      <c r="Q430" s="22"/>
      <c r="R430" s="22"/>
      <c r="S430" s="22"/>
      <c r="T430" s="22"/>
      <c r="U430" s="22"/>
      <c r="V430" s="22"/>
      <c r="W430" s="22"/>
      <c r="X430" s="22"/>
      <c r="Y430" s="22"/>
      <c r="Z430" s="22"/>
      <c r="AA430" s="22"/>
      <c r="AB430" s="22"/>
      <c r="AC430" s="22"/>
      <c r="AD430" s="22"/>
      <c r="AE430" s="22"/>
      <c r="AF430" s="22"/>
      <c r="AG430" s="22"/>
      <c r="AH430" s="22"/>
      <c r="AI430" s="22"/>
      <c r="AJ430" s="22"/>
      <c r="AK430" s="22"/>
      <c r="AL430" s="22"/>
      <c r="AM430" s="22"/>
      <c r="AN430" s="22"/>
    </row>
    <row r="431" spans="1:40" x14ac:dyDescent="0.25">
      <c r="A431" s="22"/>
      <c r="B431" s="22"/>
      <c r="C431" s="22"/>
      <c r="D431" s="22"/>
      <c r="E431" s="22"/>
      <c r="F431" s="22"/>
      <c r="G431" s="22"/>
      <c r="H431" s="22"/>
      <c r="I431" s="22"/>
      <c r="J431" s="22"/>
      <c r="K431" s="22"/>
      <c r="L431" s="22"/>
      <c r="M431" s="22"/>
      <c r="N431" s="22"/>
      <c r="O431" s="22"/>
      <c r="P431" s="22"/>
      <c r="Q431" s="22"/>
      <c r="R431" s="22"/>
      <c r="S431" s="22"/>
      <c r="T431" s="22"/>
      <c r="U431" s="22"/>
      <c r="V431" s="22"/>
      <c r="W431" s="22"/>
      <c r="X431" s="22"/>
      <c r="Y431" s="22"/>
      <c r="Z431" s="22"/>
      <c r="AA431" s="22"/>
      <c r="AB431" s="22"/>
      <c r="AC431" s="22"/>
      <c r="AD431" s="22"/>
      <c r="AE431" s="22"/>
      <c r="AF431" s="22"/>
      <c r="AG431" s="22"/>
      <c r="AH431" s="22"/>
      <c r="AI431" s="22"/>
      <c r="AJ431" s="22"/>
      <c r="AK431" s="22"/>
      <c r="AL431" s="22"/>
      <c r="AM431" s="22"/>
      <c r="AN431" s="22"/>
    </row>
    <row r="432" spans="1:40" x14ac:dyDescent="0.25">
      <c r="A432" s="22"/>
      <c r="B432" s="22"/>
      <c r="C432" s="22"/>
      <c r="D432" s="22"/>
      <c r="E432" s="22"/>
      <c r="F432" s="22"/>
      <c r="G432" s="22"/>
      <c r="H432" s="22"/>
      <c r="I432" s="22"/>
      <c r="J432" s="22"/>
      <c r="K432" s="22"/>
      <c r="L432" s="22"/>
      <c r="M432" s="22"/>
      <c r="N432" s="22"/>
      <c r="O432" s="22"/>
      <c r="P432" s="22"/>
      <c r="Q432" s="22"/>
      <c r="R432" s="22"/>
      <c r="S432" s="22"/>
      <c r="T432" s="22"/>
      <c r="U432" s="22"/>
      <c r="V432" s="22"/>
      <c r="W432" s="22"/>
      <c r="X432" s="22"/>
      <c r="Y432" s="22"/>
      <c r="Z432" s="22"/>
      <c r="AA432" s="22"/>
      <c r="AB432" s="22"/>
      <c r="AC432" s="22"/>
      <c r="AD432" s="22"/>
      <c r="AE432" s="22"/>
      <c r="AF432" s="22"/>
      <c r="AG432" s="22"/>
      <c r="AH432" s="22"/>
      <c r="AI432" s="22"/>
      <c r="AJ432" s="22"/>
      <c r="AK432" s="22"/>
      <c r="AL432" s="22"/>
      <c r="AM432" s="22"/>
      <c r="AN432" s="22"/>
    </row>
    <row r="433" spans="1:40" x14ac:dyDescent="0.25">
      <c r="A433" s="22"/>
      <c r="B433" s="22"/>
      <c r="C433" s="22"/>
      <c r="D433" s="22"/>
      <c r="E433" s="22"/>
      <c r="F433" s="22"/>
      <c r="G433" s="22"/>
      <c r="H433" s="22"/>
      <c r="I433" s="22"/>
      <c r="J433" s="22"/>
      <c r="K433" s="22"/>
      <c r="L433" s="22"/>
      <c r="M433" s="22"/>
      <c r="N433" s="22"/>
      <c r="O433" s="22"/>
      <c r="P433" s="22"/>
      <c r="Q433" s="22"/>
      <c r="R433" s="22"/>
      <c r="S433" s="22"/>
      <c r="T433" s="22"/>
      <c r="U433" s="22"/>
      <c r="V433" s="22"/>
      <c r="W433" s="22"/>
      <c r="X433" s="22"/>
      <c r="Y433" s="22"/>
      <c r="Z433" s="22"/>
      <c r="AA433" s="22"/>
      <c r="AB433" s="22"/>
      <c r="AC433" s="22"/>
      <c r="AD433" s="22"/>
      <c r="AE433" s="22"/>
      <c r="AF433" s="22"/>
      <c r="AG433" s="22"/>
      <c r="AH433" s="22"/>
      <c r="AI433" s="22"/>
      <c r="AJ433" s="22"/>
      <c r="AK433" s="22"/>
      <c r="AL433" s="22"/>
      <c r="AM433" s="22"/>
      <c r="AN433" s="22"/>
    </row>
    <row r="434" spans="1:40" x14ac:dyDescent="0.25">
      <c r="A434" s="22"/>
      <c r="B434" s="22"/>
      <c r="C434" s="22"/>
      <c r="D434" s="22"/>
      <c r="E434" s="22"/>
      <c r="F434" s="22"/>
      <c r="G434" s="22"/>
      <c r="H434" s="22"/>
      <c r="I434" s="22"/>
      <c r="J434" s="22"/>
      <c r="K434" s="22"/>
      <c r="L434" s="22"/>
      <c r="M434" s="22"/>
      <c r="N434" s="22"/>
      <c r="O434" s="22"/>
      <c r="P434" s="22"/>
      <c r="Q434" s="22"/>
      <c r="R434" s="22"/>
      <c r="S434" s="22"/>
      <c r="T434" s="22"/>
      <c r="U434" s="22"/>
      <c r="V434" s="22"/>
      <c r="W434" s="22"/>
      <c r="X434" s="22"/>
      <c r="Y434" s="22"/>
      <c r="Z434" s="22"/>
      <c r="AA434" s="22"/>
      <c r="AB434" s="22"/>
      <c r="AC434" s="22"/>
      <c r="AD434" s="22"/>
      <c r="AE434" s="22"/>
      <c r="AF434" s="22"/>
      <c r="AG434" s="22"/>
      <c r="AH434" s="22"/>
      <c r="AI434" s="22"/>
      <c r="AJ434" s="22"/>
      <c r="AK434" s="22"/>
      <c r="AL434" s="22"/>
      <c r="AM434" s="22"/>
      <c r="AN434" s="22"/>
    </row>
    <row r="435" spans="1:40" x14ac:dyDescent="0.25">
      <c r="A435" s="22"/>
      <c r="B435" s="22"/>
      <c r="C435" s="22"/>
      <c r="D435" s="22"/>
      <c r="E435" s="22"/>
      <c r="F435" s="22"/>
      <c r="G435" s="22"/>
      <c r="H435" s="22"/>
      <c r="I435" s="22"/>
      <c r="J435" s="22"/>
      <c r="K435" s="22"/>
      <c r="L435" s="22"/>
      <c r="M435" s="22"/>
      <c r="N435" s="22"/>
      <c r="O435" s="22"/>
      <c r="P435" s="22"/>
      <c r="Q435" s="22"/>
      <c r="R435" s="22"/>
      <c r="S435" s="22"/>
      <c r="T435" s="22"/>
      <c r="U435" s="22"/>
      <c r="V435" s="22"/>
      <c r="W435" s="22"/>
      <c r="X435" s="22"/>
      <c r="Y435" s="22"/>
      <c r="Z435" s="22"/>
      <c r="AA435" s="22"/>
      <c r="AB435" s="22"/>
      <c r="AC435" s="22"/>
      <c r="AD435" s="22"/>
      <c r="AE435" s="22"/>
      <c r="AF435" s="22"/>
      <c r="AG435" s="22"/>
      <c r="AH435" s="22"/>
      <c r="AI435" s="22"/>
      <c r="AJ435" s="22"/>
      <c r="AK435" s="22"/>
      <c r="AL435" s="22"/>
      <c r="AM435" s="22"/>
      <c r="AN435" s="22"/>
    </row>
    <row r="436" spans="1:40" x14ac:dyDescent="0.25">
      <c r="A436" s="22"/>
      <c r="B436" s="22"/>
      <c r="C436" s="22"/>
      <c r="D436" s="22"/>
      <c r="E436" s="22"/>
      <c r="F436" s="22"/>
      <c r="G436" s="22"/>
      <c r="H436" s="22"/>
      <c r="I436" s="22"/>
      <c r="J436" s="22"/>
      <c r="K436" s="22"/>
      <c r="L436" s="22"/>
      <c r="M436" s="22"/>
      <c r="N436" s="22"/>
      <c r="O436" s="22"/>
      <c r="P436" s="22"/>
      <c r="Q436" s="22"/>
      <c r="R436" s="22"/>
      <c r="S436" s="22"/>
      <c r="T436" s="22"/>
      <c r="U436" s="22"/>
      <c r="V436" s="22"/>
      <c r="W436" s="22"/>
      <c r="X436" s="22"/>
      <c r="Y436" s="22"/>
      <c r="Z436" s="22"/>
      <c r="AA436" s="22"/>
      <c r="AB436" s="22"/>
      <c r="AC436" s="22"/>
      <c r="AD436" s="22"/>
      <c r="AE436" s="22"/>
      <c r="AF436" s="22"/>
      <c r="AG436" s="22"/>
      <c r="AH436" s="22"/>
      <c r="AI436" s="22"/>
      <c r="AJ436" s="22"/>
      <c r="AK436" s="22"/>
      <c r="AL436" s="22"/>
      <c r="AM436" s="22"/>
      <c r="AN436" s="22"/>
    </row>
    <row r="437" spans="1:40" x14ac:dyDescent="0.25">
      <c r="A437" s="22"/>
      <c r="B437" s="22"/>
      <c r="C437" s="22"/>
      <c r="D437" s="22"/>
      <c r="E437" s="22"/>
      <c r="F437" s="22"/>
      <c r="G437" s="22"/>
      <c r="H437" s="22"/>
      <c r="I437" s="22"/>
      <c r="J437" s="22"/>
      <c r="K437" s="22"/>
      <c r="L437" s="22"/>
      <c r="M437" s="22"/>
      <c r="N437" s="22"/>
      <c r="O437" s="22"/>
      <c r="P437" s="22"/>
      <c r="Q437" s="22"/>
      <c r="R437" s="22"/>
      <c r="S437" s="22"/>
      <c r="T437" s="22"/>
      <c r="U437" s="22"/>
      <c r="V437" s="22"/>
      <c r="W437" s="22"/>
      <c r="X437" s="22"/>
      <c r="Y437" s="22"/>
      <c r="Z437" s="22"/>
      <c r="AA437" s="22"/>
      <c r="AB437" s="22"/>
      <c r="AC437" s="22"/>
      <c r="AD437" s="22"/>
      <c r="AE437" s="22"/>
      <c r="AF437" s="22"/>
      <c r="AG437" s="22"/>
      <c r="AH437" s="22"/>
      <c r="AI437" s="22"/>
      <c r="AJ437" s="22"/>
      <c r="AK437" s="22"/>
      <c r="AL437" s="22"/>
      <c r="AM437" s="22"/>
      <c r="AN437" s="22"/>
    </row>
    <row r="438" spans="1:40" x14ac:dyDescent="0.25">
      <c r="A438" s="22"/>
      <c r="B438" s="22"/>
      <c r="C438" s="22"/>
      <c r="D438" s="22"/>
      <c r="E438" s="22"/>
      <c r="F438" s="22"/>
      <c r="G438" s="22"/>
      <c r="H438" s="22"/>
      <c r="I438" s="22"/>
      <c r="J438" s="22"/>
      <c r="K438" s="22"/>
      <c r="L438" s="22"/>
      <c r="M438" s="22"/>
      <c r="N438" s="22"/>
      <c r="O438" s="22"/>
      <c r="P438" s="22"/>
      <c r="Q438" s="22"/>
      <c r="R438" s="22"/>
      <c r="S438" s="22"/>
      <c r="T438" s="22"/>
      <c r="U438" s="22"/>
      <c r="V438" s="22"/>
      <c r="W438" s="22"/>
      <c r="X438" s="22"/>
      <c r="Y438" s="22"/>
      <c r="Z438" s="22"/>
      <c r="AA438" s="22"/>
      <c r="AB438" s="22"/>
      <c r="AC438" s="22"/>
      <c r="AD438" s="22"/>
      <c r="AE438" s="22"/>
      <c r="AF438" s="22"/>
      <c r="AG438" s="22"/>
      <c r="AH438" s="22"/>
      <c r="AI438" s="22"/>
      <c r="AJ438" s="22"/>
      <c r="AK438" s="22"/>
      <c r="AL438" s="22"/>
      <c r="AM438" s="22"/>
      <c r="AN438" s="22"/>
    </row>
    <row r="439" spans="1:40" x14ac:dyDescent="0.25">
      <c r="A439" s="22"/>
      <c r="B439" s="22"/>
      <c r="C439" s="22"/>
      <c r="D439" s="22"/>
      <c r="E439" s="22"/>
      <c r="F439" s="22"/>
      <c r="G439" s="22"/>
      <c r="H439" s="22"/>
      <c r="I439" s="22"/>
      <c r="J439" s="22"/>
      <c r="K439" s="22"/>
      <c r="L439" s="22"/>
      <c r="M439" s="22"/>
      <c r="N439" s="22"/>
      <c r="O439" s="22"/>
      <c r="P439" s="22"/>
      <c r="Q439" s="22"/>
      <c r="R439" s="22"/>
      <c r="S439" s="22"/>
      <c r="T439" s="22"/>
      <c r="U439" s="22"/>
      <c r="V439" s="22"/>
      <c r="W439" s="22"/>
      <c r="X439" s="22"/>
      <c r="Y439" s="22"/>
      <c r="Z439" s="22"/>
      <c r="AA439" s="22"/>
      <c r="AB439" s="22"/>
      <c r="AC439" s="22"/>
      <c r="AD439" s="22"/>
      <c r="AE439" s="22"/>
      <c r="AF439" s="22"/>
      <c r="AG439" s="22"/>
      <c r="AH439" s="22"/>
      <c r="AI439" s="22"/>
      <c r="AJ439" s="22"/>
      <c r="AK439" s="22"/>
      <c r="AL439" s="22"/>
      <c r="AM439" s="22"/>
      <c r="AN439" s="22"/>
    </row>
    <row r="440" spans="1:40" x14ac:dyDescent="0.25">
      <c r="A440" s="22"/>
      <c r="B440" s="22"/>
      <c r="C440" s="22"/>
      <c r="D440" s="22"/>
      <c r="E440" s="22"/>
      <c r="F440" s="22"/>
      <c r="G440" s="22"/>
      <c r="H440" s="22"/>
      <c r="I440" s="22"/>
      <c r="J440" s="22"/>
      <c r="K440" s="22"/>
      <c r="L440" s="22"/>
      <c r="M440" s="22"/>
      <c r="N440" s="22"/>
      <c r="O440" s="22"/>
      <c r="P440" s="22"/>
      <c r="Q440" s="22"/>
      <c r="R440" s="22"/>
      <c r="S440" s="22"/>
      <c r="T440" s="22"/>
      <c r="U440" s="22"/>
      <c r="V440" s="22"/>
      <c r="W440" s="22"/>
      <c r="X440" s="22"/>
      <c r="Y440" s="22"/>
      <c r="Z440" s="22"/>
      <c r="AA440" s="22"/>
      <c r="AB440" s="22"/>
      <c r="AC440" s="22"/>
      <c r="AD440" s="22"/>
      <c r="AE440" s="22"/>
      <c r="AF440" s="22"/>
      <c r="AG440" s="22"/>
      <c r="AH440" s="22"/>
      <c r="AI440" s="22"/>
      <c r="AJ440" s="22"/>
      <c r="AK440" s="22"/>
      <c r="AL440" s="22"/>
      <c r="AM440" s="22"/>
      <c r="AN440" s="22"/>
    </row>
    <row r="441" spans="1:40" x14ac:dyDescent="0.25">
      <c r="A441" s="22"/>
      <c r="B441" s="22"/>
      <c r="C441" s="22"/>
      <c r="D441" s="22"/>
      <c r="E441" s="22"/>
      <c r="F441" s="22"/>
      <c r="G441" s="22"/>
      <c r="H441" s="22"/>
      <c r="I441" s="22"/>
      <c r="J441" s="22"/>
      <c r="K441" s="22"/>
      <c r="L441" s="22"/>
      <c r="M441" s="22"/>
      <c r="N441" s="22"/>
      <c r="O441" s="22"/>
      <c r="P441" s="22"/>
      <c r="Q441" s="22"/>
      <c r="R441" s="22"/>
      <c r="S441" s="22"/>
      <c r="T441" s="22"/>
      <c r="U441" s="22"/>
      <c r="V441" s="22"/>
      <c r="W441" s="22"/>
      <c r="X441" s="22"/>
      <c r="Y441" s="22"/>
      <c r="Z441" s="22"/>
      <c r="AA441" s="22"/>
      <c r="AB441" s="22"/>
      <c r="AC441" s="22"/>
      <c r="AD441" s="22"/>
      <c r="AE441" s="22"/>
      <c r="AF441" s="22"/>
      <c r="AG441" s="22"/>
      <c r="AH441" s="22"/>
      <c r="AI441" s="22"/>
      <c r="AJ441" s="22"/>
      <c r="AK441" s="22"/>
      <c r="AL441" s="22"/>
      <c r="AM441" s="22"/>
      <c r="AN441" s="22"/>
    </row>
    <row r="442" spans="1:40" x14ac:dyDescent="0.25">
      <c r="A442" s="22"/>
      <c r="B442" s="22"/>
      <c r="C442" s="22"/>
      <c r="D442" s="22"/>
      <c r="E442" s="22"/>
      <c r="F442" s="22"/>
      <c r="G442" s="22"/>
      <c r="H442" s="22"/>
      <c r="I442" s="22"/>
      <c r="J442" s="22"/>
      <c r="K442" s="22"/>
      <c r="L442" s="22"/>
      <c r="M442" s="22"/>
      <c r="N442" s="22"/>
      <c r="O442" s="22"/>
      <c r="P442" s="22"/>
      <c r="Q442" s="22"/>
      <c r="R442" s="22"/>
      <c r="S442" s="22"/>
      <c r="T442" s="22"/>
      <c r="U442" s="22"/>
      <c r="V442" s="22"/>
      <c r="W442" s="22"/>
      <c r="X442" s="22"/>
      <c r="Y442" s="22"/>
      <c r="Z442" s="22"/>
      <c r="AA442" s="22"/>
      <c r="AB442" s="22"/>
      <c r="AC442" s="22"/>
      <c r="AD442" s="22"/>
      <c r="AE442" s="22"/>
      <c r="AF442" s="22"/>
      <c r="AG442" s="22"/>
      <c r="AH442" s="22"/>
      <c r="AI442" s="22"/>
      <c r="AJ442" s="22"/>
      <c r="AK442" s="22"/>
      <c r="AL442" s="22"/>
      <c r="AM442" s="22"/>
      <c r="AN442" s="22"/>
    </row>
    <row r="443" spans="1:40" x14ac:dyDescent="0.25">
      <c r="A443" s="22"/>
      <c r="B443" s="22"/>
      <c r="C443" s="22"/>
      <c r="D443" s="22"/>
      <c r="E443" s="22"/>
      <c r="F443" s="22"/>
      <c r="G443" s="22"/>
      <c r="H443" s="22"/>
      <c r="I443" s="22"/>
      <c r="J443" s="22"/>
      <c r="K443" s="22"/>
      <c r="L443" s="22"/>
      <c r="M443" s="22"/>
      <c r="N443" s="22"/>
      <c r="O443" s="22"/>
      <c r="P443" s="22"/>
      <c r="Q443" s="22"/>
      <c r="R443" s="22"/>
      <c r="S443" s="22"/>
      <c r="T443" s="22"/>
      <c r="U443" s="22"/>
      <c r="V443" s="22"/>
      <c r="W443" s="22"/>
      <c r="X443" s="22"/>
      <c r="Y443" s="22"/>
      <c r="Z443" s="22"/>
      <c r="AA443" s="22"/>
      <c r="AB443" s="22"/>
      <c r="AC443" s="22"/>
      <c r="AD443" s="22"/>
      <c r="AE443" s="22"/>
      <c r="AF443" s="22"/>
      <c r="AG443" s="22"/>
      <c r="AH443" s="22"/>
      <c r="AI443" s="22"/>
      <c r="AJ443" s="22"/>
      <c r="AK443" s="22"/>
      <c r="AL443" s="22"/>
      <c r="AM443" s="22"/>
      <c r="AN443" s="22"/>
    </row>
    <row r="444" spans="1:40" x14ac:dyDescent="0.25">
      <c r="A444" s="22"/>
      <c r="B444" s="22"/>
      <c r="C444" s="22"/>
      <c r="D444" s="22"/>
      <c r="E444" s="22"/>
      <c r="F444" s="22"/>
      <c r="G444" s="22"/>
      <c r="H444" s="22"/>
      <c r="I444" s="22"/>
      <c r="J444" s="22"/>
      <c r="K444" s="22"/>
      <c r="L444" s="22"/>
      <c r="M444" s="22"/>
      <c r="N444" s="22"/>
      <c r="O444" s="22"/>
      <c r="P444" s="22"/>
      <c r="Q444" s="22"/>
      <c r="R444" s="22"/>
      <c r="S444" s="22"/>
      <c r="T444" s="22"/>
      <c r="U444" s="22"/>
      <c r="V444" s="22"/>
      <c r="W444" s="22"/>
      <c r="X444" s="22"/>
      <c r="Y444" s="22"/>
      <c r="Z444" s="22"/>
      <c r="AA444" s="22"/>
      <c r="AB444" s="22"/>
      <c r="AC444" s="22"/>
      <c r="AD444" s="22"/>
      <c r="AE444" s="22"/>
      <c r="AF444" s="22"/>
      <c r="AG444" s="22"/>
      <c r="AH444" s="22"/>
      <c r="AI444" s="22"/>
      <c r="AJ444" s="22"/>
      <c r="AK444" s="22"/>
      <c r="AL444" s="22"/>
      <c r="AM444" s="22"/>
      <c r="AN444" s="22"/>
    </row>
    <row r="445" spans="1:40" x14ac:dyDescent="0.25">
      <c r="A445" s="22"/>
      <c r="B445" s="22"/>
      <c r="C445" s="22"/>
      <c r="D445" s="22"/>
      <c r="E445" s="22"/>
      <c r="F445" s="22"/>
      <c r="G445" s="22"/>
      <c r="H445" s="22"/>
      <c r="I445" s="22"/>
      <c r="J445" s="22"/>
      <c r="K445" s="22"/>
      <c r="L445" s="22"/>
      <c r="M445" s="22"/>
      <c r="N445" s="22"/>
      <c r="O445" s="22"/>
      <c r="P445" s="22"/>
      <c r="Q445" s="22"/>
      <c r="R445" s="22"/>
      <c r="S445" s="22"/>
      <c r="T445" s="22"/>
      <c r="U445" s="22"/>
      <c r="V445" s="22"/>
      <c r="W445" s="22"/>
      <c r="X445" s="22"/>
      <c r="Y445" s="22"/>
      <c r="Z445" s="22"/>
      <c r="AA445" s="22"/>
      <c r="AB445" s="22"/>
      <c r="AC445" s="22"/>
      <c r="AD445" s="22"/>
      <c r="AE445" s="22"/>
      <c r="AF445" s="22"/>
      <c r="AG445" s="22"/>
      <c r="AH445" s="22"/>
      <c r="AI445" s="22"/>
      <c r="AJ445" s="22"/>
      <c r="AK445" s="22"/>
      <c r="AL445" s="22"/>
      <c r="AM445" s="22"/>
      <c r="AN445" s="22"/>
    </row>
    <row r="446" spans="1:40" x14ac:dyDescent="0.25">
      <c r="A446" s="22"/>
      <c r="B446" s="22"/>
      <c r="C446" s="22"/>
      <c r="D446" s="22"/>
      <c r="E446" s="22"/>
      <c r="F446" s="22"/>
      <c r="G446" s="22"/>
      <c r="H446" s="22"/>
      <c r="I446" s="22"/>
      <c r="J446" s="22"/>
      <c r="K446" s="22"/>
      <c r="L446" s="22"/>
      <c r="M446" s="22"/>
      <c r="N446" s="22"/>
      <c r="O446" s="22"/>
      <c r="P446" s="22"/>
      <c r="Q446" s="22"/>
      <c r="R446" s="22"/>
      <c r="S446" s="22"/>
      <c r="T446" s="22"/>
      <c r="U446" s="22"/>
      <c r="V446" s="22"/>
      <c r="W446" s="22"/>
      <c r="X446" s="22"/>
      <c r="Y446" s="22"/>
      <c r="Z446" s="22"/>
      <c r="AA446" s="22"/>
      <c r="AB446" s="22"/>
      <c r="AC446" s="22"/>
      <c r="AD446" s="22"/>
      <c r="AE446" s="22"/>
      <c r="AF446" s="22"/>
      <c r="AG446" s="22"/>
      <c r="AH446" s="22"/>
      <c r="AI446" s="22"/>
      <c r="AJ446" s="22"/>
      <c r="AK446" s="22"/>
      <c r="AL446" s="22"/>
      <c r="AM446" s="22"/>
      <c r="AN446" s="22"/>
    </row>
    <row r="447" spans="1:40" x14ac:dyDescent="0.25">
      <c r="A447" s="22"/>
      <c r="B447" s="22"/>
      <c r="C447" s="22"/>
      <c r="D447" s="22"/>
      <c r="E447" s="22"/>
      <c r="F447" s="22"/>
      <c r="G447" s="22"/>
      <c r="H447" s="22"/>
      <c r="I447" s="22"/>
      <c r="J447" s="22"/>
      <c r="K447" s="22"/>
      <c r="L447" s="22"/>
      <c r="M447" s="22"/>
      <c r="N447" s="22"/>
      <c r="O447" s="22"/>
      <c r="P447" s="22"/>
      <c r="Q447" s="22"/>
      <c r="R447" s="22"/>
      <c r="S447" s="22"/>
      <c r="T447" s="22"/>
      <c r="U447" s="22"/>
      <c r="V447" s="22"/>
      <c r="W447" s="22"/>
      <c r="X447" s="22"/>
      <c r="Y447" s="22"/>
      <c r="Z447" s="22"/>
      <c r="AA447" s="22"/>
      <c r="AB447" s="22"/>
      <c r="AC447" s="22"/>
      <c r="AD447" s="22"/>
      <c r="AE447" s="22"/>
      <c r="AF447" s="22"/>
      <c r="AG447" s="22"/>
      <c r="AH447" s="22"/>
      <c r="AI447" s="22"/>
      <c r="AJ447" s="22"/>
      <c r="AK447" s="22"/>
      <c r="AL447" s="22"/>
      <c r="AM447" s="22"/>
      <c r="AN447" s="22"/>
    </row>
    <row r="448" spans="1:40" x14ac:dyDescent="0.25">
      <c r="A448" s="22"/>
      <c r="B448" s="22"/>
      <c r="C448" s="22"/>
      <c r="D448" s="22"/>
      <c r="E448" s="22"/>
      <c r="F448" s="22"/>
      <c r="G448" s="22"/>
      <c r="H448" s="22"/>
      <c r="I448" s="22"/>
      <c r="J448" s="22"/>
      <c r="K448" s="22"/>
      <c r="L448" s="22"/>
      <c r="M448" s="22"/>
      <c r="N448" s="22"/>
      <c r="O448" s="22"/>
      <c r="P448" s="22"/>
      <c r="Q448" s="22"/>
      <c r="R448" s="22"/>
      <c r="S448" s="22"/>
      <c r="T448" s="22"/>
      <c r="U448" s="22"/>
      <c r="V448" s="22"/>
      <c r="W448" s="22"/>
      <c r="X448" s="22"/>
      <c r="Y448" s="22"/>
      <c r="Z448" s="22"/>
      <c r="AA448" s="22"/>
      <c r="AB448" s="22"/>
      <c r="AC448" s="22"/>
      <c r="AD448" s="22"/>
      <c r="AE448" s="22"/>
      <c r="AF448" s="22"/>
      <c r="AG448" s="22"/>
      <c r="AH448" s="22"/>
      <c r="AI448" s="22"/>
      <c r="AJ448" s="22"/>
      <c r="AK448" s="22"/>
      <c r="AL448" s="22"/>
      <c r="AM448" s="22"/>
      <c r="AN448" s="22"/>
    </row>
    <row r="449" spans="1:40" x14ac:dyDescent="0.25">
      <c r="A449" s="22"/>
      <c r="B449" s="22"/>
      <c r="C449" s="22"/>
      <c r="D449" s="22"/>
      <c r="E449" s="22"/>
      <c r="F449" s="22"/>
      <c r="G449" s="22"/>
      <c r="H449" s="22"/>
      <c r="I449" s="22"/>
      <c r="J449" s="22"/>
      <c r="K449" s="22"/>
      <c r="L449" s="22"/>
      <c r="M449" s="22"/>
      <c r="N449" s="22"/>
      <c r="O449" s="22"/>
      <c r="P449" s="22"/>
      <c r="Q449" s="22"/>
      <c r="R449" s="22"/>
      <c r="S449" s="22"/>
      <c r="T449" s="22"/>
      <c r="U449" s="22"/>
      <c r="V449" s="22"/>
      <c r="W449" s="22"/>
      <c r="X449" s="22"/>
      <c r="Y449" s="22"/>
      <c r="Z449" s="22"/>
      <c r="AA449" s="22"/>
      <c r="AB449" s="22"/>
      <c r="AC449" s="22"/>
      <c r="AD449" s="22"/>
      <c r="AE449" s="22"/>
      <c r="AF449" s="22"/>
      <c r="AG449" s="22"/>
      <c r="AH449" s="22"/>
      <c r="AI449" s="22"/>
      <c r="AJ449" s="22"/>
      <c r="AK449" s="22"/>
      <c r="AL449" s="22"/>
      <c r="AM449" s="22"/>
      <c r="AN449" s="22"/>
    </row>
    <row r="450" spans="1:40" x14ac:dyDescent="0.25">
      <c r="A450" s="22"/>
      <c r="B450" s="22"/>
      <c r="C450" s="22"/>
      <c r="D450" s="22"/>
      <c r="E450" s="22"/>
      <c r="F450" s="22"/>
      <c r="G450" s="22"/>
      <c r="H450" s="22"/>
      <c r="I450" s="22"/>
      <c r="J450" s="22"/>
      <c r="K450" s="22"/>
      <c r="L450" s="22"/>
      <c r="M450" s="22"/>
      <c r="N450" s="22"/>
      <c r="O450" s="22"/>
      <c r="P450" s="22"/>
      <c r="Q450" s="22"/>
      <c r="R450" s="22"/>
      <c r="S450" s="22"/>
      <c r="T450" s="22"/>
      <c r="U450" s="22"/>
      <c r="V450" s="22"/>
      <c r="W450" s="22"/>
      <c r="X450" s="22"/>
      <c r="Y450" s="22"/>
      <c r="Z450" s="22"/>
      <c r="AA450" s="22"/>
      <c r="AB450" s="22"/>
      <c r="AC450" s="22"/>
      <c r="AD450" s="22"/>
      <c r="AE450" s="22"/>
      <c r="AF450" s="22"/>
      <c r="AG450" s="22"/>
      <c r="AH450" s="22"/>
      <c r="AI450" s="22"/>
      <c r="AJ450" s="22"/>
      <c r="AK450" s="22"/>
      <c r="AL450" s="22"/>
      <c r="AM450" s="22"/>
      <c r="AN450" s="22"/>
    </row>
    <row r="451" spans="1:40" x14ac:dyDescent="0.25">
      <c r="A451" s="22"/>
      <c r="B451" s="22"/>
      <c r="C451" s="22"/>
      <c r="D451" s="22"/>
      <c r="E451" s="22"/>
      <c r="F451" s="22"/>
      <c r="G451" s="22"/>
      <c r="H451" s="22"/>
      <c r="I451" s="22"/>
      <c r="J451" s="22"/>
      <c r="K451" s="22"/>
      <c r="L451" s="22"/>
      <c r="M451" s="22"/>
      <c r="N451" s="22"/>
      <c r="O451" s="22"/>
      <c r="P451" s="22"/>
      <c r="Q451" s="22"/>
      <c r="R451" s="22"/>
      <c r="S451" s="22"/>
      <c r="T451" s="22"/>
      <c r="U451" s="22"/>
      <c r="V451" s="22"/>
      <c r="W451" s="22"/>
      <c r="X451" s="22"/>
      <c r="Y451" s="22"/>
      <c r="Z451" s="22"/>
      <c r="AA451" s="22"/>
      <c r="AB451" s="22"/>
      <c r="AC451" s="22"/>
      <c r="AD451" s="22"/>
      <c r="AE451" s="22"/>
      <c r="AF451" s="22"/>
      <c r="AG451" s="22"/>
      <c r="AH451" s="22"/>
      <c r="AI451" s="22"/>
      <c r="AJ451" s="22"/>
      <c r="AK451" s="22"/>
      <c r="AL451" s="22"/>
      <c r="AM451" s="22"/>
      <c r="AN451" s="22"/>
    </row>
    <row r="452" spans="1:40" x14ac:dyDescent="0.25">
      <c r="A452" s="22"/>
      <c r="B452" s="22"/>
      <c r="C452" s="22"/>
      <c r="D452" s="22"/>
      <c r="E452" s="22"/>
      <c r="F452" s="22"/>
      <c r="G452" s="22"/>
      <c r="H452" s="22"/>
      <c r="I452" s="22"/>
      <c r="J452" s="22"/>
      <c r="K452" s="22"/>
      <c r="L452" s="22"/>
      <c r="M452" s="22"/>
      <c r="N452" s="22"/>
      <c r="O452" s="22"/>
      <c r="P452" s="22"/>
      <c r="Q452" s="22"/>
      <c r="R452" s="22"/>
      <c r="S452" s="22"/>
      <c r="T452" s="22"/>
      <c r="U452" s="22"/>
      <c r="V452" s="22"/>
      <c r="W452" s="22"/>
      <c r="X452" s="22"/>
      <c r="Y452" s="22"/>
      <c r="Z452" s="22"/>
      <c r="AA452" s="22"/>
      <c r="AB452" s="22"/>
      <c r="AC452" s="22"/>
      <c r="AD452" s="22"/>
      <c r="AE452" s="22"/>
      <c r="AF452" s="22"/>
      <c r="AG452" s="22"/>
      <c r="AH452" s="22"/>
      <c r="AI452" s="22"/>
      <c r="AJ452" s="22"/>
      <c r="AK452" s="22"/>
      <c r="AL452" s="22"/>
      <c r="AM452" s="22"/>
      <c r="AN452" s="22"/>
    </row>
    <row r="453" spans="1:40" x14ac:dyDescent="0.25">
      <c r="A453" s="22"/>
      <c r="B453" s="22"/>
      <c r="C453" s="22"/>
      <c r="D453" s="22"/>
      <c r="E453" s="22"/>
      <c r="F453" s="22"/>
      <c r="G453" s="22"/>
      <c r="H453" s="22"/>
      <c r="I453" s="22"/>
      <c r="J453" s="22"/>
      <c r="K453" s="22"/>
      <c r="L453" s="22"/>
      <c r="M453" s="22"/>
      <c r="N453" s="22"/>
      <c r="O453" s="22"/>
      <c r="P453" s="22"/>
      <c r="Q453" s="22"/>
      <c r="R453" s="22"/>
      <c r="S453" s="22"/>
      <c r="T453" s="22"/>
      <c r="U453" s="22"/>
      <c r="V453" s="22"/>
      <c r="W453" s="22"/>
      <c r="X453" s="22"/>
      <c r="Y453" s="22"/>
      <c r="Z453" s="22"/>
      <c r="AA453" s="22"/>
      <c r="AB453" s="22"/>
      <c r="AC453" s="22"/>
      <c r="AD453" s="22"/>
      <c r="AE453" s="22"/>
      <c r="AF453" s="22"/>
      <c r="AG453" s="22"/>
      <c r="AH453" s="22"/>
      <c r="AI453" s="22"/>
      <c r="AJ453" s="22"/>
      <c r="AK453" s="22"/>
      <c r="AL453" s="22"/>
      <c r="AM453" s="22"/>
      <c r="AN453" s="22"/>
    </row>
    <row r="454" spans="1:40" x14ac:dyDescent="0.25">
      <c r="A454" s="22"/>
      <c r="B454" s="22"/>
      <c r="C454" s="22"/>
      <c r="D454" s="22"/>
      <c r="E454" s="22"/>
      <c r="F454" s="22"/>
      <c r="G454" s="22"/>
      <c r="H454" s="22"/>
      <c r="I454" s="22"/>
      <c r="J454" s="22"/>
      <c r="K454" s="22"/>
      <c r="L454" s="22"/>
      <c r="M454" s="22"/>
      <c r="N454" s="22"/>
      <c r="O454" s="22"/>
      <c r="P454" s="22"/>
      <c r="Q454" s="22"/>
      <c r="R454" s="22"/>
      <c r="S454" s="22"/>
      <c r="T454" s="22"/>
      <c r="U454" s="22"/>
      <c r="V454" s="22"/>
      <c r="W454" s="22"/>
      <c r="X454" s="22"/>
      <c r="Y454" s="22"/>
      <c r="Z454" s="22"/>
      <c r="AA454" s="22"/>
      <c r="AB454" s="22"/>
      <c r="AC454" s="22"/>
      <c r="AD454" s="22"/>
      <c r="AE454" s="22"/>
      <c r="AF454" s="22"/>
      <c r="AG454" s="22"/>
      <c r="AH454" s="22"/>
      <c r="AI454" s="22"/>
      <c r="AJ454" s="22"/>
      <c r="AK454" s="22"/>
      <c r="AL454" s="22"/>
      <c r="AM454" s="22"/>
      <c r="AN454" s="22"/>
    </row>
    <row r="455" spans="1:40" x14ac:dyDescent="0.25">
      <c r="A455" s="22"/>
      <c r="B455" s="22"/>
      <c r="C455" s="22"/>
      <c r="D455" s="22"/>
      <c r="E455" s="22"/>
      <c r="F455" s="22"/>
      <c r="G455" s="22"/>
      <c r="H455" s="22"/>
      <c r="I455" s="22"/>
      <c r="J455" s="22"/>
      <c r="K455" s="22"/>
      <c r="L455" s="22"/>
      <c r="M455" s="22"/>
      <c r="N455" s="22"/>
      <c r="O455" s="22"/>
      <c r="P455" s="22"/>
      <c r="Q455" s="22"/>
      <c r="R455" s="22"/>
      <c r="S455" s="22"/>
      <c r="T455" s="22"/>
      <c r="U455" s="22"/>
      <c r="V455" s="22"/>
      <c r="W455" s="22"/>
      <c r="X455" s="22"/>
      <c r="Y455" s="22"/>
      <c r="Z455" s="22"/>
      <c r="AA455" s="22"/>
      <c r="AB455" s="22"/>
      <c r="AC455" s="22"/>
      <c r="AD455" s="22"/>
      <c r="AE455" s="22"/>
      <c r="AF455" s="22"/>
      <c r="AG455" s="22"/>
      <c r="AH455" s="22"/>
      <c r="AI455" s="22"/>
      <c r="AJ455" s="22"/>
      <c r="AK455" s="22"/>
      <c r="AL455" s="22"/>
      <c r="AM455" s="22"/>
      <c r="AN455" s="22"/>
    </row>
  </sheetData>
  <pageMargins left="0.7" right="0.7" top="0.75" bottom="0.75" header="0.3" footer="0.3"/>
  <pageSetup paperSize="9" orientation="portrait" horizontalDpi="0" verticalDpi="0" r:id="rId2"/>
  <drawing r:id="rId3"/>
  <tableParts count="2">
    <tablePart r:id="rId4"/>
    <tablePart r:id="rId5"/>
  </tableParts>
  <extLst>
    <ext xmlns:x14="http://schemas.microsoft.com/office/spreadsheetml/2009/9/main" uri="{A8765BA9-456A-4dab-B4F3-ACF838C121DE}">
      <x14:slicerList>
        <x14:slicer r:id="rId6"/>
      </x14:slicerList>
    </ext>
  </extLst>
</worksheet>
</file>

<file path=customUI/_rels/customUI14.xml.rels><?xml version="1.0" encoding="UTF-8" standalone="yes"?>
<Relationships xmlns="http://schemas.openxmlformats.org/package/2006/relationships"><Relationship Id="btn-down" Type="http://schemas.openxmlformats.org/officeDocument/2006/relationships/image" Target="images/btn-down.png"/><Relationship Id="btn-update" Type="http://schemas.openxmlformats.org/officeDocument/2006/relationships/image" Target="images/btn-update.png"/><Relationship Id="select-list" Type="http://schemas.openxmlformats.org/officeDocument/2006/relationships/image" Target="images/select-list.png"/><Relationship Id="Periods" Type="http://schemas.openxmlformats.org/officeDocument/2006/relationships/image" Target="images/Periods.png"/><Relationship Id="btn-list" Type="http://schemas.openxmlformats.org/officeDocument/2006/relationships/image" Target="images/btn-list.png"/><Relationship Id="Main" Type="http://schemas.openxmlformats.org/officeDocument/2006/relationships/image" Target="images/Main.png"/><Relationship Id="btn-prev" Type="http://schemas.openxmlformats.org/officeDocument/2006/relationships/image" Target="images/btn-prev.png"/><Relationship Id="btn-resize" Type="http://schemas.openxmlformats.org/officeDocument/2006/relationships/image" Target="images/btn-resize.png"/><Relationship Id="btn-up" Type="http://schemas.openxmlformats.org/officeDocument/2006/relationships/image" Target="images/btn-up.png"/><Relationship Id="btn-config" Type="http://schemas.openxmlformats.org/officeDocument/2006/relationships/image" Target="images/btn-config.png"/><Relationship Id="btn-next" Type="http://schemas.openxmlformats.org/officeDocument/2006/relationships/image" Target="images/btn-next.png"/></Relationships>
</file>

<file path=customUI/customUI14.xml><?xml version="1.0" encoding="utf-8"?>
<customUI xmlns="http://schemas.microsoft.com/office/2009/07/customui" onLoad="RibbonOnLoad">
  <ribbon startFromScratch="false">
    <tabs>
      <tab id="SocialControl" label="Управление услугами" getVisible="GetVisible" tag="XSocialControl">
        <group id="Transitions" label="Перемещения по страницам" getVisible="GetterVisible" tag="GTran">
          <button id="MainID" label="Домой" image="Main" size="large" onAction="MainClick"/>
          <menu id="SelectListID" label="Выбрать страницу" image="select-list" size="large">
            <button id="onMainID" label="Домой" image="Main" onAction="MainClick"/>
            <button id="onMonthID" label="Месяцы" image="btn-list" onAction="MonthClick"/>
            <button id="onDurationID" label="Периоды" image="Periods" onAction="DurationClick"/>
            <button id="GYearsID" label="Год" imageMso="DatasheetView" onAction="YearsBtnClick"/>
          </menu>
          <button id="PrevID" label="Предыдущая" image="btn-prev" size="large" onAction="PrevClick"/>
          <button id="NextID" label="Следующая" image="btn-next" size="large" onAction="NextClick"/>
        </group>
        <group id="XTransitions" label="Перемещения по страницам" getVisible="GetterVisible" tag="XTran">
          <button id="XMain" label="Домой" image="Main" size="large" onAction="MainClick"/>
          <menu id="XSelectListID" label="Выбрать страницу" image="select-list" size="large">
            <button id="XMainID" label="Домой" image="Main" onAction="MainClick"/>
            <button id="XMonthID" label="Месяцы" image="btn-list" onAction="MonthClick"/>
            <button id="XDurationID" label="Периоды" image="Periods" onAction="DurationClick"/>
            <button id="XYearsID" label="Год" imageMso="DatasheetView" onAction="YearsBtnClick"/>
          </menu>
          <button id="XPrevID" label="Предыдущая" image="btn-prev" size="large" onAction="PrevClick"/>
          <button id="XNextID" label="Следующая" image="btn-next" size="large" onAction="NextClick"/>
        </group>
        <group id="TransitionsID" label="Перемещения по страницам" getVisible="GetterVisible" tag="MyTran">
          <button id="MyMain" label="Домой" image="Main" size="large" onAction="MainClick"/>
          <menu id="MySelectListID" label="Выбрать страницу" image="select-list" size="large">
            <button id="MyMainID" label="Домой" image="Main" onAction="MainClick"/>
            <button id="MyMonthID" label="Месяцы" image="btn-list" onAction="MonthClick"/>
            <button id="MyDurationID" label="Периоды" image="Periods" onAction="DurationClick"/>
            <button id="MyYearsID" label="Год" imageMso="DatasheetView" onAction="YearsBtnClick"/>
          </menu>
          <button id="MyBtnUpID" label="Вверх" image="btn-up" size="large" onAction="UpClick"/>
          <button id="MyBtnDownID" label="Вниз" image="btn-down" size="large" onAction="DownClick"/>
          <button id="MyPrevID" label="Предыдущая" image="btn-prev" size="large" onAction="PrevClick"/>
          <button id="MyNextID" label="Следующая" image="btn-next" size="large" onAction="NextClick"/>
        </group>
        <group id="SocialEditorID" label="Редактирование" getVisible="GetterVisible" tag="MyEdit">
          <button id="BtnExpandID" label="Развернуть" imageMso="PivotExpandField" size="large" onAction="BtnExpandClick"/>
          <button id="BtnCollapseID" label="Свернуть" imageMso="PivotCollapseField" size="large" onAction="BtnCollapseClick"/>
          <button id="BtnFitSizesID" label="Подогнать размеры" image="btn-resize" size="large" onAction="BtnFitSizesClick"/>
          <button id="MyUpdateMonth" label="Обновить" image="btn-update" size="large" onAction="UpdateClick"/>
        </group>
        <group id="MyConfigurationID" label="Настройки" getVisible="GetterVisible" tag="GConf">
          <button id="MyBtnConfID" label="Настройки" image="btn-config" size="large" onAction="ConfigClick"/>
        </group>
        <group id="ConfigurationID" label="Настройки" getVisible="GetterVisible" tag="MyConf">
          <button id="BtnConfID" label="Настройки" image="btn-config" size="large" onAction="ConfigClick"/>
        </group>
        <group id="XConfigurationID" label="Настройки" getVisible="GetterVisible" tag="XConf">
          <button id="XBtnConfID" label="Настройки" image="btn-config" size="large" onAction="ConfigClick"/>
        </group>
      </tab>
    </tabs>
  </ribbon>
</customUI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79EF906D-A7C8-4221-9FB7-F1D6A7001CE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5</vt:i4>
      </vt:variant>
    </vt:vector>
  </HeadingPairs>
  <TitlesOfParts>
    <vt:vector size="5" baseType="lpstr">
      <vt:lpstr>Настройки</vt:lpstr>
      <vt:lpstr>Главная</vt:lpstr>
      <vt:lpstr>Месяцы</vt:lpstr>
      <vt:lpstr>Период</vt:lpstr>
      <vt:lpstr>Год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utv2</cp:lastModifiedBy>
  <cp:lastPrinted>2023-03-23T16:10:36Z</cp:lastPrinted>
  <dcterms:created xsi:type="dcterms:W3CDTF">2006-09-16T00:00:00Z</dcterms:created>
  <dcterms:modified xsi:type="dcterms:W3CDTF">2025-04-10T13:24:00Z</dcterms:modified>
</cp:coreProperties>
</file>