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slicers/slicer2.xml" ContentType="application/vnd.ms-excel.slicer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6.xml" ContentType="application/vnd.openxmlformats-officedocument.spreadsheetml.queryTable+xml"/>
  <Override PartName="/xl/tables/table16.xml" ContentType="application/vnd.openxmlformats-officedocument.spreadsheetml.table+xml"/>
  <Override PartName="/xl/slicers/slicer3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Загрузки\Разработка\Social_Develop\social-services-2026\"/>
    </mc:Choice>
  </mc:AlternateContent>
  <bookViews>
    <workbookView xWindow="240" yWindow="105" windowWidth="14805" windowHeight="8025" activeTab="1"/>
  </bookViews>
  <sheets>
    <sheet name="Настройки" sheetId="2" r:id="rId1"/>
    <sheet name="Главная" sheetId="3" r:id="rId2"/>
    <sheet name="Месяцы" sheetId="1" r:id="rId3"/>
    <sheet name="Период" sheetId="9" r:id="rId4"/>
    <sheet name="Год" sheetId="8" r:id="rId5"/>
  </sheets>
  <functionGroups builtInGroupCount="18"/>
  <definedNames>
    <definedName name="ExternalData_1" localSheetId="4" hidden="1">Год!$A$4:$D$9</definedName>
    <definedName name="ExternalData_1" localSheetId="2" hidden="1">Месяцы!$A$4:$D$9</definedName>
    <definedName name="ExternalData_1" localSheetId="3" hidden="1">Период!$A$4:$D$9</definedName>
    <definedName name="ExternalData_2" localSheetId="4" hidden="1">Год!$F$7:$F$8</definedName>
    <definedName name="ExternalData_2" localSheetId="2" hidden="1">Месяцы!$F$7:$F$8</definedName>
    <definedName name="ExternalData_2" localSheetId="3" hidden="1">Период!$F$7:$F$8</definedName>
    <definedName name="СписокФайлов">OFFSET(Настройки!$E$2,0,0,COUNTIF(Настройки!$E:$E,"*")-1,1)</definedName>
    <definedName name="Срез_Признак_учета">#N/A</definedName>
    <definedName name="Срез_Соц._Работник">#N/A</definedName>
    <definedName name="Срез_Соц._Работник1">#N/A</definedName>
    <definedName name="Срез_Соц._Работник5">#N/A</definedName>
  </definedNames>
  <calcPr calcId="152511"/>
  <pivotCaches>
    <pivotCache cacheId="4" r:id="rId6"/>
    <pivotCache cacheId="5" r:id="rId7"/>
    <pivotCache cacheId="3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  <x14:slicerCache r:id="rId12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I8" i="8" l="1"/>
  <c r="I8" i="9"/>
  <c r="I8" i="1"/>
  <c r="F5" i="8" l="1"/>
  <c r="F5" i="9"/>
  <c r="F5" i="1"/>
  <c r="G5" i="8"/>
  <c r="G5" i="9"/>
  <c r="G5" i="1"/>
  <c r="L5" i="8" l="1"/>
  <c r="K5" i="8"/>
  <c r="L5" i="1"/>
  <c r="K5" i="1"/>
  <c r="L5" i="9"/>
  <c r="K5" i="9"/>
  <c r="J5" i="9" s="1"/>
  <c r="H5" i="8" l="1"/>
  <c r="J5" i="8"/>
  <c r="J5" i="1"/>
  <c r="H5" i="9"/>
  <c r="I5" i="9" s="1"/>
  <c r="H5" i="1"/>
  <c r="A5" i="2"/>
  <c r="I5" i="1" l="1"/>
  <c r="I5" i="8"/>
</calcChain>
</file>

<file path=xl/connections.xml><?xml version="1.0" encoding="utf-8"?>
<connections xmlns="http://schemas.openxmlformats.org/spreadsheetml/2006/main">
  <connection id="1" name="Запрос — SelectMonth" description="Соединение с запросом &quot;SelectMonth&quot; в книге." type="5" refreshedVersion="0" background="1">
    <dbPr connection="provider=Microsoft.Mashup.OleDb.1;data source=$EmbeddedMashup(5a8c5be6-6f58-4689-af1e-18530dda372c)$;location=SelectMonth;extended properties=&quot;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0FtOBwkBAACQAQAAEwAcAEZvcm11bGFzL1NlY3Rpb24xLm0gohgAKKAUAAAAAAAAAAAAAAAAAAAAAAAAAAAAXVA/awIxFJ8N+B1Cpjs4jnaW6yJ1a4er0OG4IZ4PTkwvcokoiIMUujh06ditQ9dCEYRiP8PLN+o7Y6t2SvL79/J7Bgo70hW/8+dlp83azJSyhiFhitAbXdmSJzwYSiv9QxpuYW5DnlwxBZa19rAh0fW8ABV3p3UNlb3X9Xig9TgIF9mtfIBE4Ctu3Mo9uye3Fvky65KPhHnEWumkT5EUIfDNrfDLPeInboVnZvqPfMEP3OHOrXHTkA1ONFHNLU5homQBx79G3AdHXIiQ9L2pUgfRf88hau/wA39N5mwRfTlQEPvlpHpmAt8+4iCLkgfZacmc9Ccjw3BxsczwHbdNRfzO2ag6i+/8AFBLAQItABQAAgAIAEddeVwxQeUkqgAAAPoAAAASAAAAAAAAAAAAAAAAAAAAAABDb25maWcvUGFja2FnZS54bWxQSwECLQAUAAIACABHXXlcD8rpq6QAAADpAAAAEwAAAAAAAAAAAAAAAAD2AAAAW0NvbnRlbnRfVHlwZXNdLnhtbFBLAQItABQAAgAIAEddeVzQW04HCQEAAJABAAATAAAAAAAAAAAAAAAAAOcBAABGb3JtdWxhcy9TZWN0aW9uMS5tUEsFBgAAAAADAAMAwgAAAD0DAAAAAA==&quot;" command="SELECT * FROM [SelectMonth]"/>
  </connection>
  <connection id="2" name="Запрос — SelectServices" description="Соединение с запросом &quot;SelectServices&quot; в книге." type="5" refreshedVersion="0" background="1">
    <dbPr connection="provider=Microsoft.Mashup.OleDb.1;data source=$EmbeddedMashup(5a8c5be6-6f58-4689-af1e-18530dda372c)$;location=SelectServices;extended properties=&quot;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QToyWT8CAAALBgAAEwAcAEZvcm11bGFzL1NlY3Rpb24xLm0gohgAKKAUAAAAAAAAAAAAAAAAAAAAAAAAAAAApVTLbtNAFN1H6j+MzMaWrArYVkFCoYgVQi0Si8iLaTJSrToeZDslUhSpSaFIJOxYsCuQH0gLUU0ezS/c+SOOx2lsghEl9WZmzp177zlnxhOKWuRKn+2n44OdrdJWKTzkgagD84Dui+DYrYmQlZkZpoisudxjPGSRaEUWKz8qeSIqMXz0WXVVj67Ve5pTTBMk7bZqwtt+JYOjAymPzKeuJ7Yr0o+EH4VmGqw0gwDL1R6rXX3OG6Js0DmN1AmNaEZj1VMnqm84neoy22nf71TpXJ0iMmDoRTGav6Nr+kFz1acZw2QEHnrhWDbzm55nsyhoCsvWdO8Z9DWpi5wJxUx1GS2wipN+SBzfJDP1FuBUDZabZwaEveQHkJKatCffhOa6eJsJXjtkphbjIAPdaJGw1P2GGKfqlL4bVkbnE0QCQvqYYZIImK54ANINAF2oM5ixxqIivWbDD83NZdlt4wmPuNHJMULgAjQuUyIolRBQA7rCeInz6QFOanSTZvSTJfvVB4AT1csYPq7XU3rmf6u0mdaTIrgIZ8bS2bTyi0A2ZCSeCV4XQWhWEwFOztLhrV3cEw15LHIu3k17gZlfUOwKmWP4Pdc3t48s9VHX16ejemxN7Irebus19+t6nln5T3VF7rWN7PZRrLd8A/8FDiMHd269MROoo6qfi+ftlQGOKOfvJnbA1SIOCbVhMafN/oWHhf94scSb+4jnUL9t3IW+ap6PY7P842mtOfa7FjS+A239LP5Z1Sm5vu75l6Y7vwBQSwECLQAUAAIACABHXXlcMUHlJKoAAAD6AAAAEgAAAAAAAAAAAAAAAAAAAAAAQ29uZmlnL1BhY2thZ2UueG1sUEsBAi0AFAACAAgAR115XA/K6aukAAAA6QAAABMAAAAAAAAAAAAAAAAA9gAAAFtDb250ZW50X1R5cGVzXS54bWxQSwECLQAUAAIACABHXXlcQToyWT8CAAALBgAAEwAAAAAAAAAAAAAAAADnAQAARm9ybXVsYXMvU2VjdGlvbjEubVBLBQYAAAAAAwADAMIAAABzBAAAAAA=&quot;" command="SELECT * FROM [SelectServices]"/>
  </connection>
  <connection id="3" name="Запрос — ГодДанные" description="Соединение с запросом &quot;ГодДанные&quot; в книге." type="5" refreshedVersion="5">
    <dbPr connection="provider=Microsoft.Mashup.OleDb.1;data source=$EmbeddedMashup(5a8c5be6-6f58-4689-af1e-18530dda372c)$;location=ГодДанные;extended properties=&quot;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qZks8hMEAAD0EAAAEwAcAEZvcm11bGFzL1NlY3Rpb24xLm0gohgAKKAUAAAAAAAAAAAAAAAAAAAAAAAAAAAAvVddTxNBFH0n4T9M1pc2WRurPkl4MPjxoNEEND40jSl0DI3tLtkPP9I0ERBNBMUoicQoSPDdAlYLlPIXZv6R587u0m0ju90WhQd2d+7cOefec+8dbD7jlEyDTXl/s2OjI6Mj9mzB4kUmPoq2+CnWRF0ciSO5LBpsnJW5M8LwI9blvFwQbfkai01xgKXrz2Z4OfPAtB5Pm+bj1I1SmWcmTMPhhmOnvMUJ17LwemKTrubuFCp8XBOboi5f4KSWaMgF+UIua/lazt+dr16o5cSmXMTKCsNZoonDlxQ6wtVieAhAtvJpnRluuawzx3J5Wldwz2lii/xiz4FoMjnPxDHemnQeNjaCzUy+xMdDueIbtzQQu1eYBpUpXkaQJs2ndqqXvM54YWaWpXK3SkYxjx2a2qKlWcEo4jNxVJ/Fe7Er9kCEtocCqzHTYl1mhK5BQKLM1mBygOUdBCzScF2+i/NFJkfRJl+wtB9jACSRzL4iaqvxgDfEATLQh+EW5a4/0+8w3VUiiwnFDyzsKirdZumOmNawuCj2kPwGwwPJ7/BERfik5IFPO/IVpNyjoQmz7FYMOzW4KPWqdq3gFLRaB9E3QPgN2A2YHKlSWRb7TL5VuFpelJjadILm+rM56FM9e5BSiZnpzAOi+y49PxRKO7kzKnPyRhV8pu46UdruO1WTvGI+4aFU9R9gZAfdihL5G8fU0bBg/poam6hTykYDNB/U4XU49RC1rzDSgs/S+9YkfQagrhaLnUzFctH9Qup157erO25lmluZSdM1iqmcEiP1nJ9Keg30WXJ1HuDahH8eAoQbRoxYFkqlVeKVYWKbVjNaXmeXkDrn+RxHBybnIa5xaC9FhL7fOFHghyURzs+mSnbjpCLb1Bb6UI4BwYbgx1PXq9XTUnUGjEJdYg3LO51IBvYrUKoiB1hq6mAnWhL0TfbyDc0ZuZA9RYiJwkSMPqv3pqoJWiUu6iCPzS94Ig8oK7kslwK9ZkOzHEOUQnWM36bqib0nBl21A/mmZbpzqeFjoDNSGcbYK4SYmsIOnhe8i4BWw2pV65oaPvqHfmE4BCackjh1ZCMKI0Ec9CjUZySQiwN2KgqqNuHajlkJwuV5uW/MlZ6Yzl1nllsB7Vw4uvkoWiS1zaAeAugYtLgJrIsN5ErzSsSbKRpeP1EZkSzJg1wNFZiWYIhcjMjYkPHVe8SV9ALgBzn6ChDPL5yuwRNAy10JYJEZqP3PswbpNdm/NJskWTlLfn4jiqDoF9rtku1kptwK6up043z3WK+Fh+RQij6lYSSJua7+eSF57tEYOe6ai/QfZcC09IjlwjHyLvsJZxFDKzIwaHnZ5iwmZH3ffS7/q4ah+kW0zAe67GSHuO1c9m47cSmLxl1Lj5SMwZCP/QFQSwECLQAUAAIACABHXXlcMUHlJKoAAAD6AAAAEgAAAAAAAAAAAAAAAAAAAAAAQ29uZmlnL1BhY2thZ2UueG1sUEsBAi0AFAACAAgAR115XA/K6aukAAAA6QAAABMAAAAAAAAAAAAAAAAA9gAAAFtDb250ZW50X1R5cGVzXS54bWxQSwECLQAUAAIACABHXXlcqZks8hMEAAD0EAAAEwAAAAAAAAAAAAAAAADnAQAARm9ybXVsYXMvU2VjdGlvbjEubVBLBQYAAAAAAwADAMIAAABHBgAAAAA=&quot;" command="SELECT * FROM [ГодДанные]"/>
  </connection>
  <connection id="4" keepAlive="1" name="Запрос — ГодИтоги" description="Соединение с запросом &quot;ГодИтоги&quot; в книге." type="5" refreshedVersion="5" background="1" saveData="1">
    <dbPr connection="provider=Microsoft.Mashup.OleDb.1;data source=$EmbeddedMashup(5a8c5be6-6f58-4689-af1e-18530dda372c)$;location=ГодИтоги;extended properties=&quot;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suVR5nIFAABEHAAAEwAcAEZvcm11bGFzL1NlY3Rpb24xLm0gohgAKKAUAAAAAAAAAAAAAAAAAAAAAAAAAAAAvVlNbxtFGL5H6n8YbS62tBjWaXqpekChUKBqUQLiEFnIiQfFqr0brdellWUpH5BKJBAEkcgBEkK54zix6qax8xdm/xHvO7v2ztrr2VmvQ3Kwd+edmef9euaZpEbXnbJlkhXv07h/Z+7OXG2jaNMSYb+xPrtkx+4OfF6wLnlAKtSZI/ADL7fxtfuK9ViXXcHQwxfrtJL72rKfrVnWs8zH5QrNLVmmQ02nlvEGl+q2DY9Dm2xj9UmxSh9o7JS13C3WYtes4+64W+6+Vmiu+rMLjQ+aq+zU3YWRAwJ7sS5s/gPH1nP32TWBLy3AwR8KWZ2Y9UpFJ45dp1mdw53X2BmuC3OuwA93m7AbeOrifjCxM5hM3O/h5Tv3wDe+1sCxL4tr4MoKrUCIlq3vaplR53VCi+sbJLP6edksFWCGxqdoWVI0S/AafeSv2S+szS7AEZx+NMTc0Yhlk5AZousgEJnZEZhcwfA5BExqeOz+HLcWmvTkJn/A0NsYA0Ai9exPiNphPOATdgUZUDA8w9ypmf4Dpm1eZDGh+BcG2tyVsFk2KKbXvOLeDQunQ7yKgFfn7h5U77BslmnVek6XrEq9atYy09eh3tAQoaYT7VOHVvETqw0/H5VLJWpqzQDeXwDuDfjQgck93jf77C1xf+KIr72QkY+KTjHA+fDFJhQr/+6Bzai4CbvzZXR/FW8qAq0pzcfOxgWwadOuoJ4dQ5Ie9dBBRoCUMHlvYJ8W8BKYv0L+Yi0MzJA3+/zpjHf0Jc9yB1gM4bwHG/Vx2jbkepddEFyIGFAUOIrL5Qh7jaM5Mb1nwCFbYH8Dv11eH+2gTLmvgwoLHP3EtuqbKhE1AG0D9+i7e7A7xuMcvu94VKc1YbShhfrCp79vgHFfblLi4H7Npno68rJuUXdVl6EO0ByB+TkMtz1Eg1gfQBb54jCHEy9EHVaF3KO9+yNSrbsjVM6HpZJ6o+SxBJbqNceqDsLlrfKVuVl+bjlPnQ1qD9xeFaNbkLmFdXU6KJUBdOAV4LpjdgK50rzqwdrCCGnsd6wwrFJcwT0Uai8JvS1IMpYyvvpIcSVlNT/I6XhtIZSu6ROAw6EEEGkGmv/nXtPQiRHBJ0myMkv/fCKSuOg32uNyzcmt1KvQV5ON8QDi7GXWq2vUTkJfd2dCX4aUv+IaPUD7K3jUwUOHN57gIYrrKY6Du17SIiIvHm/pA+27F00TLffQAOjz2qjy1lLKeyNa38dhmU7wizGUCH6JWVjwSwwHgj/GpCc38QS/3IALfomJKPglZmHBLzEcFfwS07DglxiKgl80S3AiLs5c8Ru3JPmNlGfjYlrRv5he9S9Gyv7g7xRq1JcgZJM48Px92ArE+RgDzgdjAeNZJvWO+IlzIiaoEmT+VghyYSqCzA8JUmxcPAK3OYJhJMUWO+InJQQX072rfMH2YKVutwVsN17Ws7or5CfcFZL56V0d/TdQqnvh+8MXtlW1HPqIFkvUhqtD0qvwvdtS8vmoeCp13Ii76djqXmQAG+NS+W/w4EbkjK4vx1UMAw/5qLsvylAhwJZdCq55U8YDZWIEhjF5rEgbCx5tyGXj0L0TP8GXAKAnBB1Wb/FG60P4heZ8QmsOLX1mlXmyIoKjj/FqLODxKVrsHE1HDHh65h7Tb52ndYfaScsydg95pSqGLlD6Mm9ISH83R5/Fv3rvggfXrDXLM1ER4ISWagjVFnF1GLohuZKdcnwdpHXsd+4i1JXUxWVqwlkUOidkodEbin0mwFJLsTGpPeT6ZbzskwUium3Up8+igZJnLUUrGX4vqbtIQqXZHH0eqz9+se/DcX4IUPr+dTfu3wHTnQEpEo1REBtOVK2+4mxm58rm1M7d/w9QSwECLQAUAAIACABHXXlcMUHlJKoAAAD6AAAAEgAAAAAAAAAAAAAAAAAAAAAAQ29uZmlnL1BhY2thZ2UueG1sUEsBAi0AFAACAAgAR115XA/K6aukAAAA6QAAABMAAAAAAAAAAAAAAAAA9gAAAFtDb250ZW50X1R5cGVzXS54bWxQSwECLQAUAAIACABHXXlcsuVR5nIFAABEHAAAEwAAAAAAAAAAAAAAAADnAQAARm9ybXVsYXMvU2VjdGlvbjEubVBLBQYAAAAAAwADAMIAAACmBwAAAAA=&quot;" command="SELECT * FROM [ГодИтоги]"/>
  </connection>
  <connection id="5" keepAlive="1" name="Запрос — ГодСиделка" description="Соединение с запросом &quot;ГодСиделка&quot; в книге." type="5" refreshedVersion="5" background="1" saveData="1">
    <dbPr connection="provider=Microsoft.Mashup.OleDb.1;data source=$EmbeddedMashup(5a8c5be6-6f58-4689-af1e-18530dda372c)$;location=ГодСиделка;extended properties=&quot;UEsDBBQAAgAIAAVi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AVi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FYnlcxd5a7aAEAABcFAAAEwAcAEZvcm11bGFzL1NlY3Rpb24xLm0gohgAKKAUAAAAAAAAAAAAAAAAAAAAAAAAAAAAvVhdbxtVEH2PlP9wtX1ZS4vFpqUPVH1AofAAKlIC4sGykBMvilV7N9qPUmRZygdNJJISVCIRIaiJyjt2UlM3cZy/cO8/4szdXXvXNPthuyRS4t07d+6ZM2dm1usY627NMtmq/1+/t7iwuOBsVGyjyvgvfMhf8VPex98ev+QXvMPus7rhLjD88BOxLXb4UOzzK5hcYOnBk3WjXvzash+tWdYj9ZNa3SguW6ZrmK6j+ovLnm3jcmRTaJYeVhrGfYW3eUds8Q4f8J7YEVviQCm3SsHucvP9Vom3xS5WDhnO4n0c/lTiuxIHfMDwoQMc8qJc0Jjp1esac23PKGgS7i2Fn5Jf7LngfSa2Gb/GVZ/Ow8ZeuJmJH3DzUhwGxgMFgX1ZWUMoq0YdNK1Y3znqZPAaMyrrG0wtfVYzq2XsUOQWpcAqZhW3KUZ5m//Mz/g5AqHtxyPMPYVZNouZEboeAUkyO4YJ0sK7ICzR8ET8lOaLTK6STX7H0psUAyBJjOwPsHaUDvgFv0AGMhieUu6ymf4F0zMpshQq/sbCmQwlblYYi+kYi7v8HMnvMXwg+V2OVIRbUh641RV7kPKEhpatutcwHXV6UWpN5eOKW1FaY0R/AsJrwO7B5EqWygF/w8QziWvgs8TkphGaB082oU/52Yek5o5MYz4QLXDp+yEqnfzOqMzJG1XwXN2NWXqZOVUrRsN6bERSlZ1gZAfdihL5Gsd00LBgvk+NjXeiKXsuz+7Apw9o+CEjKQRB+vf6JM8Q00fV6jhRqaFoQR1Nugu61UOvsWbYxRXLM6tqSWqRWs4rqbwe2iy5eg/ghgR/G/qDG0YBMR1CpVUKq8j4S1otKmWN3Ubm3O83DTRgcp6d99sJxGeliWifNYZIdtoy071ROQ6pJ2SQjQm1RtCnR641mzclag4BRSI6xnJ3TGRofwiZyuAAS44c7EQ/grjJXvxIQ0bs6DfIMBdNFNFv8rovC4JWKRZ5kB/NP/BEHlBT4kA8DdWqRwY5JihRdY3fvmyIkyeGLXUM+VPb8jbV2TnQGIkMM2wPFFNH6OLzjv8UoLSw2lRiIyNA/01QFi6BiaYkTR16Ql3k4EFLQj0ngSxN2aeIVGXZc1yrEdLle/nK3Kw9ttwv3A3DDsMuRdktJ4VFUmuH9RBCx5TFY8AJf4FcKX6J+ANFweWvVEYkS/IgjiIFpuSYIEsJGZuRX21CXHmnf0By8vxPjy+arukTQMuxBLDEDLT+z7Om6TX6W5pNnqzMM76gESWEGBTa5zXHLa56DdTVzcbl+FCf20S5oV/koVyTX1xInec0Ra5jY5G+TYaB1r5lpShF/oN+zlHE0IlMzFmj7hgshbGs7eLOu2oXsltkE3meEa7P8Khzx3/USUtYMmzgXsxK7gcJ5OYLepZJEwE83dc9/a0vITLFP3oz8R/x4zLyZocmXGZa7yY9lEwZIREca2ERPM9Rffv0zifEBJKPCNMuHA8AHnBGnSwT/pTiHZ3clhKhqtqSrTwUCaR7xuSXkq5sIHtil0Dcks93qk7tNwvumJjzCHIpoQrzYKZ69Lf6vTT2to/gLdTM6fDd+xdQSwECLQAUAAIACAAFYnlcMUHlJKoAAAD6AAAAEgAAAAAAAAAAAAAAAAAAAAAAQ29uZmlnL1BhY2thZ2UueG1sUEsBAi0AFAACAAgABWJ5XA/K6aukAAAA6QAAABMAAAAAAAAAAAAAAAAA9gAAAFtDb250ZW50X1R5cGVzXS54bWxQSwECLQAUAAIACAAFYnlcxd5a7aAEAABcFAAAEwAAAAAAAAAAAAAAAADnAQAARm9ybXVsYXMvU2VjdGlvbjEubVBLBQYAAAAAAwADAMIAAADUBgAAAAA=&quot;" command="SELECT * FROM [ГодСиделка]"/>
  </connection>
  <connection id="6" name="Запрос — МесяцыДанные" description="Соединение с запросом &quot;МесяцыДанные&quot; в книге." type="5" refreshedVersion="5">
    <dbPr connection="provider=Microsoft.Mashup.OleDb.1;data source=$EmbeddedMashup(5a8c5be6-6f58-4689-af1e-18530dda372c)$;location=МесяцыДанные;extended properties=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tBu+G7gCAAAZCAAAEwAcAEZvcm11bGFzL1NlY3Rpb24xLm0gohgAKKAUAAAAAAAAAAAAAAAAAAAAAAAAAAAAzVTfa9NQGH0v7H+4xJcGQnF7HX2QOkUUBZ34UMrI1gsNS5OSpmNSAlvKNrCTgQgOEavou52zrm5t9y989z/yfEn6Y2PW6SbYl6T3++45557z3VTlim+5jngSP2fnZ1IzqWrJ9GRR0DvqqE21p7ZVk15Tm/rUx1tHZIUt/ZTAr2j65qJc97GkTbZoxqj8wHJWUV5YX5F2JlfzPOn4z1xvddl1V9N6Pf/QLMusRq+w7YAGamMMo7a0QpDPuY6PLYX6zSA/VlQYEzAACFhGJueWly1HputDZmMkMdDjLWumZ5mOn+y6Hlkt1Lt0hHqbjoVqqB3oDKmdqKR9iA6BsoOOLjqGvCPCO5YtMwlkNf07US1qg7BNPWZRG6p5gaAGKrsCXNQF+RYN6FsUTU/gZZhTr6AbwqnZtiF8ryYTh+gLyl+ZQ+1Ohrq0aC7bbNr589Tz93xZzg7DMO5bTjGrRd2s7DbWEydu8JQM4GgbBCfUob6gUyycgOkIT2YNsYz/apOOAf5DcL96gcVjFc5qnDQDZ24ViznXrpWd9HS9BibzLVPAiJ1ofEI0D2LYTTA16Dt4sB8UvSheQ0hzpSRm9ZHoj3QI9Aa0ngJmI1Y6ug+MGS1C8FjgXc+tVdJXP7Eh6ixgoLYzgj4Ah+cxjJ3XAlTr565erH4JmT6vSOGzmCAYn+VTNACRlAn9kUMHfNUnPH4sy+6ajG2upv/MB2Oaav16xmHuonG41BExFbla1XfLQ7tilKdOxVpz/Ud+SXrDY+cn3S1MOxaPWiuSz1+ARDp1BX2mfXofl3/xpUCQkJ3M4yHbp9Eb7uIGhld73J3UNf3ycc5NifOK5hvnJm8iVrbmCBAdnLcffYya2K5eRkQ9JlOhSBIY6VtYr5hOMXq/fJZzZ7L8R+lw8Uw6Ymo8wX8jRE9Zzt9kMv8TUEsBAi0AFAACAAgAR115XDFB5SSqAAAA+gAAABIAAAAAAAAAAAAAAAAAAAAAAENvbmZpZy9QYWNrYWdlLnhtbFBLAQItABQAAgAIAEddeVwPyumrpAAAAOkAAAATAAAAAAAAAAAAAAAAAPYAAABbQ29udGVudF9UeXBlc10ueG1sUEsBAi0AFAACAAgAR115XLQbvhu4AgAAGQgAABMAAAAAAAAAAAAAAAAA5wEAAEZvcm11bGFzL1NlY3Rpb24xLm1QSwUGAAAAAAMAAwDCAAAA7AQAAAAA" command="SELECT * FROM [МесяцыДанные]"/>
  </connection>
  <connection id="7" keepAlive="1" name="Запрос — МесяцыИтоги" description="Соединение с запросом &quot;МесяцыИтоги&quot; в книге." type="5" refreshedVersion="5" background="1" saveData="1">
    <dbPr connection="provider=Microsoft.Mashup.OleDb.1;data source=$EmbeddedMashup(5a8c5be6-6f58-4689-af1e-18530dda372c)$;location=МесяцыИтоги;extended properties=&quot;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pHJwmc8EAAAAFQAAEwAcAEZvcm11bGFzL1NlY3Rpb24xLm0gohgAKKAUAAAAAAAAAAAAAAAAAAAAAAAAAAAAvVhLTxtXFN4j5T9cTTe2NHVrk6wiFpWbNm1RUoVEXVhWNDC3YsR4Bo1nKJVlCUyTSoUIKYqULKpQmu5rSCwo2OYv3PuPes6dxx1sz8PGCQts38c533ce3xm7Sddcw7bIiv9avntr4dZCc11zqE7Yn6zHd/khf8732RveYUP2np2TJWJSd4HAn6652mO67cKSwl6xLhuwARztKWq0vWxYG7B9b3uNmqWq5zjUcn+ynY1V294oFFu1B1qDLinsJVw7YUO+I83wZ0q9XavalgtX6q0v2zWJpy4doAFwgDBKVbuxali00Ao9qxHEdtG/4tCmZ7oR6Hd8l13yPeSlxA9kWJVWQrtbmmNoVnhvPnSPYP+cncF+l10Qvsd/B/4d1g3YQ0p2MSmwPIBzF5HfyOE3hklLgclmIQvUEeuCwy7roxe+w/cnANqDnQMCvtg5OH8GFfFBpLxP4E2Y/369qBLLM02VuI5Hgwixf2H7FH3wg3ixPH2srZoYtFE+rdp3Lm0shUlWfzAsfUkRpxHZ17AeROIzSKTwf8l6oVniG4OlE6xfBbOJV0uPaMPeolXb9BpWs5COSm0piVlQVKifsCuG4tMxHO1hROB/D6KE7j8H60O8FhQaQUOkTNgV7qK5EvHLsKSExQR8jtl7gLQHp64g1Dtw9lSCE9zE4gXUbcTsW8f2Ngt5gqGSFroY8ufg/C84i8XY8cOutGG3NdLPhGpr6+QpJPTXTUpcdNeOoX0Ftk/g/KnvNCR3AGETwMF2Dz8DTUDM/iN4nv8Bixe8U5YMvtJ1PzGF6UIAwa96TdduhEh9c0+sTWPLdh+669QJE16LE6urKXHAjB6FSQo5gP6xf9gb9hbCNCIfCnuNucX6QAv8MJZ1pVjMXarlpFq9eaDVsbymlIFEjFtnYL4HAR8IDdgH0/yFANFHILxDggRE2O9tb2qWLt7LnGZzj6dy9uSoo9pOUrPT/pS+8ldCJaUSpsnJTapcopVPAFh1MUo4M2ZQoYqf4XjoAumJq6po52Wj6ZZWvAZ0b3JkceoIebK8xip1In0K6E3ukS4/LAN0Qe/a9FGkFEuhAQZAXgwEEeKIW5/w32ARrfqH+7EuXqEmPF09sn+BcZOFJSBcEEO5Lp5RjoX+7QoE72YRlMWUMpqVHJQUIsTywSmNrzif8fW+oevUUuY1HioJ4yGbdcJU+NGxG7ZL71NNpw4MBPEgMUU4b38sfa5gVBHNjNpbvqH43h4V31FV+xsgX8Ub/zxQzjwHJaXXgMIf7WdY9QQwwHF8I1UyFmLb0eX4njYiKH0T0Ixqdl6tqIRakSaFEdG3QW4/AIBBLOxgvSs6bQgJiD2aPqBNl+rf24ZIV54wqWMCmslg/IqSeUdRERQ2eGmZ/uw+9FzqTFmi2T7SizdnLOU4S2NDrg2Z9uhnSe0lXOrhYs6ZN6dQCEAJ3daKoZowHyMaSeMwixV+tQsjEetCC9Q+1oTpgVFbOdsub98tfpQZXZlpRi+OzWj5m8EUY+TO3KdyZbqpLJ/6xLMUApygvzNNkjvoUUwyNTDj30VwzXwG8AcHfzLPwURxSkkuJ2ly7s4ZV9msiCfrctKFeWnyTCWQN5DXv19MooFad/IFxPOyJE6LN+2E5eKCYc2R493/AVBLAQItABQAAgAIAEddeVwxQeUkqgAAAPoAAAASAAAAAAAAAAAAAAAAAAAAAABDb25maWcvUGFja2FnZS54bWxQSwECLQAUAAIACABHXXlcD8rpq6QAAADpAAAAEwAAAAAAAAAAAAAAAAD2AAAAW0NvbnRlbnRfVHlwZXNdLnhtbFBLAQItABQAAgAIAEddeVykcnCZzwQAAAAVAAATAAAAAAAAAAAAAAAAAOcBAABGb3JtdWxhcy9TZWN0aW9uMS5tUEsFBgAAAAADAAMAwgAAAAMHAAAAAA==&quot;" command="SELECT * FROM [МесяцыИтоги]"/>
  </connection>
  <connection id="8" keepAlive="1" name="Запрос — МесяцыСиделка" description="Соединение с запросом &quot;МесяцыСиделка&quot; в книге." type="5" refreshedVersion="5" background="1" saveData="1">
    <dbPr connection="provider=Microsoft.Mashup.OleDb.1;data source=$EmbeddedMashup(5a8c5be6-6f58-4689-af1e-18530dda372c)$;location=МесяцыСиделка;extended properties=&quot;UEsDBBQAAgAIAHV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HV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1XXlcOqNBIXADAAAwCwAAEwAcAEZvcm11bGFzL1NlY3Rpb24xLm0gohgAKKAUAAAAAAAAAAAAAAAAAAAAAAAAAAAAzVZRSxtBEH4P+B+W8yWBI1RfJQ8ltaVUWlBLH0KQ0yx4mNxJcrGWENCkVagWoRQqpTSV9r1Rm5pqjH9h9h/1m71LcqY2TapC85JkZ3a+b+ab2d2CXPJs1xFz/vfE1FhkLFJYtvIyI+gjNdSm2lNbaocOqEnfqUFndEp1kRBZ6UUEPhnLs+bluoclg95Rnc7pHO4Nw+yaZ2xnBebp9SWZjSeL+bx0vGdufmXRdVeisVLqsZWTCYPeYtshtdVGL4x6ZaTLqaTreNiSLt0pp3qc0j0ADgAAphFPurlF25HRUgfZ7FIsx/wta1bethwv2HUztGqwN+kE9jqdClVV2+BZoXrAkvZBuoIo2/BowqOD2wW8b2dlPAhZiP6NVI3qAKxTi1HUhtq5glAVll0BLGoC/BW1oR9L0xL40dGplY6Zwilms6bw8kUZVIi+wXzEGGo3LOrCvLWY5aL151NKPfRkLtERw3xkO5mEob2Z2T2sB5UY5y5po6J1AJyhoc4FXWDhDEgn+GbUCveZ2lWb6LUm/RTsr15j8VRVJgxWmgPH72YySTdbzDnRwXxNdOYHhkAhtnX7VODc9sNuAqlKP4CD/YBoaXlNIa2lZTER65I+oGNEr4LrBcJs+Ew7OIJj6kUQ7hF8kHeLq9HrZ2yKEhNoq624oM+Iw/1Y8StvlGEt9Y2ez34Bmr5YlcJjMuVyL5cvugE0lRB/XaFDHvZQjWdlzl2TfpkL0dHqYA5iHbuZdpi8qh2GShFdkSwWPDfXKZcf5amzaq+53hNvWeY7aafC1U0PSotbrabp8wkQUKemoK+0T5988x9OCggJ2kE/HnP5DHrPXuzA4dUeewd2Iza8nJMD5Lxm8c2+zgvJyqU5QYgG8j3Xh9EOtqs3GqjFYKoiAgW6/KbXVy0no38Pr+XkJS1vSR02XlJHDJSn/N8QCR1hvdlEBSG1htBSdGvbEuolFllx37nVE2dOZvFKmHWf684ZRd9gwjBIIeZpfjLgb+hdMUpXDzqj/i3R2xrsfsVCkuBxAbcmG31mCL3HiVZBt4W9SHLGLnjxuWJumFEwUgN6Id3DZa4NPcobWsbOKY5L8UgwaSTP1+WWqjKFcX2FRCf4qhmGdfiyqekOaXQF+P3CuFpTB++IkKajMDZxIfpb9TF/+e3K5CK2o+mNzG/qF1BLAQItABQAAgAIAHVdeVwxQeUkqgAAAPoAAAASAAAAAAAAAAAAAAAAAAAAAABDb25maWcvUGFja2FnZS54bWxQSwECLQAUAAIACAB1XXlcD8rpq6QAAADpAAAAEwAAAAAAAAAAAAAAAAD2AAAAW0NvbnRlbnRfVHlwZXNdLnhtbFBLAQItABQAAgAIAHVdeVw6o0EhcAMAADALAAATAAAAAAAAAAAAAAAAAOcBAABGb3JtdWxhcy9TZWN0aW9uMS5tUEsFBgAAAAADAAMAwgAAAKQFAAAAAA==&quot;" command="SELECT * FROM [МесяцыСиделка]"/>
  </connection>
  <connection id="9" name="Запрос — ПериодДанные" description="Соединение с запросом &quot;ПериодДанные&quot; в книге." type="5" refreshedVersion="5">
    <dbPr connection="provider=Microsoft.Mashup.OleDb.1;data source=$EmbeddedMashup(5a8c5be6-6f58-4689-af1e-18530dda372c)$;location=ПериодДанные;extended properties=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d287SdwFAAC9GwAAEwAcAEZvcm11bGFzL1NlY3Rpb24xLm0gohgAKKAUAAAAAAAAAAAAAAAAAAAAAAAAAAAAxVnfaxtHEH6OIP/Dcn2R4Coq2Xlp6kBxk1JoU7BT+iBEOVsXLCLdCd0pcREC22lsqNO6FENNSOKEFPpYWbZq2bHkf2HvP+rM7v3Yk317upPSxsSWd+e+/eab2Znds6Wv2lXTIMv8Z+H2zczNjLWmNfUKjNVg9BvTsNfIAslWNFvjv2gWsfV1O0cW7mRqup25wYYtMLq7vqrX8outZlM37O/N5qMV03yUzbVL97W6vqDQl7TvbDp7zrazq5Q7pUV4DgzLaubGUuMBQAKEQt85m/S985Qe04HCZ56Y/uQ+7dIhHTq7tI+TOA7TMIWf8kt6o6at6gFXlXBglShKDuzvtWo112j8GReKPcEX9B6yQkI80FZqep6Ls2Q+sbLce5Xo2uoayZZEJ8tgLyyZy7U/6ZToX3SALtJROVM1QvCi/PQQcDbogI7oieg2QKLoBP5NrzuiWLbWTO1d3Mr74ECXXsL/U3BkKK7OtHhFu84OzKIaV+Tx+JmN/4veCxwFyO0ocphpEcmJ0/QA2GzREfg4hKXOfUo+l3tVcMhd08rG8T0EuTZglQvgtOVshMPJCB46T2HmOYG1kKrzjOUPcrog8MEjeFHOqcSA1FSJ3WzpOU73I4W+RVx45pwOiLNJ6CXLQVgPdfAeJs5PMPjeee4aXyjXxWbceT9K6EyZKfYb7dFjYIx2onrEbJIIM7E8XDFDtn0kJkcLzCRo+2ByDihHoLMUL2woQTxwfo3j5pnEoAzjUYZylJfw9JkMgxvIEcBhadw8EwnKK8iPvXiNRTMJ2mt6Dik5AV7YUIL4FrN+MsxxUwnqn2DaYzs5Jh/ChhLEvwGhx+SW4olmIlouqAD7MMkGodfAhxNWnft+++F7GoaOWDsZ2/iLZq1VN6xs+kqithWkq0D3/QKKq9IJmP0OT5wifXi6S/AbkmHqDNhwH+C7zh6AAvEhhHgbauBewPHzSoUTzCb2E+jcb9VX9KbiljHheORWNFFDePIIAHscEpxHKNAc2wzqv8XrD0QA5KFnBO2dn7GQOFsRfNN6D8yXscV7xIN+PyO+hSiBpxKB0TYbAWv3FBCQfsc7MUBhxM6EiGHHxm4XWv9DsCwgza+skL7Vh7DhWKqUyZ0FUmKTZWKv6QbrtUSvWTp5qMH31L5ESZ5UEpd9ILNI/jNG3mzEcU+30QvXnhnSSOGfK7grWOjYmYZoRsUdZRFwh1NWuit8py51BVmtSwdZjBI1oauupOyChMdLrQqO8iqn+mfetEpeITm1kkVUMqQg3rrYEv5Sd9cbkA/sc8oeUPTjpLqYHAhlSS5yUcHzOsLhUXy2eEJdmbh/L+l187HuhcLXD4SFOwUG4RRbDlwr4By+g9cP2g33ZsT1dyUdfYqF8tz1gI8N8Dxyfd2aoP2yM9s4nJuovGTll8yWUcmWWB7hCf+EZU0fLkMI9TGQGyF999jDeigpeBUf3MoTXn3yCqT5HITF/rGhwzUJwSfXtBglagKZUPZpfRCiw98l9P2tNHLPEXEpYUAqCuzjPVfb7ahAzcChzoxOLMWINEwkE3r0gv0+YBsCZ9EXthD35p/gZObsOs+8bC0IZR7utSjVJXwNWDEbX9ErhwHlL5tmqzH10QWrGSYZXKy2QeI3eIGFz1v8rq50YLY99kqDs//B3RY2khFDEpcdc5J9kUAHVcZ6Rgkyl7JOzWFWLLbgsFr3eyhD+c5oVB+b9rdwkmp6bpdEdcsytzDVDr394FGHDgnXwwP6GmI19tZUoX+w+8EO3354J/A3mJKgO8xLIjalvupYcgmRe8Nex/XYXhyy11nsGPgLW+iCX7KJK7K8vcf7J4YrfQDU8dfWRBqBzn+5VppaU7im2CSJyiz9cwuRxEV3o31dtez8cqsO+yrauBxu6jPrKPMRBSOJ5ip7c4fpeYxt5DLUF/Glr3hJEzXir3YS9iJ+qSvwG12MZJPWi1sfql7Ms3oxWZonaeKFKQ47t/hhJy5ictqdHP4NKBXz2/8CUEsBAi0AFAACAAgAR115XDFB5SSqAAAA+gAAABIAAAAAAAAAAAAAAAAAAAAAAENvbmZpZy9QYWNrYWdlLnhtbFBLAQItABQAAgAIAEddeVwPyumrpAAAAOkAAAATAAAAAAAAAAAAAAAAAPYAAABbQ29udGVudF9UeXBlc10ueG1sUEsBAi0AFAACAAgAR115XHdvO0ncBQAAvRsAABMAAAAAAAAAAAAAAAAA5wEAAEZvcm11bGFzL1NlY3Rpb24xLm1QSwUGAAAAAAMAAwDCAAAAEAgAAAAA" command="SELECT * FROM [ПериодДанные]"/>
  </connection>
  <connection id="10" keepAlive="1" name="Запрос — ПериодИтоги" description="Соединение с запросом &quot;ПериодИтоги&quot; в книге." type="5" refreshedVersion="5" background="1" saveData="1">
    <dbPr connection="provider=Microsoft.Mashup.OleDb.1;data source=$EmbeddedMashup(5a8c5be6-6f58-4689-af1e-18530dda372c)$;location=ПериодИтоги;extended properties=&quot;UEsDBBQAAgAIAEdd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Edd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BHXXlcQVrKxi4HAAA+JwAAEwAcAEZvcm11bGFzL1NlY3Rpb24xLm0gohgAKKAUAAAAAAAAAAAAAAAAAAAAAAAAAAAA7VpbbxNHFH4mEv9hZF5saevWCTzRIFUp9EahSqj6YFnVEg+Khe21dtdAFVkioU2khjZVFalRBaQplfpYJ2BhIHb+wuw/6jkzu97Z+8VO24fmIbFnz5w55ztzrhuDrpoNrU1WxN/K5fNz5+eMNVWndVhrwurnWttcI4ukWFdNVXxRDWLSB2aJLF6Za1Jz7hxfNoDo6oNV2iwvdXWdts2vNP3ubU27WyytV2+oLbpYYE/YwNqwdq0ta6dQ61WXYB8Q1pS5c8udW8ASWBTYc2uDvbUesRdsWBBP7muTh3usz0ZsZO2wAT7EdXgMj/BTeZl2muoqdWVViGCskEKhBPTXus2mTeTfY7PiO8SBzibDA8Qt9XaTlgU4y9p9oyi0VwhVV9dIsSorWQN66chSaf29XpX9yYaoIhvX5hptD/sg/CtUv9dYpQhuURCuaKsNtRkwAoEftg8Hb7KxtQ0YDdmbiUUmprjWANlt2I1ikrkOWN96CICfgEab1kOv0bgqB9YjePKYwFmolPUdG7OX3DwnBD44tjqplRTSBiAUYupdCqCiuBcK7BD5wp43bEisDcJO4dsQz4ONA2czsb6FxbfWY5v4pBBmBr/yE4OgMjV+eQ7ZKYcez5vcskLJFWcPlOQXjw0IfEAF3k7kgCV+ACwd8Rvsk2JJa3ZbbaOYXy1lvfAh3NxCT5IIHhyBGMdCEGCFAliP2Sv4ewz22YRl5LGBh7HXBOmt72HxjbXpSvhBvS7EK2bWUiFcH7ECF2GrYCMrOH+hay3NpB9TtU51o1hFBWoSpM9To7hMW9o9KqE4ne4hYP4GzF7BzgHgPeI3dwd2WT9w/tw61ibxKTsR7+qDjtqu888ulInahaG37otxQPI7yH8KxpCWe6kJXQX5U2tHei7Dq+lgIgnfPHAAqmEyKL643ZvWxedDfTxcRec+YjTH6KQ2QL+qLE9NIXLwLPkQ8+oCB08hNg+LQa481JPoQ+XID3F3wE/DWLrP4QcSEMuJ89PnW+RimKqeO6slnbwH4vfBYfvcWUeBxPEU3Hebu864FkiLjnxa598S71dcxQsfJRxWGBFFCT7WqdFtmhElzf+pOjlV/wRx6QV6CNDJ8BJNJxFkMsgBMpSWJ4t4bi5ZDLc9zDDA5QhwjuXnJYzhuG/9mCSbQ5LAZZTMZRTP5Qnsfh3HQxDEcwCFY+3mkMRweQr3YzcZY5kshtszrAnS8PMSxnA8FAkyDU8/aQzXP4D0mHtywn3wEsZw/As4HHO4Y/nJZDK3/1R1jOJireEv7H6GHVjJoHZ9gr9QGI7OkC9jPdO3doEpCD4CE29BDNydVX18o9u6TXWnDpH6Zjuilc62ns+rPUi+gjWAI7hbEMxI3koUwNMV9ii21nGltssEqecQqRpYjURJuyHXsJjtPOefhZQVFPMTw4Nv4w44HL8qNXJlkVT5wxox12ib51pCmwYld1T4nVuXKMizQmJL78IsC/8+F17rJMmez9ErUaV/ZigmdYVQBQMdr2kINHL2KreAvZwz0gXknTrUVeJi3Yz7qYyqhvdaPMopk6I4L5IBIadGcj4wBsBxHD8ivrHPKLdjJ8XmKRghLNlBFj2kmKPMml/6uUwlajAzARBHAQfcCq8w50BfAYX4NvYfrM8HAk7rOranIFhav+TmGkAXgke9A746lhphnrxIxQm1wK5MhNuXPS4ANT8CcMrneQ9FOPbo4VwVV4mPdK3bSTOyqYgJzSHUlVtwOg5JjuDzpmhV+Fhm3dfyCZ/4GjqmbzqUmHher5ce6vmYGVgGVZU4qWeU0eej0ksaD1nqQq5ueceHX7Y7jXuaeRMSyWQ0VZXRrcWphffqwLkqjugQIKA63mfPwFa+1rvAfuHl0TYXdIglkTtGyuAcC2c1teTxynO5so4vbZCnG1sueMyV3wD+sSB+j7FA7588K084qYTEkyxWmaV+diCKUdF2tOsNwyyvdFvgV9HEmGp49GrzGi9L+Lo4k/BViY1fSY4ut4Ib8AySDnc8ecjal6dRqdPBxeDA3kZeTm8zATpnHxdV8scjEfEywdPDOi8ffcN0KVCKSfWAW3gMlt7FItzWO+ltj/91RG71U76T8JYkufx/PuQCZYaA36eIFz7rktlCrtVE/JhbZMszKY6D2oSbow3FZS7PxZyV8q2QI6bty+E5EUxcEe9gsvYm07VIC+Gz6iRRYzsi9z1Ahuri0szboIXcb0NxU2XKauJSUnuUzCCxI8rCwoXAfbmWLllkgCwqaxy9C0dBOxNw7gvuM9e7tTYVRVHknpANab1sXnhZpoAxge6ZXbS+hH0jCXY4rM9v5Rh2SgHmBjVMWv9Ua/ArEw+8EoAus5gBDlkZoKSfNdr18nV6x7zZNaleUs5n+0eCfJE41MVSoi3KpCxqEk/G6fm/SzpnzXOVuFx/BgD6TY5YyLlUdj3bbXol5618Lv0u/w1QSwECLQAUAAIACABHXXlcMUHlJKoAAAD6AAAAEgAAAAAAAAAAAAAAAAAAAAAAQ29uZmlnL1BhY2thZ2UueG1sUEsBAi0AFAACAAgAR115XA/K6aukAAAA6QAAABMAAAAAAAAAAAAAAAAA9gAAAFtDb250ZW50X1R5cGVzXS54bWxQSwECLQAUAAIACABHXXlcQVrKxi4HAAA+JwAAEwAAAAAAAAAAAAAAAADnAQAARm9ybXVsYXMvU2VjdGlvbjEubVBLBQYAAAAAAwADAMIAAABiCQAAAAA=&quot;" command="SELECT * FROM [ПериодИтоги]"/>
  </connection>
  <connection id="11" keepAlive="1" name="Запрос — ПериодСиделка" description="Соединение с запросом &quot;ПериодСиделка&quot; в книге." type="5" refreshedVersion="5" background="1" saveData="1">
    <dbPr connection="provider=Microsoft.Mashup.OleDb.1;data source=$EmbeddedMashup(5a8c5be6-6f58-4689-af1e-18530dda372c)$;location=ПериодСиделка;extended properties=UEsDBBQAAgAIACBheVwxQeUkqgAAAPoAAAASABwAQ29uZmlnL1BhY2thZ2UueG1sIKIYACigFAAAAAAAAAAAAAAAAAAAAAAAAAAAAIWPQQ6CMBREr0K657eFYIR8ysKtJEajcdtAhUYohhbhbi48klfQRDHu3M28vMXM43bHbGob76p6qzuTEg6MeMoUXalNlZLBnfwlyQRuZHGWlfJesrHJZMuU1M5dEkrHcYQxhK6vaMAYp8d8vStq1UrylfV/2dfGOmkKRQQe3mNEAFEMEQ8jCBhHOmPMtZkzhwjCIF4AQ/qDcTU0buiV6Ad/u0c6V6SfH+IJUEsDBBQAAgAIACBheVw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gYXlcUFvrbGAGAAAlHwAAEwAcAEZvcm11bGFzL1NlY3Rpb24xLm0gohgAKKAUAAAAAAAAAAAAAAAAAAAAAAAAAAAAxVltaxtHEP4cQ/7DcvkiwVVUstMPTR0oblIKbQp2Sj8IUWT7gkVknZBOSYoQ+KWxoU7rUgw1IYljUujHyi+qZcey/8LeP+ozu3enO9m3pzspbUIceXd29plnZmdmV3VjwSqZFTYn/8/euTlxc6K+VKwZixgrY/Qbs2ItsWmWWixaRflLsc4s45mVZtN3J8qGNXFDDNchdO/ZglHOzDRqNaNifW/WHs+b5uNUupl/UFw2pjX+infsVXvb3rC3tEIrP4N1ECzoEzdmqw+hEio0/s5e5e/tdX7Eu5qceWp6kzu8zXu8Z2/xDk3SOKYxRZ8ys0a1XFww+lh1JhXrTNPSkL/fKJcdocE1jiqxQm7oLqoHiHhYnC8bGUnOrPm0npLW68woLiyxVN5vZAHyvi3T6ebHrTz/i3fJRH5RmChVAur99PM96FnhXX7Bj/k+/j/mHSw6420oJdoZ/ozOPGmpW8VaYvuidt4B9Da/xL8TmNLz7y7YeM3b9iZmiY8rBLn4zOr/Be8ljULlRhg4irWQ8KRpvgs0a/wCNvaw1ZkHycNyvwSDnD3rqSi8e6BrBbucA9OavRJ0pwC4Z69j5gXDXgTVfi4iiDCdM3xwAZ4X0jqrIDh1ZtUaRlrCvaXxfdKLNWe8y+xVxi9FFGI/4sFdzOyfMPjefuEIn2vX+WbQeM9LZExBMPYbP+RHQExyfvaYWWMhYv4EcUWM0HYImFpbX0yhbQciOG/8ADwr9QUFFRp37V+jsLkiEVp60Vp6ai2vsPpUpUMKqDXAYKXfXBGFlteIj+1ojv1iCm1v+BlCcgh9QUGFxn2K+uF0DooqtP4J0UNxkiPiISio0Pg3NBwKupX6/GJ+bel+BtjBpBjkHYYPxyI7u0cfQ+JMY+hAlJOBgz9jlhvLlXoqeSbRmxrB1VB/v0By1Vp9ZL9jxQnBx+o2ox8ERrDTFcMdqG/b21AK4D24eAM5cLuP8fPFRQkwFdtOwHnQWJ43apqTxnwNkpPR/Bxi5QEUHkqVMJ5UgXMqM8T/msw/8ADo4aeM5O2fKZHYayF4k1oP5HNU4l3g/Xo/JrzZMIJHIkHANqt91E4X0Af9TlZiqCKPnfo8RhWbql1g/w+BMkswv6oH+C09woEToVJgd6dZXkwWmLVkVEStZUa5brBHRfxMbEsY5XEpcdD3afaD/0yAN6tR2JMd9Oy1PUMSKry+QppCiU70NKxYWXRGhQec4YSZ7grekVNdVpXrkqnMhZEa01SHUnFFovayWIKhMsvpXs+blMkrIEdmMkdMBhike5fYwtvq3rMq4kF8TlgDcp6fdEenVES0xCc5p1G/TuqoFR+vPl9eGbp+zxrL5hPDdYXHH4jFnYKccEIlB9cK9OGbdP3g7WBtJr3eqeQXn1KiPHMskGNd6keuz1tDlF/Rsw2qcwJVpqzMrNmoLKbyIo6owz8WUdPBZYhUfQRwFwTfaXtEDWVZN+PDrAyT2SejIcwn4Rbrx6qBaxIpH57TXBipMWgi2ke1wecd+ZrQ8Y7ShdNHRIVEBaHoQx9tud5shjlqDAa1xtSx5ELCMBZNZNFL8XtXHAiaJVvERtKaf/qdmb1lP3ejNetL87jXElWX+NsVyWxwRzcd9iF/WTMb1ZFbF8pmFGS4WG2A4rd0gcXnNXlX11qYbQ48aUj0PzjHwiIwfpdERcek4lzE4EFXoR5TgEwmzFOTFBUzDTSry14NFVq+q1RLT0zrW3RSNdfsvJ/dgsosCrU99zy40FEhcT3c5W/gq4F3U43/Ie4Hm/L40Z3AO2BajOowpfDYiPzqA8Hl89xb8Rx3KM5iTzxniTbwF7HRubxkM4dkdXmPts/vruQO0AcfrpnSA63/cq8kuSZ7TbKJ45Vx2uckIoWJzkH7ulS3MnONZZyrcOFCsKiPraJMhSSMOJzr4uWOwvOIyshloC7So6//kubnSD7txKxF8lKXlTe6CMqGzRe3P1S+mBL5Yrgwj1PEsyM0O7dlsxPlMTXsGOUzqyA3ns2jlJpRb6iTodf+YS+lqauxj19935DFqXCfqHqShAYSvYEMFnjBBKvyKyShQj7YrULynF7vCI2Xx4aCP+TJ3RPhQSdqxfmySwYIovaQiRvJgUgeG/Y6YbglmrtUlnLvMLBbCc9fTnH+4kCmkyiXyjQa+MaU0NF3rYnw3fkXUEsBAi0AFAACAAgAIGF5XDFB5SSqAAAA+gAAABIAAAAAAAAAAAAAAAAAAAAAAENvbmZpZy9QYWNrYWdlLnhtbFBLAQItABQAAgAIACBheVwPyumrpAAAAOkAAAATAAAAAAAAAAAAAAAAAPYAAABbQ29udGVudF9UeXBlc10ueG1sUEsBAi0AFAACAAgAIGF5XFBb62xgBgAAJR8AABMAAAAAAAAAAAAAAAAA5wEAAEZvcm11bGFzL1NlY3Rpb24xLm1QSwUGAAAAAAMAAwDCAAAAlAgAAAAA" command="SELECT * FROM [ПериодСиделка]"/>
  </connection>
</connections>
</file>

<file path=xl/sharedStrings.xml><?xml version="1.0" encoding="utf-8"?>
<sst xmlns="http://schemas.openxmlformats.org/spreadsheetml/2006/main" count="228" uniqueCount="91">
  <si>
    <t>Путь к исходным данным</t>
  </si>
  <si>
    <t>Полный путь к этому документу</t>
  </si>
  <si>
    <t>Услуги</t>
  </si>
  <si>
    <t>Результаты</t>
  </si>
  <si>
    <t>Январь</t>
  </si>
  <si>
    <t>Расширение файла с данными</t>
  </si>
  <si>
    <t>.xlsm</t>
  </si>
  <si>
    <t>Управление</t>
  </si>
  <si>
    <t>Переходы по страницам (все названия кликабельны).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</si>
  <si>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</si>
  <si>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</si>
  <si>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</si>
  <si>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</si>
  <si>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</si>
  <si>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</si>
  <si>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</si>
  <si>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Сентябрь</t>
  </si>
  <si>
    <t>Октябрь</t>
  </si>
  <si>
    <t>Ноябрь</t>
  </si>
  <si>
    <t>Декабрь</t>
  </si>
  <si>
    <t>&lt;&lt; Настройки</t>
  </si>
  <si>
    <t>Список выбора файлов для подсчета итогов</t>
  </si>
  <si>
    <t>Выбор файла с данными</t>
  </si>
  <si>
    <t>Месяцы</t>
  </si>
  <si>
    <t>Всего</t>
  </si>
  <si>
    <t>б/пл.</t>
  </si>
  <si>
    <t>пл.</t>
  </si>
  <si>
    <t>Соц-бытовые</t>
  </si>
  <si>
    <t>Соц-медицинские</t>
  </si>
  <si>
    <t>Соц-психологические</t>
  </si>
  <si>
    <t>Соц-педагогические</t>
  </si>
  <si>
    <t>Соц-правовые</t>
  </si>
  <si>
    <t>Месяц</t>
  </si>
  <si>
    <t>Соц. Работник</t>
  </si>
  <si>
    <t>Общий итог</t>
  </si>
  <si>
    <t>Получатели ФИО</t>
  </si>
  <si>
    <t>беседа</t>
  </si>
  <si>
    <t>вызов врача на дом по телефону</t>
  </si>
  <si>
    <t>вынос мусора</t>
  </si>
  <si>
    <t>вып. процедур, связанных с сохранением здоровья</t>
  </si>
  <si>
    <t>доставка воды</t>
  </si>
  <si>
    <t>Итого</t>
  </si>
  <si>
    <t>Количество обслуживаемых</t>
  </si>
  <si>
    <t>консультирование по соц-мед.вопросам</t>
  </si>
  <si>
    <t>кормление</t>
  </si>
  <si>
    <t>обработка ногтей</t>
  </si>
  <si>
    <t>оказание помощи в оформлении документов</t>
  </si>
  <si>
    <t>оказание помощи при стирке вещей</t>
  </si>
  <si>
    <t>оплата коммунальныхи услуг и связи</t>
  </si>
  <si>
    <t>письма</t>
  </si>
  <si>
    <t>покупка лекарств, выписка рецептов</t>
  </si>
  <si>
    <t>покупка продуктов</t>
  </si>
  <si>
    <t>покупка топлива, топка печей</t>
  </si>
  <si>
    <t>помощь в получении юр.услуг</t>
  </si>
  <si>
    <t>помощь в приготовлении пищи</t>
  </si>
  <si>
    <t>помывка в ванной</t>
  </si>
  <si>
    <t>присмотр за детьми</t>
  </si>
  <si>
    <t>сиделка</t>
  </si>
  <si>
    <t>смена нательного белья</t>
  </si>
  <si>
    <t>смена постельного белья</t>
  </si>
  <si>
    <t>смена штор</t>
  </si>
  <si>
    <t>снег</t>
  </si>
  <si>
    <t>сод-е в госпитализации</t>
  </si>
  <si>
    <t>сод-е в организации ритуальных услуг</t>
  </si>
  <si>
    <t>сод-е в получении услуг в пр.торговли, КБО</t>
  </si>
  <si>
    <t>сод-е в провед. мед. обслед. (запись)</t>
  </si>
  <si>
    <t>сод-е в прохождении МСЭ</t>
  </si>
  <si>
    <t>сод-е сан-кур. лечение</t>
  </si>
  <si>
    <t>содействие в получ. тех. средств</t>
  </si>
  <si>
    <t>соц-пед.услуги</t>
  </si>
  <si>
    <t>Среднее кол-во услуг на 1 получ. Усл.</t>
  </si>
  <si>
    <t>стирка вещей</t>
  </si>
  <si>
    <t>уборка б/у</t>
  </si>
  <si>
    <t>уборка с/у</t>
  </si>
  <si>
    <t xml:space="preserve"> Значения услуг</t>
  </si>
  <si>
    <t>Год</t>
  </si>
  <si>
    <t>Число</t>
  </si>
  <si>
    <t>Начало</t>
  </si>
  <si>
    <t>Конец</t>
  </si>
  <si>
    <t>Сумма</t>
  </si>
  <si>
    <t>Период</t>
  </si>
  <si>
    <t>Всего 2</t>
  </si>
  <si>
    <t>Всего 1</t>
  </si>
  <si>
    <t>Сиделка</t>
  </si>
  <si>
    <t>Б+ПЛ</t>
  </si>
  <si>
    <t>Всего-БПЛ</t>
  </si>
  <si>
    <t>ВСЕГО-БПЛ</t>
  </si>
  <si>
    <t>Соц-Мед Всего</t>
  </si>
  <si>
    <t>D:\Загрузки\Разработка\Social_Develop\social-services-2026\</t>
  </si>
  <si>
    <t>Фамилия И.О.</t>
  </si>
  <si>
    <t>Услуги-Сиделка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</si>
</sst>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;[Red]0.000"/>
  </numFmts>
  <fonts count="1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20"/>
      <color rgb="FFFF0000"/>
      <name val="Times New Roman"/>
      <family val="1"/>
      <charset val="204"/>
    </font>
    <font>
      <b/>
      <sz val="14"/>
      <color rgb="FFFF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6"/>
      <color rgb="FFFF0000"/>
      <name val="Times New Roman"/>
      <family val="1"/>
      <charset val="204"/>
    </font>
    <font>
      <sz val="14"/>
      <color theme="1"/>
      <name val="Times New Roman"/>
      <family val="1"/>
      <charset val="204"/>
    </font>
    <font>
      <b/>
      <sz val="18"/>
      <color rgb="FFFF0000"/>
      <name val="Times New Roman"/>
      <family val="1"/>
      <charset val="204"/>
    </font>
    <font>
      <sz val="14"/>
      <color theme="1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2"/>
      <color theme="1"/>
      <name val="Times New Roman"/>
    </font>
    <font>
      <b/>
      <sz val="12"/>
      <color theme="1"/>
      <name val="Times New Roman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0" xfId="0" applyFont="1"/>
    <xf numFmtId="0" fontId="2" fillId="0" borderId="1" xfId="0" applyFont="1" applyBorder="1"/>
    <xf numFmtId="0" fontId="1" fillId="0" borderId="2" xfId="0" applyFont="1" applyBorder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wrapText="1" shrinkToFit="1"/>
    </xf>
    <xf numFmtId="0" fontId="2" fillId="0" borderId="3" xfId="0" applyFont="1" applyBorder="1" applyAlignment="1">
      <alignment horizontal="left" vertical="center" wrapText="1" shrinkToFit="1"/>
    </xf>
    <xf numFmtId="0" fontId="1" fillId="0" borderId="0" xfId="0" applyFont="1" applyAlignment="1">
      <alignment horizontal="left" vertical="center" wrapText="1" shrinkToFit="1"/>
    </xf>
    <xf numFmtId="0" fontId="1" fillId="0" borderId="0" xfId="0" applyFont="1" applyAlignment="1">
      <alignment horizontal="center" vertical="center" wrapText="1" shrinkToFit="1"/>
    </xf>
    <xf numFmtId="0" fontId="2" fillId="0" borderId="1" xfId="0" applyFont="1" applyBorder="1" applyAlignment="1">
      <alignment horizontal="left" vertical="center" wrapText="1" shrinkToFit="1"/>
    </xf>
    <xf numFmtId="0" fontId="2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wrapText="1" shrinkToFit="1"/>
    </xf>
    <xf numFmtId="0" fontId="0" fillId="0" borderId="0" xfId="0" applyBorder="1" applyAlignment="1">
      <alignment wrapText="1" shrinkToFit="1"/>
    </xf>
    <xf numFmtId="0" fontId="1" fillId="0" borderId="0" xfId="0" applyFont="1" applyBorder="1" applyAlignment="1">
      <alignment wrapText="1" shrinkToFit="1"/>
    </xf>
    <xf numFmtId="0" fontId="9" fillId="0" borderId="0" xfId="1" applyFont="1" applyAlignment="1">
      <alignment horizontal="left" vertical="center"/>
    </xf>
    <xf numFmtId="0" fontId="8" fillId="0" borderId="0" xfId="0" applyFont="1" applyFill="1"/>
    <xf numFmtId="0" fontId="7" fillId="0" borderId="4" xfId="0" applyFont="1" applyFill="1" applyBorder="1"/>
    <xf numFmtId="0" fontId="1" fillId="0" borderId="0" xfId="0" applyFont="1" applyFill="1"/>
    <xf numFmtId="0" fontId="6" fillId="0" borderId="5" xfId="0" applyFont="1" applyFill="1" applyBorder="1"/>
    <xf numFmtId="0" fontId="1" fillId="0" borderId="0" xfId="0" applyNumberFormat="1" applyFont="1" applyFill="1" applyAlignment="1"/>
    <xf numFmtId="0" fontId="1" fillId="0" borderId="0" xfId="0" quotePrefix="1" applyNumberFormat="1" applyFont="1" applyFill="1" applyAlignment="1"/>
    <xf numFmtId="0" fontId="0" fillId="0" borderId="0" xfId="0" applyFill="1"/>
    <xf numFmtId="0" fontId="7" fillId="0" borderId="0" xfId="0" applyFont="1" applyFill="1"/>
    <xf numFmtId="0" fontId="6" fillId="0" borderId="0" xfId="0" applyFont="1" applyFill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1" fillId="0" borderId="0" xfId="0" applyFont="1" applyFill="1" applyBorder="1"/>
    <xf numFmtId="0" fontId="1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center" vertical="center" wrapText="1" shrinkToFit="1"/>
    </xf>
    <xf numFmtId="0" fontId="6" fillId="0" borderId="0" xfId="0" applyFont="1" applyFill="1" applyBorder="1"/>
    <xf numFmtId="0" fontId="10" fillId="0" borderId="0" xfId="0" applyFont="1" applyFill="1"/>
    <xf numFmtId="0" fontId="5" fillId="0" borderId="2" xfId="1" applyBorder="1" applyAlignment="1">
      <alignment wrapText="1" shrinkToFit="1"/>
    </xf>
    <xf numFmtId="0" fontId="11" fillId="0" borderId="0" xfId="0" applyFont="1" applyFill="1" applyAlignment="1">
      <alignment horizontal="center" vertical="center" wrapText="1" shrinkToFit="1"/>
    </xf>
    <xf numFmtId="0" fontId="11" fillId="0" borderId="0" xfId="0" applyFont="1" applyFill="1" applyAlignment="1">
      <alignment horizontal="center" textRotation="90" wrapText="1" shrinkToFit="1"/>
    </xf>
    <xf numFmtId="164" fontId="11" fillId="0" borderId="0" xfId="0" applyNumberFormat="1" applyFont="1" applyFill="1" applyAlignment="1">
      <alignment horizontal="center" textRotation="90" wrapText="1" shrinkToFit="1"/>
    </xf>
    <xf numFmtId="0" fontId="11" fillId="0" borderId="0" xfId="0" applyFont="1" applyFill="1" applyAlignment="1">
      <alignment horizontal="left" wrapText="1" shrinkToFit="1"/>
    </xf>
    <xf numFmtId="0" fontId="11" fillId="0" borderId="0" xfId="0" applyNumberFormat="1" applyFont="1" applyFill="1" applyAlignment="1">
      <alignment horizontal="center" vertical="center" wrapText="1" shrinkToFit="1"/>
    </xf>
    <xf numFmtId="164" fontId="11" fillId="0" borderId="0" xfId="0" applyNumberFormat="1" applyFont="1" applyFill="1" applyAlignment="1">
      <alignment horizontal="center" vertical="center" wrapText="1" shrinkToFit="1"/>
    </xf>
    <xf numFmtId="0" fontId="11" fillId="0" borderId="0" xfId="0" applyFont="1" applyFill="1" applyAlignment="1">
      <alignment horizontal="left" vertical="center" wrapText="1" shrinkToFit="1"/>
    </xf>
    <xf numFmtId="0" fontId="0" fillId="0" borderId="0" xfId="0" quotePrefix="1" applyNumberFormat="1" applyFill="1" applyAlignment="1"/>
    <xf numFmtId="0" fontId="0" fillId="0" borderId="0" xfId="0" applyNumberFormat="1" applyFill="1" applyAlignment="1"/>
    <xf numFmtId="0" fontId="11" fillId="0" borderId="0" xfId="0" applyFont="1" applyFill="1" applyAlignment="1">
      <alignment horizontal="left"/>
    </xf>
    <xf numFmtId="0" fontId="11" fillId="0" borderId="0" xfId="0" applyFont="1" applyFill="1"/>
    <xf numFmtId="0" fontId="11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textRotation="90" wrapText="1" shrinkToFit="1"/>
    </xf>
    <xf numFmtId="0" fontId="12" fillId="0" borderId="0" xfId="0" applyFont="1" applyFill="1" applyAlignment="1">
      <alignment horizontal="center" vertical="center" wrapText="1" shrinkToFit="1"/>
    </xf>
    <xf numFmtId="0" fontId="11" fillId="0" borderId="0" xfId="0" applyNumberFormat="1" applyFont="1" applyFill="1"/>
    <xf numFmtId="0" fontId="3" fillId="0" borderId="0" xfId="0" applyFont="1" applyAlignment="1">
      <alignment horizontal="center" vertical="center" wrapText="1" shrinkToFit="1"/>
    </xf>
    <xf numFmtId="0" fontId="4" fillId="0" borderId="0" xfId="0" applyFont="1" applyAlignment="1">
      <alignment horizontal="center" vertical="center" wrapText="1" shrinkToFit="1"/>
    </xf>
    <xf numFmtId="0" fontId="9" fillId="2" borderId="6" xfId="1" applyFont="1" applyFill="1" applyBorder="1" applyAlignment="1">
      <alignment horizontal="center" vertical="center" wrapText="1" shrinkToFit="1"/>
    </xf>
    <xf numFmtId="0" fontId="9" fillId="2" borderId="7" xfId="1" applyFont="1" applyFill="1" applyBorder="1" applyAlignment="1">
      <alignment horizontal="center" vertical="center" wrapText="1" shrinkToFit="1"/>
    </xf>
    <xf numFmtId="0" fontId="9" fillId="2" borderId="8" xfId="1" applyFont="1" applyFill="1" applyBorder="1" applyAlignment="1">
      <alignment horizontal="center" vertical="center" wrapText="1" shrinkToFit="1"/>
    </xf>
    <xf numFmtId="0" fontId="9" fillId="3" borderId="9" xfId="1" applyFont="1" applyFill="1" applyBorder="1" applyAlignment="1">
      <alignment horizontal="center" vertical="center"/>
    </xf>
    <xf numFmtId="0" fontId="9" fillId="3" borderId="10" xfId="1" applyFont="1" applyFill="1" applyBorder="1" applyAlignment="1">
      <alignment horizontal="center" vertical="center"/>
    </xf>
    <xf numFmtId="0" fontId="9" fillId="3" borderId="11" xfId="1" applyFont="1" applyFill="1" applyBorder="1" applyAlignment="1">
      <alignment horizontal="center" vertical="center"/>
    </xf>
    <xf numFmtId="0" fontId="9" fillId="2" borderId="12" xfId="1" applyFont="1" applyFill="1" applyBorder="1" applyAlignment="1">
      <alignment horizontal="center" vertical="center" wrapText="1" shrinkToFit="1"/>
    </xf>
    <xf numFmtId="0" fontId="9" fillId="0" borderId="13" xfId="1" applyFont="1" applyBorder="1" applyAlignment="1">
      <alignment horizontal="center" vertical="center" wrapText="1" shrinkToFit="1"/>
    </xf>
    <xf numFmtId="0" fontId="9" fillId="0" borderId="14" xfId="1" applyFont="1" applyBorder="1" applyAlignment="1">
      <alignment horizontal="center" vertical="center" wrapText="1" shrinkToFit="1"/>
    </xf>
  </cellXfs>
  <cellStyles count="2">
    <cellStyle name="Гиперссылка" xfId="1" builtinId="8"/>
    <cellStyle name="Обычный" xfId="0" builtinId="0"/>
  </cellStyles>
  <dxfs count="18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vertical="bottom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sz val="1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b/>
      </font>
    </dxf>
    <dxf>
      <alignment vertical="center" readingOrder="0"/>
    </dxf>
    <dxf>
      <alignment textRotation="0" readingOrder="0"/>
    </dxf>
    <dxf>
      <alignment horizontal="center" readingOrder="0"/>
    </dxf>
    <dxf>
      <alignment vertical="center" readingOrder="0"/>
    </dxf>
    <dxf>
      <alignment vertical="bottom" readingOrder="0"/>
    </dxf>
    <dxf>
      <alignment horizontal="center" readingOrder="0"/>
    </dxf>
    <dxf>
      <alignment textRotation="90" readingOrder="0"/>
    </dxf>
    <dxf>
      <alignment vertical="center" readingOrder="0"/>
    </dxf>
    <dxf>
      <alignment horizontal="center" readingOrder="0"/>
    </dxf>
    <dxf>
      <alignment textRotation="90" readingOrder="0"/>
    </dxf>
    <dxf>
      <alignment textRotation="90" readingOrder="0"/>
    </dxf>
    <dxf>
      <alignment wrapText="1" shrinkToFit="1" readingOrder="0"/>
    </dxf>
    <dxf>
      <alignment wrapText="1" shrinkToFit="1" readingOrder="0"/>
    </dxf>
    <dxf>
      <alignment wrapText="1" shrinkToFit="1" readingOrder="0"/>
    </dxf>
    <dxf>
      <alignment horizontal="left" readingOrder="0"/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color rgb="FFFF0000"/>
        <name val="Times New Roman"/>
        <scheme val="none"/>
      </font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horizontal="left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horizontal="left" readingOrder="0"/>
    </dxf>
    <dxf>
      <alignment vertical="center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>
          <bgColor indexed="51"/>
        </patternFill>
      </fill>
    </dxf>
    <dxf>
      <fill>
        <patternFill patternType="solid">
          <bgColor indexed="13"/>
        </patternFill>
      </fill>
    </dxf>
    <dxf>
      <fill>
        <patternFill patternType="solid">
          <bgColor indexed="13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alignment vertical="center" readingOrder="0"/>
    </dxf>
    <dxf>
      <alignment textRotation="0" readingOrder="0"/>
    </dxf>
    <dxf>
      <alignment vertical="bottom" readingOrder="0"/>
    </dxf>
    <dxf>
      <numFmt numFmtId="164" formatCode="0.000;[Red]0.000"/>
    </dxf>
    <dxf>
      <alignment textRotation="90" readingOrder="0"/>
    </dxf>
    <dxf>
      <alignment wrapText="1" shrinkToFit="1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vertical="bottom" readingOrder="0"/>
    </dxf>
    <dxf>
      <alignment vertical="bottom" readingOrder="0"/>
    </dxf>
    <dxf>
      <alignment vertical="bottom" readingOrder="0"/>
    </dxf>
    <dxf>
      <font>
        <sz val="12"/>
      </font>
    </dxf>
    <dxf>
      <font>
        <name val="Times New Roman"/>
        <scheme val="none"/>
      </font>
    </dxf>
    <dxf>
      <alignment horizont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1" indent="0" justifyLastLine="0" shrinkToFit="1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theme="6" tint="0.3999450666829432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fill>
        <patternFill>
          <bgColor theme="3" tint="0.59996337778862885"/>
        </patternFill>
      </fill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3" defaultTableStyle="TableStyleMedium2" defaultPivotStyle="PivotStyleMedium9">
    <tableStyle name="TableStyleLight15 3" pivot="0" count="7">
      <tableStyleElement type="wholeTable" dxfId="1800"/>
      <tableStyleElement type="headerRow" dxfId="1799"/>
      <tableStyleElement type="totalRow" dxfId="1798"/>
      <tableStyleElement type="firstColumn" dxfId="1797"/>
      <tableStyleElement type="lastColumn" dxfId="1796"/>
      <tableStyleElement type="firstRowStripe" dxfId="1795"/>
      <tableStyleElement type="firstColumnStripe" dxfId="1794"/>
    </tableStyle>
    <tableStyle name="TableStyleQueryPreview" pivot="0" count="3">
      <tableStyleElement type="wholeTable" dxfId="1793"/>
      <tableStyleElement type="headerRow" dxfId="1792"/>
      <tableStyleElement type="firstRowStripe" dxfId="1791"/>
    </tableStyle>
    <tableStyle name="TableStyleQueryResult" pivot="0" count="3">
      <tableStyleElement type="wholeTable" dxfId="1790"/>
      <tableStyleElement type="headerRow" dxfId="1789"/>
      <tableStyleElement type="firstRowStripe" dxfId="1788"/>
    </tableStyle>
  </tableStyles>
  <colors>
    <mruColors>
      <color rgb="FFFFFFCC"/>
      <color rgb="FFCDC800"/>
      <color rgb="FF004D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7/relationships/slicerCache" Target="slicerCaches/slicerCache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onnections" Target="connection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14284</xdr:colOff>
      <xdr:row>1</xdr:row>
      <xdr:rowOff>2041</xdr:rowOff>
    </xdr:from>
    <xdr:to>
      <xdr:col>19</xdr:col>
      <xdr:colOff>257704</xdr:colOff>
      <xdr:row>8</xdr:row>
      <xdr:rowOff>175192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72784" y="287791"/>
              <a:ext cx="2570242" cy="16835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4762</xdr:colOff>
      <xdr:row>0</xdr:row>
      <xdr:rowOff>279288</xdr:rowOff>
    </xdr:from>
    <xdr:to>
      <xdr:col>24</xdr:col>
      <xdr:colOff>368181</xdr:colOff>
      <xdr:row>7</xdr:row>
      <xdr:rowOff>176895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Признак учета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Признак учета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4869" y="279288"/>
              <a:ext cx="2037097" cy="14896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5784</xdr:colOff>
      <xdr:row>0</xdr:row>
      <xdr:rowOff>280987</xdr:rowOff>
    </xdr:from>
    <xdr:to>
      <xdr:col>20</xdr:col>
      <xdr:colOff>457541</xdr:colOff>
      <xdr:row>9</xdr:row>
      <xdr:rowOff>112258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45284" y="280987"/>
              <a:ext cx="2778578" cy="1831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326571</xdr:colOff>
      <xdr:row>1</xdr:row>
      <xdr:rowOff>19051</xdr:rowOff>
    </xdr:from>
    <xdr:to>
      <xdr:col>20</xdr:col>
      <xdr:colOff>7823</xdr:colOff>
      <xdr:row>9</xdr:row>
      <xdr:rowOff>25514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Соц. Работник 5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Соц. Работник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68000" y="304801"/>
              <a:ext cx="2331923" cy="17209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tv2" refreshedDate="46106.585027546294" missingItemsLimit="0" createdVersion="5" refreshedVersion="5" minRefreshableVersion="3" recordCount="38">
  <cacheSource type="external" connectionId="6"/>
  <cacheFields count="5">
    <cacheField name="Соц. Работник" numFmtId="0">
      <sharedItems count="1">
        <s v="Фамилия И.О."/>
      </sharedItems>
    </cacheField>
    <cacheField name="Получатели ФИО" numFmtId="0">
      <sharedItems count="1">
        <s v="Получатель ФИО"/>
      </sharedItems>
    </cacheField>
    <cacheField name="Признак учета" numFmtId="0">
      <sharedItems count="1">
        <s v="На учете"/>
      </sharedItems>
    </cacheField>
    <cacheField name="Услуги" numFmtId="0">
      <sharedItems count="38">
        <s v="Итого"/>
        <s v="Среднее кол-во услуг на 1 получ. Усл.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utv2" refreshedDate="46106.585912962961" missingItemsLimit="0" createdVersion="5" refreshedVersion="5" minRefreshableVersion="3" recordCount="38">
  <cacheSource type="external" connectionId="9"/>
  <cacheFields count="4">
    <cacheField name="Соц. Работник" numFmtId="0">
      <sharedItems count="1">
        <s v="Фамилия И.О."/>
      </sharedItems>
    </cacheField>
    <cacheField name="Получатели ФИО" numFmtId="0">
      <sharedItems count="1">
        <s v="Получатель ФИО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utv2" refreshedDate="46106.586128009258" missingItemsLimit="0" createdVersion="5" refreshedVersion="5" minRefreshableVersion="3" recordCount="38">
  <cacheSource type="external" connectionId="3"/>
  <cacheFields count="4">
    <cacheField name="Соц. Работник" numFmtId="0">
      <sharedItems count="1">
        <s v="Фамилия И.О."/>
      </sharedItems>
    </cacheField>
    <cacheField name="Получатели ФИО" numFmtId="0">
      <sharedItems count="1">
        <s v="Получатель ФИО"/>
      </sharedItems>
    </cacheField>
    <cacheField name="Услуги" numFmtId="0">
      <sharedItems count="38">
        <s v="Итого"/>
        <s v="покупка продуктов"/>
        <s v="помощь в приготовлении пищи"/>
        <s v="кормление"/>
        <s v="оплата коммунальныхи услуг и связи"/>
        <s v="вынос мусора"/>
        <s v="смена штор"/>
        <s v="уборка б/у"/>
        <s v="уборка с/у"/>
        <s v="помывка в ванной"/>
        <s v="смена постельного белья"/>
        <s v="смена нательного белья"/>
        <s v="обработка ногтей"/>
        <s v="оказание помощи при стирке вещей"/>
        <s v="стирка вещей"/>
        <s v="доставка воды"/>
        <s v="покупка топлива, топка печей"/>
        <s v="сод-е в получении услуг в пр.торговли, КБО"/>
        <s v="сод-е в организации ритуальных услуг"/>
        <s v="присмотр за детьми"/>
        <s v="письма"/>
        <s v="снег"/>
        <s v="вып. процедур, связанных с сохранением здоровья"/>
        <s v="покупка лекарств, выписка рецептов"/>
        <s v="сиделка"/>
        <s v="сод-е в госпитализации"/>
        <s v="сод-е сан-кур. лечение"/>
        <s v="содействие в получ. тех. средств"/>
        <s v="сод-е в провед. мед. обслед. (запись)"/>
        <s v="консультирование по соц-мед.вопросам"/>
        <s v="сод-е в прохождении МСЭ"/>
        <s v="вызов врача на дом по телефону"/>
        <s v="беседа"/>
        <s v="соц-пед.услуги"/>
        <s v="оказание помощи в оформлении документов"/>
        <s v="помощь в получении юр.услуг"/>
        <s v="Среднее кол-во услуг на 1 получ. Усл."/>
        <s v="Количество обслуживаемых"/>
      </sharedItems>
    </cacheField>
    <cacheField name="Значения услуг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 pivotCacheId="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  <x v="0"/>
  </r>
  <r>
    <x v="0"/>
    <x v="0"/>
    <x v="0"/>
    <x v="1"/>
    <x v="0"/>
  </r>
  <r>
    <x v="0"/>
    <x v="0"/>
    <x v="0"/>
    <x v="2"/>
    <x v="0"/>
  </r>
  <r>
    <x v="0"/>
    <x v="0"/>
    <x v="0"/>
    <x v="3"/>
    <x v="0"/>
  </r>
  <r>
    <x v="0"/>
    <x v="0"/>
    <x v="0"/>
    <x v="4"/>
    <x v="0"/>
  </r>
  <r>
    <x v="0"/>
    <x v="0"/>
    <x v="0"/>
    <x v="5"/>
    <x v="0"/>
  </r>
  <r>
    <x v="0"/>
    <x v="0"/>
    <x v="0"/>
    <x v="6"/>
    <x v="0"/>
  </r>
  <r>
    <x v="0"/>
    <x v="0"/>
    <x v="0"/>
    <x v="7"/>
    <x v="0"/>
  </r>
  <r>
    <x v="0"/>
    <x v="0"/>
    <x v="0"/>
    <x v="8"/>
    <x v="0"/>
  </r>
  <r>
    <x v="0"/>
    <x v="0"/>
    <x v="0"/>
    <x v="9"/>
    <x v="0"/>
  </r>
  <r>
    <x v="0"/>
    <x v="0"/>
    <x v="0"/>
    <x v="10"/>
    <x v="0"/>
  </r>
  <r>
    <x v="0"/>
    <x v="0"/>
    <x v="0"/>
    <x v="11"/>
    <x v="0"/>
  </r>
  <r>
    <x v="0"/>
    <x v="0"/>
    <x v="0"/>
    <x v="12"/>
    <x v="0"/>
  </r>
  <r>
    <x v="0"/>
    <x v="0"/>
    <x v="0"/>
    <x v="13"/>
    <x v="0"/>
  </r>
  <r>
    <x v="0"/>
    <x v="0"/>
    <x v="0"/>
    <x v="14"/>
    <x v="0"/>
  </r>
  <r>
    <x v="0"/>
    <x v="0"/>
    <x v="0"/>
    <x v="15"/>
    <x v="0"/>
  </r>
  <r>
    <x v="0"/>
    <x v="0"/>
    <x v="0"/>
    <x v="16"/>
    <x v="0"/>
  </r>
  <r>
    <x v="0"/>
    <x v="0"/>
    <x v="0"/>
    <x v="17"/>
    <x v="0"/>
  </r>
  <r>
    <x v="0"/>
    <x v="0"/>
    <x v="0"/>
    <x v="18"/>
    <x v="0"/>
  </r>
  <r>
    <x v="0"/>
    <x v="0"/>
    <x v="0"/>
    <x v="19"/>
    <x v="0"/>
  </r>
  <r>
    <x v="0"/>
    <x v="0"/>
    <x v="0"/>
    <x v="20"/>
    <x v="0"/>
  </r>
  <r>
    <x v="0"/>
    <x v="0"/>
    <x v="0"/>
    <x v="21"/>
    <x v="0"/>
  </r>
  <r>
    <x v="0"/>
    <x v="0"/>
    <x v="0"/>
    <x v="22"/>
    <x v="0"/>
  </r>
  <r>
    <x v="0"/>
    <x v="0"/>
    <x v="0"/>
    <x v="23"/>
    <x v="0"/>
  </r>
  <r>
    <x v="0"/>
    <x v="0"/>
    <x v="0"/>
    <x v="24"/>
    <x v="0"/>
  </r>
  <r>
    <x v="0"/>
    <x v="0"/>
    <x v="0"/>
    <x v="25"/>
    <x v="0"/>
  </r>
  <r>
    <x v="0"/>
    <x v="0"/>
    <x v="0"/>
    <x v="26"/>
    <x v="0"/>
  </r>
  <r>
    <x v="0"/>
    <x v="0"/>
    <x v="0"/>
    <x v="27"/>
    <x v="0"/>
  </r>
  <r>
    <x v="0"/>
    <x v="0"/>
    <x v="0"/>
    <x v="28"/>
    <x v="0"/>
  </r>
  <r>
    <x v="0"/>
    <x v="0"/>
    <x v="0"/>
    <x v="29"/>
    <x v="0"/>
  </r>
  <r>
    <x v="0"/>
    <x v="0"/>
    <x v="0"/>
    <x v="30"/>
    <x v="0"/>
  </r>
  <r>
    <x v="0"/>
    <x v="0"/>
    <x v="0"/>
    <x v="31"/>
    <x v="0"/>
  </r>
  <r>
    <x v="0"/>
    <x v="0"/>
    <x v="0"/>
    <x v="32"/>
    <x v="0"/>
  </r>
  <r>
    <x v="0"/>
    <x v="0"/>
    <x v="0"/>
    <x v="33"/>
    <x v="0"/>
  </r>
  <r>
    <x v="0"/>
    <x v="0"/>
    <x v="0"/>
    <x v="34"/>
    <x v="0"/>
  </r>
  <r>
    <x v="0"/>
    <x v="0"/>
    <x v="0"/>
    <x v="35"/>
    <x v="0"/>
  </r>
  <r>
    <x v="0"/>
    <x v="0"/>
    <x v="0"/>
    <x v="36"/>
    <x v="0"/>
  </r>
  <r>
    <x v="0"/>
    <x v="0"/>
    <x v="0"/>
    <x v="37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8">
  <r>
    <x v="0"/>
    <x v="0"/>
    <x v="0"/>
    <x v="0"/>
  </r>
  <r>
    <x v="0"/>
    <x v="0"/>
    <x v="1"/>
    <x v="0"/>
  </r>
  <r>
    <x v="0"/>
    <x v="0"/>
    <x v="2"/>
    <x v="0"/>
  </r>
  <r>
    <x v="0"/>
    <x v="0"/>
    <x v="3"/>
    <x v="0"/>
  </r>
  <r>
    <x v="0"/>
    <x v="0"/>
    <x v="4"/>
    <x v="0"/>
  </r>
  <r>
    <x v="0"/>
    <x v="0"/>
    <x v="5"/>
    <x v="0"/>
  </r>
  <r>
    <x v="0"/>
    <x v="0"/>
    <x v="6"/>
    <x v="0"/>
  </r>
  <r>
    <x v="0"/>
    <x v="0"/>
    <x v="7"/>
    <x v="0"/>
  </r>
  <r>
    <x v="0"/>
    <x v="0"/>
    <x v="8"/>
    <x v="0"/>
  </r>
  <r>
    <x v="0"/>
    <x v="0"/>
    <x v="9"/>
    <x v="0"/>
  </r>
  <r>
    <x v="0"/>
    <x v="0"/>
    <x v="10"/>
    <x v="0"/>
  </r>
  <r>
    <x v="0"/>
    <x v="0"/>
    <x v="11"/>
    <x v="0"/>
  </r>
  <r>
    <x v="0"/>
    <x v="0"/>
    <x v="12"/>
    <x v="0"/>
  </r>
  <r>
    <x v="0"/>
    <x v="0"/>
    <x v="13"/>
    <x v="0"/>
  </r>
  <r>
    <x v="0"/>
    <x v="0"/>
    <x v="14"/>
    <x v="0"/>
  </r>
  <r>
    <x v="0"/>
    <x v="0"/>
    <x v="15"/>
    <x v="0"/>
  </r>
  <r>
    <x v="0"/>
    <x v="0"/>
    <x v="16"/>
    <x v="0"/>
  </r>
  <r>
    <x v="0"/>
    <x v="0"/>
    <x v="17"/>
    <x v="0"/>
  </r>
  <r>
    <x v="0"/>
    <x v="0"/>
    <x v="18"/>
    <x v="0"/>
  </r>
  <r>
    <x v="0"/>
    <x v="0"/>
    <x v="19"/>
    <x v="0"/>
  </r>
  <r>
    <x v="0"/>
    <x v="0"/>
    <x v="20"/>
    <x v="0"/>
  </r>
  <r>
    <x v="0"/>
    <x v="0"/>
    <x v="21"/>
    <x v="0"/>
  </r>
  <r>
    <x v="0"/>
    <x v="0"/>
    <x v="22"/>
    <x v="0"/>
  </r>
  <r>
    <x v="0"/>
    <x v="0"/>
    <x v="23"/>
    <x v="0"/>
  </r>
  <r>
    <x v="0"/>
    <x v="0"/>
    <x v="24"/>
    <x v="0"/>
  </r>
  <r>
    <x v="0"/>
    <x v="0"/>
    <x v="25"/>
    <x v="0"/>
  </r>
  <r>
    <x v="0"/>
    <x v="0"/>
    <x v="26"/>
    <x v="0"/>
  </r>
  <r>
    <x v="0"/>
    <x v="0"/>
    <x v="27"/>
    <x v="0"/>
  </r>
  <r>
    <x v="0"/>
    <x v="0"/>
    <x v="28"/>
    <x v="0"/>
  </r>
  <r>
    <x v="0"/>
    <x v="0"/>
    <x v="29"/>
    <x v="0"/>
  </r>
  <r>
    <x v="0"/>
    <x v="0"/>
    <x v="30"/>
    <x v="0"/>
  </r>
  <r>
    <x v="0"/>
    <x v="0"/>
    <x v="31"/>
    <x v="0"/>
  </r>
  <r>
    <x v="0"/>
    <x v="0"/>
    <x v="32"/>
    <x v="0"/>
  </r>
  <r>
    <x v="0"/>
    <x v="0"/>
    <x v="33"/>
    <x v="0"/>
  </r>
  <r>
    <x v="0"/>
    <x v="0"/>
    <x v="34"/>
    <x v="0"/>
  </r>
  <r>
    <x v="0"/>
    <x v="0"/>
    <x v="35"/>
    <x v="0"/>
  </r>
  <r>
    <x v="0"/>
    <x v="0"/>
    <x v="36"/>
    <x v="0"/>
  </r>
  <r>
    <x v="0"/>
    <x v="0"/>
    <x v="3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МесяцыСводная" cacheId="4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5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compact="0" outline="0" showAll="0" defaultSubtotal="0">
      <items count="1">
        <item x="0"/>
      </items>
    </pivotField>
    <pivotField axis="axisCol" compact="0" outline="0" showAll="0">
      <items count="39">
        <item x="37"/>
        <item x="0"/>
        <item x="1"/>
        <item x="2"/>
        <item x="3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21"/>
        <item x="22"/>
        <item x="23"/>
        <item x="24"/>
        <item x="25"/>
        <item x="26"/>
        <item x="28"/>
        <item x="29"/>
        <item x="32"/>
        <item x="33"/>
        <item x="4"/>
        <item x="7"/>
        <item x="18"/>
        <item x="19"/>
        <item x="20"/>
        <item x="27"/>
        <item x="30"/>
        <item x="31"/>
        <item x="34"/>
        <item x="35"/>
        <item x="36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3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4" baseField="1" baseItem="1"/>
  </dataFields>
  <formats count="791">
    <format dxfId="1780">
      <pivotArea type="all" dataOnly="0" outline="0" fieldPosition="0"/>
    </format>
    <format dxfId="1779">
      <pivotArea type="all" dataOnly="0" outline="0" fieldPosition="0"/>
    </format>
    <format dxfId="1778">
      <pivotArea type="all" dataOnly="0" outline="0" fieldPosition="0"/>
    </format>
    <format dxfId="1777">
      <pivotArea type="all" dataOnly="0" outline="0" fieldPosition="0"/>
    </format>
    <format dxfId="1776">
      <pivotArea dataOnly="0" labelOnly="1" outline="0" fieldPosition="0">
        <references count="1">
          <reference field="0" count="0"/>
        </references>
      </pivotArea>
    </format>
    <format dxfId="1775">
      <pivotArea dataOnly="0" labelOnly="1" outline="0" fieldPosition="0">
        <references count="1">
          <reference field="0" count="0" defaultSubtotal="1"/>
        </references>
      </pivotArea>
    </format>
    <format dxfId="1774">
      <pivotArea dataOnly="0" labelOnly="1" grandRow="1" outline="0" fieldPosition="0"/>
    </format>
    <format dxfId="1773">
      <pivotArea dataOnly="0" labelOnly="1" outline="0" fieldPosition="0">
        <references count="1">
          <reference field="0" count="0"/>
        </references>
      </pivotArea>
    </format>
    <format dxfId="1772">
      <pivotArea dataOnly="0" labelOnly="1" outline="0" fieldPosition="0">
        <references count="1">
          <reference field="0" count="0" defaultSubtotal="1"/>
        </references>
      </pivotArea>
    </format>
    <format dxfId="1771">
      <pivotArea dataOnly="0" labelOnly="1" grandRow="1" outline="0" fieldPosition="0"/>
    </format>
    <format dxfId="1770">
      <pivotArea type="all" dataOnly="0" outline="0" fieldPosition="0"/>
    </format>
    <format dxfId="1769">
      <pivotArea dataOnly="0" labelOnly="1" outline="0" fieldPosition="0">
        <references count="1">
          <reference field="3" count="0"/>
        </references>
      </pivotArea>
    </format>
    <format dxfId="1768">
      <pivotArea dataOnly="0" outline="0" fieldPosition="0">
        <references count="1">
          <reference field="3" count="1">
            <x v="2"/>
          </reference>
        </references>
      </pivotArea>
    </format>
    <format dxfId="1767">
      <pivotArea dataOnly="0" labelOnly="1" outline="0" fieldPosition="0">
        <references count="1">
          <reference field="3" count="0"/>
        </references>
      </pivotArea>
    </format>
    <format dxfId="1766">
      <pivotArea dataOnly="0" labelOnly="1" outline="0" fieldPosition="0">
        <references count="1">
          <reference field="3" count="1">
            <x v="1"/>
          </reference>
        </references>
      </pivotArea>
    </format>
    <format dxfId="1765">
      <pivotArea dataOnly="0" labelOnly="1" outline="0" fieldPosition="0">
        <references count="1">
          <reference field="3" count="1">
            <x v="1"/>
          </reference>
        </references>
      </pivotArea>
    </format>
    <format dxfId="1764">
      <pivotArea type="all" dataOnly="0" outline="0" fieldPosition="0"/>
    </format>
    <format dxfId="1763">
      <pivotArea outline="0" collapsedLevelsAreSubtotals="1" fieldPosition="0"/>
    </format>
    <format dxfId="1762">
      <pivotArea dataOnly="0" labelOnly="1" outline="0" fieldPosition="0">
        <references count="1">
          <reference field="0" count="0"/>
        </references>
      </pivotArea>
    </format>
    <format dxfId="1761">
      <pivotArea dataOnly="0" labelOnly="1" grandRow="1" outline="0" fieldPosition="0"/>
    </format>
    <format dxfId="1760">
      <pivotArea dataOnly="0" labelOnly="1" outline="0" fieldPosition="0">
        <references count="1">
          <reference field="3" count="0"/>
        </references>
      </pivotArea>
    </format>
    <format dxfId="1759">
      <pivotArea type="all" dataOnly="0" outline="0" fieldPosition="0"/>
    </format>
    <format dxfId="1758">
      <pivotArea outline="0" collapsedLevelsAreSubtotals="1" fieldPosition="0"/>
    </format>
    <format dxfId="1757">
      <pivotArea dataOnly="0" labelOnly="1" outline="0" fieldPosition="0">
        <references count="1">
          <reference field="0" count="0"/>
        </references>
      </pivotArea>
    </format>
    <format dxfId="1756">
      <pivotArea dataOnly="0" labelOnly="1" grandRow="1" outline="0" fieldPosition="0"/>
    </format>
    <format dxfId="1755">
      <pivotArea dataOnly="0" labelOnly="1" outline="0" fieldPosition="0">
        <references count="1">
          <reference field="3" count="0"/>
        </references>
      </pivotArea>
    </format>
    <format dxfId="1754">
      <pivotArea type="all" dataOnly="0" outline="0" fieldPosition="0"/>
    </format>
    <format dxfId="1753">
      <pivotArea outline="0" collapsedLevelsAreSubtotals="1" fieldPosition="0"/>
    </format>
    <format dxfId="1752">
      <pivotArea dataOnly="0" labelOnly="1" outline="0" fieldPosition="0">
        <references count="1">
          <reference field="0" count="0"/>
        </references>
      </pivotArea>
    </format>
    <format dxfId="1751">
      <pivotArea dataOnly="0" labelOnly="1" grandRow="1" outline="0" fieldPosition="0"/>
    </format>
    <format dxfId="1750">
      <pivotArea dataOnly="0" labelOnly="1" outline="0" fieldPosition="0">
        <references count="1">
          <reference field="3" count="0"/>
        </references>
      </pivotArea>
    </format>
    <format dxfId="1749">
      <pivotArea type="all" dataOnly="0" outline="0" fieldPosition="0"/>
    </format>
    <format dxfId="1748">
      <pivotArea outline="0" collapsedLevelsAreSubtotals="1" fieldPosition="0"/>
    </format>
    <format dxfId="1747">
      <pivotArea dataOnly="0" labelOnly="1" outline="0" fieldPosition="0">
        <references count="1">
          <reference field="0" count="0"/>
        </references>
      </pivotArea>
    </format>
    <format dxfId="1746">
      <pivotArea dataOnly="0" labelOnly="1" grandRow="1" outline="0" fieldPosition="0"/>
    </format>
    <format dxfId="1745">
      <pivotArea dataOnly="0" labelOnly="1" outline="0" fieldPosition="0">
        <references count="1">
          <reference field="3" count="0"/>
        </references>
      </pivotArea>
    </format>
    <format dxfId="1744">
      <pivotArea type="all" dataOnly="0" outline="0" fieldPosition="0"/>
    </format>
    <format dxfId="1743">
      <pivotArea outline="0" collapsedLevelsAreSubtotals="1" fieldPosition="0"/>
    </format>
    <format dxfId="1742">
      <pivotArea dataOnly="0" labelOnly="1" outline="0" fieldPosition="0">
        <references count="1">
          <reference field="0" count="0"/>
        </references>
      </pivotArea>
    </format>
    <format dxfId="1741">
      <pivotArea dataOnly="0" labelOnly="1" grandRow="1" outline="0" fieldPosition="0"/>
    </format>
    <format dxfId="1740">
      <pivotArea dataOnly="0" labelOnly="1" outline="0" fieldPosition="0">
        <references count="1">
          <reference field="3" count="0"/>
        </references>
      </pivotArea>
    </format>
    <format dxfId="1739">
      <pivotArea type="all" dataOnly="0" outline="0" fieldPosition="0"/>
    </format>
    <format dxfId="1738">
      <pivotArea outline="0" collapsedLevelsAreSubtotals="1" fieldPosition="0"/>
    </format>
    <format dxfId="1737">
      <pivotArea dataOnly="0" labelOnly="1" outline="0" fieldPosition="0">
        <references count="1">
          <reference field="0" count="0"/>
        </references>
      </pivotArea>
    </format>
    <format dxfId="1736">
      <pivotArea dataOnly="0" labelOnly="1" grandRow="1" outline="0" fieldPosition="0"/>
    </format>
    <format dxfId="1735">
      <pivotArea dataOnly="0" labelOnly="1" outline="0" fieldPosition="0">
        <references count="1">
          <reference field="3" count="0"/>
        </references>
      </pivotArea>
    </format>
    <format dxfId="1734">
      <pivotArea type="all" dataOnly="0" outline="0" fieldPosition="0"/>
    </format>
    <format dxfId="1733">
      <pivotArea outline="0" collapsedLevelsAreSubtotals="1" fieldPosition="0"/>
    </format>
    <format dxfId="1732">
      <pivotArea dataOnly="0" labelOnly="1" outline="0" fieldPosition="0">
        <references count="1">
          <reference field="0" count="0"/>
        </references>
      </pivotArea>
    </format>
    <format dxfId="1731">
      <pivotArea dataOnly="0" labelOnly="1" grandRow="1" outline="0" fieldPosition="0"/>
    </format>
    <format dxfId="1730">
      <pivotArea dataOnly="0" labelOnly="1" outline="0" fieldPosition="0">
        <references count="1">
          <reference field="3" count="0"/>
        </references>
      </pivotArea>
    </format>
    <format dxfId="1729">
      <pivotArea grandRow="1" outline="0" collapsedLevelsAreSubtotals="1" fieldPosition="0"/>
    </format>
    <format dxfId="1728">
      <pivotArea dataOnly="0" labelOnly="1" grandRow="1" outline="0" fieldPosition="0"/>
    </format>
    <format dxfId="1727">
      <pivotArea field="3" grandRow="1" outline="0" collapsedLevelsAreSubtotals="1" axis="axisCol" fieldPosition="0">
        <references count="1">
          <reference field="3" count="1" selected="0">
            <x v="14"/>
          </reference>
        </references>
      </pivotArea>
    </format>
    <format dxfId="1726">
      <pivotArea type="all" dataOnly="0" outline="0" fieldPosition="0"/>
    </format>
    <format dxfId="1725">
      <pivotArea outline="0" collapsedLevelsAreSubtotals="1" fieldPosition="0"/>
    </format>
    <format dxfId="1724">
      <pivotArea dataOnly="0" labelOnly="1" outline="0" fieldPosition="0">
        <references count="1">
          <reference field="0" count="0"/>
        </references>
      </pivotArea>
    </format>
    <format dxfId="1723">
      <pivotArea dataOnly="0" labelOnly="1" grandRow="1" outline="0" fieldPosition="0"/>
    </format>
    <format dxfId="1722">
      <pivotArea dataOnly="0" labelOnly="1" outline="0" fieldPosition="0">
        <references count="1">
          <reference field="3" count="0"/>
        </references>
      </pivotArea>
    </format>
    <format dxfId="1721">
      <pivotArea type="all" dataOnly="0" outline="0" fieldPosition="0"/>
    </format>
    <format dxfId="1720">
      <pivotArea outline="0" collapsedLevelsAreSubtotals="1" fieldPosition="0"/>
    </format>
    <format dxfId="1719">
      <pivotArea dataOnly="0" labelOnly="1" outline="0" fieldPosition="0">
        <references count="1">
          <reference field="0" count="0"/>
        </references>
      </pivotArea>
    </format>
    <format dxfId="1718">
      <pivotArea dataOnly="0" labelOnly="1" grandRow="1" outline="0" fieldPosition="0"/>
    </format>
    <format dxfId="1717">
      <pivotArea dataOnly="0" labelOnly="1" outline="0" fieldPosition="0">
        <references count="1">
          <reference field="3" count="0"/>
        </references>
      </pivotArea>
    </format>
    <format dxfId="1716">
      <pivotArea dataOnly="0" labelOnly="1" outline="0" fieldPosition="0">
        <references count="1">
          <reference field="3" count="0"/>
        </references>
      </pivotArea>
    </format>
    <format dxfId="1715">
      <pivotArea dataOnly="0" labelOnly="1" outline="0" fieldPosition="0">
        <references count="1">
          <reference field="3" count="1">
            <x v="5"/>
          </reference>
        </references>
      </pivotArea>
    </format>
    <format dxfId="1714">
      <pivotArea type="all" dataOnly="0" outline="0" fieldPosition="0"/>
    </format>
    <format dxfId="1713">
      <pivotArea outline="0" collapsedLevelsAreSubtotals="1" fieldPosition="0"/>
    </format>
    <format dxfId="1712">
      <pivotArea dataOnly="0" labelOnly="1" outline="0" fieldPosition="0">
        <references count="1">
          <reference field="0" count="0"/>
        </references>
      </pivotArea>
    </format>
    <format dxfId="1711">
      <pivotArea dataOnly="0" labelOnly="1" grandRow="1" outline="0" fieldPosition="0"/>
    </format>
    <format dxfId="1710">
      <pivotArea dataOnly="0" labelOnly="1" outline="0" fieldPosition="0">
        <references count="1">
          <reference field="3" count="0"/>
        </references>
      </pivotArea>
    </format>
    <format dxfId="1709">
      <pivotArea type="all" dataOnly="0" outline="0" fieldPosition="0"/>
    </format>
    <format dxfId="1708">
      <pivotArea outline="0" collapsedLevelsAreSubtotals="1" fieldPosition="0"/>
    </format>
    <format dxfId="1707">
      <pivotArea dataOnly="0" labelOnly="1" outline="0" fieldPosition="0">
        <references count="1">
          <reference field="0" count="0"/>
        </references>
      </pivotArea>
    </format>
    <format dxfId="1706">
      <pivotArea dataOnly="0" labelOnly="1" grandRow="1" outline="0" fieldPosition="0"/>
    </format>
    <format dxfId="1705">
      <pivotArea dataOnly="0" labelOnly="1" outline="0" fieldPosition="0">
        <references count="1">
          <reference field="3" count="0"/>
        </references>
      </pivotArea>
    </format>
    <format dxfId="1704">
      <pivotArea type="all" dataOnly="0" outline="0" fieldPosition="0"/>
    </format>
    <format dxfId="1703">
      <pivotArea outline="0" collapsedLevelsAreSubtotals="1" fieldPosition="0"/>
    </format>
    <format dxfId="1702">
      <pivotArea dataOnly="0" labelOnly="1" outline="0" fieldPosition="0">
        <references count="1">
          <reference field="0" count="0"/>
        </references>
      </pivotArea>
    </format>
    <format dxfId="1701">
      <pivotArea dataOnly="0" labelOnly="1" grandRow="1" outline="0" fieldPosition="0"/>
    </format>
    <format dxfId="1700">
      <pivotArea dataOnly="0" labelOnly="1" outline="0" fieldPosition="0">
        <references count="1">
          <reference field="3" count="0"/>
        </references>
      </pivotArea>
    </format>
    <format dxfId="1699">
      <pivotArea type="all" dataOnly="0" outline="0" fieldPosition="0"/>
    </format>
    <format dxfId="1698">
      <pivotArea outline="0" collapsedLevelsAreSubtotals="1" fieldPosition="0"/>
    </format>
    <format dxfId="1697">
      <pivotArea dataOnly="0" labelOnly="1" outline="0" fieldPosition="0">
        <references count="1">
          <reference field="0" count="0"/>
        </references>
      </pivotArea>
    </format>
    <format dxfId="1696">
      <pivotArea dataOnly="0" labelOnly="1" grandRow="1" outline="0" fieldPosition="0"/>
    </format>
    <format dxfId="1695">
      <pivotArea dataOnly="0" labelOnly="1" outline="0" fieldPosition="0">
        <references count="1">
          <reference field="3" count="0"/>
        </references>
      </pivotArea>
    </format>
    <format dxfId="1694">
      <pivotArea type="all" dataOnly="0" outline="0" fieldPosition="0"/>
    </format>
    <format dxfId="1693">
      <pivotArea outline="0" collapsedLevelsAreSubtotals="1" fieldPosition="0"/>
    </format>
    <format dxfId="1692">
      <pivotArea dataOnly="0" labelOnly="1" outline="0" fieldPosition="0">
        <references count="1">
          <reference field="0" count="0"/>
        </references>
      </pivotArea>
    </format>
    <format dxfId="1691">
      <pivotArea dataOnly="0" labelOnly="1" grandRow="1" outline="0" fieldPosition="0"/>
    </format>
    <format dxfId="1690">
      <pivotArea dataOnly="0" labelOnly="1" outline="0" fieldPosition="0">
        <references count="1">
          <reference field="3" count="0"/>
        </references>
      </pivotArea>
    </format>
    <format dxfId="1689">
      <pivotArea type="all" dataOnly="0" outline="0" fieldPosition="0"/>
    </format>
    <format dxfId="1688">
      <pivotArea outline="0" collapsedLevelsAreSubtotals="1" fieldPosition="0"/>
    </format>
    <format dxfId="1687">
      <pivotArea dataOnly="0" labelOnly="1" outline="0" fieldPosition="0">
        <references count="1">
          <reference field="0" count="0"/>
        </references>
      </pivotArea>
    </format>
    <format dxfId="1686">
      <pivotArea dataOnly="0" labelOnly="1" grandRow="1" outline="0" fieldPosition="0"/>
    </format>
    <format dxfId="1685">
      <pivotArea dataOnly="0" labelOnly="1" outline="0" fieldPosition="0">
        <references count="1">
          <reference field="3" count="0"/>
        </references>
      </pivotArea>
    </format>
    <format dxfId="1684">
      <pivotArea type="all" dataOnly="0" outline="0" fieldPosition="0"/>
    </format>
    <format dxfId="1683">
      <pivotArea outline="0" collapsedLevelsAreSubtotals="1" fieldPosition="0"/>
    </format>
    <format dxfId="1682">
      <pivotArea dataOnly="0" labelOnly="1" outline="0" fieldPosition="0">
        <references count="1">
          <reference field="0" count="0"/>
        </references>
      </pivotArea>
    </format>
    <format dxfId="1681">
      <pivotArea dataOnly="0" labelOnly="1" grandRow="1" outline="0" fieldPosition="0"/>
    </format>
    <format dxfId="1680">
      <pivotArea dataOnly="0" labelOnly="1" outline="0" fieldPosition="0">
        <references count="1">
          <reference field="3" count="0"/>
        </references>
      </pivotArea>
    </format>
    <format dxfId="1679">
      <pivotArea type="all" dataOnly="0" outline="0" fieldPosition="0"/>
    </format>
    <format dxfId="1678">
      <pivotArea outline="0" collapsedLevelsAreSubtotals="1" fieldPosition="0"/>
    </format>
    <format dxfId="1677">
      <pivotArea dataOnly="0" labelOnly="1" outline="0" fieldPosition="0">
        <references count="1">
          <reference field="0" count="0"/>
        </references>
      </pivotArea>
    </format>
    <format dxfId="1676">
      <pivotArea dataOnly="0" labelOnly="1" grandRow="1" outline="0" fieldPosition="0"/>
    </format>
    <format dxfId="1675">
      <pivotArea dataOnly="0" labelOnly="1" outline="0" fieldPosition="0">
        <references count="1">
          <reference field="3" count="0"/>
        </references>
      </pivotArea>
    </format>
    <format dxfId="1674">
      <pivotArea type="all" dataOnly="0" outline="0" fieldPosition="0"/>
    </format>
    <format dxfId="1673">
      <pivotArea outline="0" collapsedLevelsAreSubtotals="1" fieldPosition="0"/>
    </format>
    <format dxfId="1672">
      <pivotArea dataOnly="0" labelOnly="1" outline="0" fieldPosition="0">
        <references count="1">
          <reference field="0" count="0"/>
        </references>
      </pivotArea>
    </format>
    <format dxfId="1671">
      <pivotArea dataOnly="0" labelOnly="1" grandRow="1" outline="0" fieldPosition="0"/>
    </format>
    <format dxfId="1670">
      <pivotArea dataOnly="0" labelOnly="1" outline="0" fieldPosition="0">
        <references count="1">
          <reference field="3" count="0"/>
        </references>
      </pivotArea>
    </format>
    <format dxfId="1669">
      <pivotArea type="all" dataOnly="0" outline="0" fieldPosition="0"/>
    </format>
    <format dxfId="1668">
      <pivotArea outline="0" collapsedLevelsAreSubtotals="1" fieldPosition="0"/>
    </format>
    <format dxfId="1667">
      <pivotArea dataOnly="0" labelOnly="1" outline="0" fieldPosition="0">
        <references count="1">
          <reference field="0" count="0"/>
        </references>
      </pivotArea>
    </format>
    <format dxfId="1666">
      <pivotArea dataOnly="0" labelOnly="1" grandRow="1" outline="0" fieldPosition="0"/>
    </format>
    <format dxfId="1665">
      <pivotArea dataOnly="0" labelOnly="1" outline="0" fieldPosition="0">
        <references count="1">
          <reference field="3" count="0"/>
        </references>
      </pivotArea>
    </format>
    <format dxfId="1664">
      <pivotArea type="all" dataOnly="0" outline="0" fieldPosition="0"/>
    </format>
    <format dxfId="1663">
      <pivotArea outline="0" collapsedLevelsAreSubtotals="1" fieldPosition="0"/>
    </format>
    <format dxfId="1662">
      <pivotArea dataOnly="0" labelOnly="1" outline="0" fieldPosition="0">
        <references count="1">
          <reference field="0" count="0"/>
        </references>
      </pivotArea>
    </format>
    <format dxfId="1661">
      <pivotArea dataOnly="0" labelOnly="1" grandRow="1" outline="0" fieldPosition="0"/>
    </format>
    <format dxfId="1660">
      <pivotArea dataOnly="0" labelOnly="1" outline="0" fieldPosition="0">
        <references count="1">
          <reference field="3" count="0"/>
        </references>
      </pivotArea>
    </format>
    <format dxfId="1659">
      <pivotArea type="all" dataOnly="0" outline="0" fieldPosition="0"/>
    </format>
    <format dxfId="1658">
      <pivotArea outline="0" collapsedLevelsAreSubtotals="1" fieldPosition="0"/>
    </format>
    <format dxfId="1657">
      <pivotArea dataOnly="0" labelOnly="1" outline="0" fieldPosition="0">
        <references count="1">
          <reference field="0" count="0"/>
        </references>
      </pivotArea>
    </format>
    <format dxfId="1656">
      <pivotArea dataOnly="0" labelOnly="1" grandRow="1" outline="0" fieldPosition="0"/>
    </format>
    <format dxfId="1655">
      <pivotArea dataOnly="0" labelOnly="1" outline="0" fieldPosition="0">
        <references count="1">
          <reference field="3" count="0"/>
        </references>
      </pivotArea>
    </format>
    <format dxfId="1654">
      <pivotArea type="all" dataOnly="0" outline="0" fieldPosition="0"/>
    </format>
    <format dxfId="1653">
      <pivotArea outline="0" collapsedLevelsAreSubtotals="1" fieldPosition="0"/>
    </format>
    <format dxfId="1652">
      <pivotArea dataOnly="0" labelOnly="1" outline="0" fieldPosition="0">
        <references count="1">
          <reference field="0" count="0"/>
        </references>
      </pivotArea>
    </format>
    <format dxfId="1651">
      <pivotArea dataOnly="0" labelOnly="1" grandRow="1" outline="0" fieldPosition="0"/>
    </format>
    <format dxfId="1650">
      <pivotArea dataOnly="0" labelOnly="1" outline="0" fieldPosition="0">
        <references count="1">
          <reference field="3" count="0"/>
        </references>
      </pivotArea>
    </format>
    <format dxfId="1649">
      <pivotArea type="all" dataOnly="0" outline="0" fieldPosition="0"/>
    </format>
    <format dxfId="1648">
      <pivotArea outline="0" collapsedLevelsAreSubtotals="1" fieldPosition="0"/>
    </format>
    <format dxfId="1647">
      <pivotArea dataOnly="0" labelOnly="1" outline="0" fieldPosition="0">
        <references count="1">
          <reference field="0" count="0"/>
        </references>
      </pivotArea>
    </format>
    <format dxfId="1646">
      <pivotArea dataOnly="0" labelOnly="1" grandRow="1" outline="0" fieldPosition="0"/>
    </format>
    <format dxfId="1645">
      <pivotArea dataOnly="0" labelOnly="1" outline="0" fieldPosition="0">
        <references count="1">
          <reference field="3" count="0"/>
        </references>
      </pivotArea>
    </format>
    <format dxfId="1644">
      <pivotArea type="all" dataOnly="0" outline="0" fieldPosition="0"/>
    </format>
    <format dxfId="1643">
      <pivotArea outline="0" collapsedLevelsAreSubtotals="1" fieldPosition="0"/>
    </format>
    <format dxfId="1642">
      <pivotArea dataOnly="0" labelOnly="1" outline="0" fieldPosition="0">
        <references count="1">
          <reference field="0" count="0"/>
        </references>
      </pivotArea>
    </format>
    <format dxfId="1641">
      <pivotArea dataOnly="0" labelOnly="1" grandRow="1" outline="0" fieldPosition="0"/>
    </format>
    <format dxfId="1640">
      <pivotArea dataOnly="0" labelOnly="1" outline="0" fieldPosition="0">
        <references count="1">
          <reference field="3" count="0"/>
        </references>
      </pivotArea>
    </format>
    <format dxfId="1639">
      <pivotArea type="all" dataOnly="0" outline="0" fieldPosition="0"/>
    </format>
    <format dxfId="1638">
      <pivotArea outline="0" collapsedLevelsAreSubtotals="1" fieldPosition="0"/>
    </format>
    <format dxfId="1637">
      <pivotArea dataOnly="0" labelOnly="1" outline="0" fieldPosition="0">
        <references count="1">
          <reference field="0" count="0"/>
        </references>
      </pivotArea>
    </format>
    <format dxfId="1636">
      <pivotArea dataOnly="0" labelOnly="1" grandRow="1" outline="0" fieldPosition="0"/>
    </format>
    <format dxfId="1635">
      <pivotArea dataOnly="0" labelOnly="1" outline="0" fieldPosition="0">
        <references count="1">
          <reference field="3" count="0"/>
        </references>
      </pivotArea>
    </format>
    <format dxfId="1634">
      <pivotArea type="all" dataOnly="0" outline="0" fieldPosition="0"/>
    </format>
    <format dxfId="1633">
      <pivotArea outline="0" collapsedLevelsAreSubtotals="1" fieldPosition="0"/>
    </format>
    <format dxfId="1632">
      <pivotArea dataOnly="0" labelOnly="1" outline="0" fieldPosition="0">
        <references count="1">
          <reference field="0" count="0"/>
        </references>
      </pivotArea>
    </format>
    <format dxfId="1631">
      <pivotArea dataOnly="0" labelOnly="1" grandRow="1" outline="0" fieldPosition="0"/>
    </format>
    <format dxfId="1630">
      <pivotArea dataOnly="0" labelOnly="1" outline="0" fieldPosition="0">
        <references count="1">
          <reference field="3" count="0"/>
        </references>
      </pivotArea>
    </format>
    <format dxfId="1629">
      <pivotArea type="all" dataOnly="0" outline="0" fieldPosition="0"/>
    </format>
    <format dxfId="1628">
      <pivotArea outline="0" collapsedLevelsAreSubtotals="1" fieldPosition="0"/>
    </format>
    <format dxfId="1627">
      <pivotArea dataOnly="0" labelOnly="1" outline="0" fieldPosition="0">
        <references count="1">
          <reference field="0" count="0"/>
        </references>
      </pivotArea>
    </format>
    <format dxfId="1626">
      <pivotArea dataOnly="0" labelOnly="1" grandRow="1" outline="0" fieldPosition="0"/>
    </format>
    <format dxfId="1625">
      <pivotArea dataOnly="0" labelOnly="1" outline="0" fieldPosition="0">
        <references count="1">
          <reference field="3" count="0"/>
        </references>
      </pivotArea>
    </format>
    <format dxfId="1624">
      <pivotArea type="all" dataOnly="0" outline="0" fieldPosition="0"/>
    </format>
    <format dxfId="1623">
      <pivotArea outline="0" collapsedLevelsAreSubtotals="1" fieldPosition="0"/>
    </format>
    <format dxfId="1622">
      <pivotArea dataOnly="0" labelOnly="1" outline="0" fieldPosition="0">
        <references count="1">
          <reference field="0" count="0"/>
        </references>
      </pivotArea>
    </format>
    <format dxfId="1621">
      <pivotArea dataOnly="0" labelOnly="1" grandRow="1" outline="0" fieldPosition="0"/>
    </format>
    <format dxfId="1620">
      <pivotArea dataOnly="0" labelOnly="1" outline="0" fieldPosition="0">
        <references count="1">
          <reference field="3" count="0"/>
        </references>
      </pivotArea>
    </format>
    <format dxfId="1619">
      <pivotArea type="all" dataOnly="0" outline="0" fieldPosition="0"/>
    </format>
    <format dxfId="1618">
      <pivotArea outline="0" collapsedLevelsAreSubtotals="1" fieldPosition="0"/>
    </format>
    <format dxfId="1617">
      <pivotArea dataOnly="0" labelOnly="1" outline="0" fieldPosition="0">
        <references count="1">
          <reference field="0" count="0"/>
        </references>
      </pivotArea>
    </format>
    <format dxfId="1616">
      <pivotArea dataOnly="0" labelOnly="1" grandRow="1" outline="0" fieldPosition="0"/>
    </format>
    <format dxfId="1615">
      <pivotArea dataOnly="0" labelOnly="1" outline="0" fieldPosition="0">
        <references count="1">
          <reference field="3" count="0"/>
        </references>
      </pivotArea>
    </format>
    <format dxfId="1614">
      <pivotArea type="all" dataOnly="0" outline="0" fieldPosition="0"/>
    </format>
    <format dxfId="1613">
      <pivotArea outline="0" collapsedLevelsAreSubtotals="1" fieldPosition="0"/>
    </format>
    <format dxfId="1612">
      <pivotArea dataOnly="0" labelOnly="1" outline="0" fieldPosition="0">
        <references count="1">
          <reference field="0" count="0"/>
        </references>
      </pivotArea>
    </format>
    <format dxfId="1611">
      <pivotArea dataOnly="0" labelOnly="1" grandRow="1" outline="0" fieldPosition="0"/>
    </format>
    <format dxfId="1610">
      <pivotArea dataOnly="0" labelOnly="1" outline="0" fieldPosition="0">
        <references count="1">
          <reference field="3" count="0"/>
        </references>
      </pivotArea>
    </format>
    <format dxfId="1609">
      <pivotArea type="all" dataOnly="0" outline="0" fieldPosition="0"/>
    </format>
    <format dxfId="1608">
      <pivotArea outline="0" collapsedLevelsAreSubtotals="1" fieldPosition="0"/>
    </format>
    <format dxfId="1607">
      <pivotArea dataOnly="0" labelOnly="1" outline="0" fieldPosition="0">
        <references count="1">
          <reference field="0" count="0"/>
        </references>
      </pivotArea>
    </format>
    <format dxfId="1606">
      <pivotArea dataOnly="0" labelOnly="1" grandRow="1" outline="0" fieldPosition="0"/>
    </format>
    <format dxfId="1605">
      <pivotArea dataOnly="0" labelOnly="1" outline="0" fieldPosition="0">
        <references count="1">
          <reference field="3" count="0"/>
        </references>
      </pivotArea>
    </format>
    <format dxfId="1604">
      <pivotArea type="all" dataOnly="0" outline="0" fieldPosition="0"/>
    </format>
    <format dxfId="1603">
      <pivotArea outline="0" collapsedLevelsAreSubtotals="1" fieldPosition="0"/>
    </format>
    <format dxfId="1602">
      <pivotArea dataOnly="0" labelOnly="1" outline="0" fieldPosition="0">
        <references count="1">
          <reference field="0" count="0"/>
        </references>
      </pivotArea>
    </format>
    <format dxfId="1601">
      <pivotArea dataOnly="0" labelOnly="1" grandRow="1" outline="0" fieldPosition="0"/>
    </format>
    <format dxfId="1600">
      <pivotArea dataOnly="0" labelOnly="1" outline="0" fieldPosition="0">
        <references count="1">
          <reference field="3" count="0"/>
        </references>
      </pivotArea>
    </format>
    <format dxfId="1599">
      <pivotArea grandRow="1" outline="0" collapsedLevelsAreSubtotals="1" fieldPosition="0"/>
    </format>
    <format dxfId="1598">
      <pivotArea dataOnly="0" labelOnly="1" grandRow="1" outline="0" fieldPosition="0"/>
    </format>
    <format dxfId="1597">
      <pivotArea type="all" dataOnly="0" outline="0" fieldPosition="0"/>
    </format>
    <format dxfId="1596">
      <pivotArea outline="0" collapsedLevelsAreSubtotals="1" fieldPosition="0"/>
    </format>
    <format dxfId="1595">
      <pivotArea dataOnly="0" labelOnly="1" outline="0" fieldPosition="0">
        <references count="1">
          <reference field="0" count="0"/>
        </references>
      </pivotArea>
    </format>
    <format dxfId="1594">
      <pivotArea dataOnly="0" labelOnly="1" grandRow="1" outline="0" fieldPosition="0"/>
    </format>
    <format dxfId="1593">
      <pivotArea dataOnly="0" labelOnly="1" outline="0" fieldPosition="0">
        <references count="1">
          <reference field="3" count="0"/>
        </references>
      </pivotArea>
    </format>
    <format dxfId="1592">
      <pivotArea type="all" dataOnly="0" outline="0" fieldPosition="0"/>
    </format>
    <format dxfId="1591">
      <pivotArea outline="0" collapsedLevelsAreSubtotals="1" fieldPosition="0"/>
    </format>
    <format dxfId="1590">
      <pivotArea dataOnly="0" labelOnly="1" outline="0" fieldPosition="0">
        <references count="1">
          <reference field="0" count="0"/>
        </references>
      </pivotArea>
    </format>
    <format dxfId="1589">
      <pivotArea dataOnly="0" labelOnly="1" grandRow="1" outline="0" fieldPosition="0"/>
    </format>
    <format dxfId="1588">
      <pivotArea dataOnly="0" labelOnly="1" outline="0" fieldPosition="0">
        <references count="1">
          <reference field="3" count="0"/>
        </references>
      </pivotArea>
    </format>
    <format dxfId="1587">
      <pivotArea type="all" dataOnly="0" outline="0" fieldPosition="0"/>
    </format>
    <format dxfId="1586">
      <pivotArea outline="0" collapsedLevelsAreSubtotals="1" fieldPosition="0"/>
    </format>
    <format dxfId="1585">
      <pivotArea dataOnly="0" labelOnly="1" outline="0" fieldPosition="0">
        <references count="1">
          <reference field="0" count="0"/>
        </references>
      </pivotArea>
    </format>
    <format dxfId="1584">
      <pivotArea dataOnly="0" labelOnly="1" grandRow="1" outline="0" fieldPosition="0"/>
    </format>
    <format dxfId="1583">
      <pivotArea dataOnly="0" labelOnly="1" outline="0" fieldPosition="0">
        <references count="1">
          <reference field="3" count="0"/>
        </references>
      </pivotArea>
    </format>
    <format dxfId="1582">
      <pivotArea type="all" dataOnly="0" outline="0" fieldPosition="0"/>
    </format>
    <format dxfId="1581">
      <pivotArea outline="0" collapsedLevelsAreSubtotals="1" fieldPosition="0"/>
    </format>
    <format dxfId="1580">
      <pivotArea dataOnly="0" labelOnly="1" outline="0" fieldPosition="0">
        <references count="1">
          <reference field="0" count="0"/>
        </references>
      </pivotArea>
    </format>
    <format dxfId="1579">
      <pivotArea dataOnly="0" labelOnly="1" grandRow="1" outline="0" fieldPosition="0"/>
    </format>
    <format dxfId="1578">
      <pivotArea dataOnly="0" labelOnly="1" outline="0" fieldPosition="0">
        <references count="1">
          <reference field="3" count="0"/>
        </references>
      </pivotArea>
    </format>
    <format dxfId="1577">
      <pivotArea type="all" dataOnly="0" outline="0" fieldPosition="0"/>
    </format>
    <format dxfId="1576">
      <pivotArea outline="0" collapsedLevelsAreSubtotals="1" fieldPosition="0"/>
    </format>
    <format dxfId="1575">
      <pivotArea dataOnly="0" labelOnly="1" grandRow="1" outline="0" fieldPosition="0"/>
    </format>
    <format dxfId="1574">
      <pivotArea dataOnly="0" labelOnly="1" outline="0" fieldPosition="0">
        <references count="1">
          <reference field="3" count="0"/>
        </references>
      </pivotArea>
    </format>
    <format dxfId="1573">
      <pivotArea type="all" dataOnly="0" outline="0" fieldPosition="0"/>
    </format>
    <format dxfId="1572">
      <pivotArea outline="0" collapsedLevelsAreSubtotals="1" fieldPosition="0"/>
    </format>
    <format dxfId="1571">
      <pivotArea dataOnly="0" labelOnly="1" grandRow="1" outline="0" fieldPosition="0"/>
    </format>
    <format dxfId="1570">
      <pivotArea dataOnly="0" labelOnly="1" outline="0" fieldPosition="0">
        <references count="1">
          <reference field="3" count="0"/>
        </references>
      </pivotArea>
    </format>
    <format dxfId="1569">
      <pivotArea type="all" dataOnly="0" outline="0" fieldPosition="0"/>
    </format>
    <format dxfId="1568">
      <pivotArea outline="0" collapsedLevelsAreSubtotals="1" fieldPosition="0"/>
    </format>
    <format dxfId="1567">
      <pivotArea dataOnly="0" labelOnly="1" grandRow="1" outline="0" fieldPosition="0"/>
    </format>
    <format dxfId="1566">
      <pivotArea dataOnly="0" labelOnly="1" outline="0" fieldPosition="0">
        <references count="1">
          <reference field="3" count="0"/>
        </references>
      </pivotArea>
    </format>
    <format dxfId="1565">
      <pivotArea type="all" dataOnly="0" outline="0" fieldPosition="0"/>
    </format>
    <format dxfId="1564">
      <pivotArea outline="0" collapsedLevelsAreSubtotals="1" fieldPosition="0"/>
    </format>
    <format dxfId="1563">
      <pivotArea dataOnly="0" labelOnly="1" grandRow="1" outline="0" fieldPosition="0"/>
    </format>
    <format dxfId="1562">
      <pivotArea dataOnly="0" labelOnly="1" outline="0" fieldPosition="0">
        <references count="1">
          <reference field="3" count="0"/>
        </references>
      </pivotArea>
    </format>
    <format dxfId="1561">
      <pivotArea type="all" dataOnly="0" outline="0" fieldPosition="0"/>
    </format>
    <format dxfId="1560">
      <pivotArea outline="0" collapsedLevelsAreSubtotals="1" fieldPosition="0"/>
    </format>
    <format dxfId="1559">
      <pivotArea dataOnly="0" labelOnly="1" grandRow="1" outline="0" fieldPosition="0"/>
    </format>
    <format dxfId="1558">
      <pivotArea dataOnly="0" labelOnly="1" outline="0" fieldPosition="0">
        <references count="1">
          <reference field="3" count="0"/>
        </references>
      </pivotArea>
    </format>
    <format dxfId="1557">
      <pivotArea dataOnly="0" labelOnly="1" outline="0" fieldPosition="0">
        <references count="1">
          <reference field="1" count="0"/>
        </references>
      </pivotArea>
    </format>
    <format dxfId="1556">
      <pivotArea dataOnly="0" labelOnly="1" outline="0" fieldPosition="0">
        <references count="1">
          <reference field="1" count="0"/>
        </references>
      </pivotArea>
    </format>
    <format dxfId="1555">
      <pivotArea type="all" dataOnly="0" outline="0" fieldPosition="0"/>
    </format>
    <format dxfId="1554">
      <pivotArea outline="0" collapsedLevelsAreSubtotals="1" fieldPosition="0"/>
    </format>
    <format dxfId="1553">
      <pivotArea dataOnly="0" labelOnly="1" grandRow="1" outline="0" fieldPosition="0"/>
    </format>
    <format dxfId="1552">
      <pivotArea dataOnly="0" labelOnly="1" outline="0" fieldPosition="0">
        <references count="1">
          <reference field="3" count="0"/>
        </references>
      </pivotArea>
    </format>
    <format dxfId="1551">
      <pivotArea dataOnly="0" labelOnly="1" outline="0" fieldPosition="0">
        <references count="1">
          <reference field="0" count="0"/>
        </references>
      </pivotArea>
    </format>
    <format dxfId="1550">
      <pivotArea dataOnly="0" labelOnly="1" outline="0" fieldPosition="0">
        <references count="1">
          <reference field="0" count="0"/>
        </references>
      </pivotArea>
    </format>
    <format dxfId="1549">
      <pivotArea type="all" dataOnly="0" outline="0" fieldPosition="0"/>
    </format>
    <format dxfId="1548">
      <pivotArea outline="0" collapsedLevelsAreSubtotals="1" fieldPosition="0"/>
    </format>
    <format dxfId="1547">
      <pivotArea dataOnly="0" labelOnly="1" grandRow="1" outline="0" fieldPosition="0"/>
    </format>
    <format dxfId="1546">
      <pivotArea dataOnly="0" labelOnly="1" outline="0" fieldPosition="0">
        <references count="1">
          <reference field="3" count="0"/>
        </references>
      </pivotArea>
    </format>
    <format dxfId="1545">
      <pivotArea type="all" dataOnly="0" outline="0" fieldPosition="0"/>
    </format>
    <format dxfId="1544">
      <pivotArea outline="0" collapsedLevelsAreSubtotals="1" fieldPosition="0"/>
    </format>
    <format dxfId="1543">
      <pivotArea dataOnly="0" labelOnly="1" outline="0" fieldPosition="0">
        <references count="1">
          <reference field="0" count="0"/>
        </references>
      </pivotArea>
    </format>
    <format dxfId="1542">
      <pivotArea dataOnly="0" labelOnly="1" grandRow="1" outline="0" fieldPosition="0"/>
    </format>
    <format dxfId="1541">
      <pivotArea dataOnly="0" labelOnly="1" outline="0" fieldPosition="0">
        <references count="1">
          <reference field="3" count="0"/>
        </references>
      </pivotArea>
    </format>
    <format dxfId="1540">
      <pivotArea type="all" dataOnly="0" outline="0" fieldPosition="0"/>
    </format>
    <format dxfId="1539">
      <pivotArea outline="0" collapsedLevelsAreSubtotals="1" fieldPosition="0"/>
    </format>
    <format dxfId="1538">
      <pivotArea dataOnly="0" labelOnly="1" outline="0" fieldPosition="0">
        <references count="1">
          <reference field="0" count="0"/>
        </references>
      </pivotArea>
    </format>
    <format dxfId="1537">
      <pivotArea dataOnly="0" labelOnly="1" grandRow="1" outline="0" fieldPosition="0"/>
    </format>
    <format dxfId="1536">
      <pivotArea dataOnly="0" labelOnly="1" outline="0" fieldPosition="0">
        <references count="1">
          <reference field="3" count="0"/>
        </references>
      </pivotArea>
    </format>
    <format dxfId="1535">
      <pivotArea type="all" dataOnly="0" outline="0" fieldPosition="0"/>
    </format>
    <format dxfId="1534">
      <pivotArea outline="0" collapsedLevelsAreSubtotals="1" fieldPosition="0"/>
    </format>
    <format dxfId="1533">
      <pivotArea dataOnly="0" labelOnly="1" outline="0" fieldPosition="0">
        <references count="1">
          <reference field="0" count="0"/>
        </references>
      </pivotArea>
    </format>
    <format dxfId="1532">
      <pivotArea dataOnly="0" labelOnly="1" grandRow="1" outline="0" fieldPosition="0"/>
    </format>
    <format dxfId="1531">
      <pivotArea dataOnly="0" labelOnly="1" outline="0" fieldPosition="0">
        <references count="1">
          <reference field="3" count="0"/>
        </references>
      </pivotArea>
    </format>
    <format dxfId="1530">
      <pivotArea type="all" dataOnly="0" outline="0" fieldPosition="0"/>
    </format>
    <format dxfId="1529">
      <pivotArea outline="0" collapsedLevelsAreSubtotals="1" fieldPosition="0"/>
    </format>
    <format dxfId="1528">
      <pivotArea dataOnly="0" labelOnly="1" outline="0" fieldPosition="0">
        <references count="1">
          <reference field="0" count="0"/>
        </references>
      </pivotArea>
    </format>
    <format dxfId="1527">
      <pivotArea dataOnly="0" labelOnly="1" grandRow="1" outline="0" fieldPosition="0"/>
    </format>
    <format dxfId="1526">
      <pivotArea dataOnly="0" labelOnly="1" outline="0" fieldPosition="0">
        <references count="1">
          <reference field="3" count="0"/>
        </references>
      </pivotArea>
    </format>
    <format dxfId="1525">
      <pivotArea type="all" dataOnly="0" outline="0" fieldPosition="0"/>
    </format>
    <format dxfId="1524">
      <pivotArea outline="0" collapsedLevelsAreSubtotals="1" fieldPosition="0"/>
    </format>
    <format dxfId="1523">
      <pivotArea dataOnly="0" labelOnly="1" outline="0" fieldPosition="0">
        <references count="1">
          <reference field="0" count="0"/>
        </references>
      </pivotArea>
    </format>
    <format dxfId="1522">
      <pivotArea dataOnly="0" labelOnly="1" grandRow="1" outline="0" fieldPosition="0"/>
    </format>
    <format dxfId="1521">
      <pivotArea dataOnly="0" labelOnly="1" outline="0" fieldPosition="0">
        <references count="1">
          <reference field="3" count="0"/>
        </references>
      </pivotArea>
    </format>
    <format dxfId="1520">
      <pivotArea type="all" dataOnly="0" outline="0" fieldPosition="0"/>
    </format>
    <format dxfId="1519">
      <pivotArea outline="0" collapsedLevelsAreSubtotals="1" fieldPosition="0"/>
    </format>
    <format dxfId="1518">
      <pivotArea dataOnly="0" labelOnly="1" outline="0" fieldPosition="0">
        <references count="1">
          <reference field="0" count="0"/>
        </references>
      </pivotArea>
    </format>
    <format dxfId="1517">
      <pivotArea dataOnly="0" labelOnly="1" grandRow="1" outline="0" fieldPosition="0"/>
    </format>
    <format dxfId="1516">
      <pivotArea dataOnly="0" labelOnly="1" outline="0" fieldPosition="0">
        <references count="1">
          <reference field="3" count="0"/>
        </references>
      </pivotArea>
    </format>
    <format dxfId="1515">
      <pivotArea type="all" dataOnly="0" outline="0" fieldPosition="0"/>
    </format>
    <format dxfId="1514">
      <pivotArea outline="0" collapsedLevelsAreSubtotals="1" fieldPosition="0"/>
    </format>
    <format dxfId="1513">
      <pivotArea dataOnly="0" labelOnly="1" outline="0" fieldPosition="0">
        <references count="1">
          <reference field="0" count="0"/>
        </references>
      </pivotArea>
    </format>
    <format dxfId="1512">
      <pivotArea dataOnly="0" labelOnly="1" grandRow="1" outline="0" fieldPosition="0"/>
    </format>
    <format dxfId="1511">
      <pivotArea dataOnly="0" labelOnly="1" outline="0" fieldPosition="0">
        <references count="1">
          <reference field="3" count="0"/>
        </references>
      </pivotArea>
    </format>
    <format dxfId="1510">
      <pivotArea type="all" dataOnly="0" outline="0" fieldPosition="0"/>
    </format>
    <format dxfId="1509">
      <pivotArea outline="0" collapsedLevelsAreSubtotals="1" fieldPosition="0"/>
    </format>
    <format dxfId="1508">
      <pivotArea dataOnly="0" labelOnly="1" outline="0" fieldPosition="0">
        <references count="1">
          <reference field="0" count="0"/>
        </references>
      </pivotArea>
    </format>
    <format dxfId="1507">
      <pivotArea dataOnly="0" labelOnly="1" grandRow="1" outline="0" fieldPosition="0"/>
    </format>
    <format dxfId="1506">
      <pivotArea dataOnly="0" labelOnly="1" outline="0" fieldPosition="0">
        <references count="1">
          <reference field="3" count="0"/>
        </references>
      </pivotArea>
    </format>
    <format dxfId="1505">
      <pivotArea type="all" dataOnly="0" outline="0" fieldPosition="0"/>
    </format>
    <format dxfId="1504">
      <pivotArea outline="0" collapsedLevelsAreSubtotals="1" fieldPosition="0"/>
    </format>
    <format dxfId="1503">
      <pivotArea dataOnly="0" labelOnly="1" grandRow="1" outline="0" fieldPosition="0"/>
    </format>
    <format dxfId="1502">
      <pivotArea dataOnly="0" labelOnly="1" outline="0" fieldPosition="0">
        <references count="1">
          <reference field="3" count="0"/>
        </references>
      </pivotArea>
    </format>
    <format dxfId="1501">
      <pivotArea type="all" dataOnly="0" outline="0" fieldPosition="0"/>
    </format>
    <format dxfId="1500">
      <pivotArea outline="0" collapsedLevelsAreSubtotals="1" fieldPosition="0"/>
    </format>
    <format dxfId="1499">
      <pivotArea dataOnly="0" labelOnly="1" grandRow="1" outline="0" fieldPosition="0"/>
    </format>
    <format dxfId="1498">
      <pivotArea dataOnly="0" labelOnly="1" outline="0" fieldPosition="0">
        <references count="1">
          <reference field="3" count="0"/>
        </references>
      </pivotArea>
    </format>
    <format dxfId="1497">
      <pivotArea type="all" dataOnly="0" outline="0" fieldPosition="0"/>
    </format>
    <format dxfId="1496">
      <pivotArea outline="0" collapsedLevelsAreSubtotals="1" fieldPosition="0"/>
    </format>
    <format dxfId="1495">
      <pivotArea dataOnly="0" labelOnly="1" grandRow="1" outline="0" fieldPosition="0"/>
    </format>
    <format dxfId="1494">
      <pivotArea dataOnly="0" labelOnly="1" outline="0" fieldPosition="0">
        <references count="1">
          <reference field="3" count="0"/>
        </references>
      </pivotArea>
    </format>
    <format dxfId="1493">
      <pivotArea type="all" dataOnly="0" outline="0" fieldPosition="0"/>
    </format>
    <format dxfId="1492">
      <pivotArea outline="0" collapsedLevelsAreSubtotals="1" fieldPosition="0"/>
    </format>
    <format dxfId="1491">
      <pivotArea dataOnly="0" labelOnly="1" grandRow="1" outline="0" fieldPosition="0"/>
    </format>
    <format dxfId="1490">
      <pivotArea dataOnly="0" labelOnly="1" outline="0" fieldPosition="0">
        <references count="1">
          <reference field="3" count="0"/>
        </references>
      </pivotArea>
    </format>
    <format dxfId="1489">
      <pivotArea type="all" dataOnly="0" outline="0" fieldPosition="0"/>
    </format>
    <format dxfId="1488">
      <pivotArea outline="0" collapsedLevelsAreSubtotals="1" fieldPosition="0"/>
    </format>
    <format dxfId="1487">
      <pivotArea dataOnly="0" labelOnly="1" grandRow="1" outline="0" fieldPosition="0"/>
    </format>
    <format dxfId="1486">
      <pivotArea dataOnly="0" labelOnly="1" outline="0" fieldPosition="0">
        <references count="1">
          <reference field="3" count="0"/>
        </references>
      </pivotArea>
    </format>
    <format dxfId="1485">
      <pivotArea type="all" dataOnly="0" outline="0" fieldPosition="0"/>
    </format>
    <format dxfId="1484">
      <pivotArea outline="0" collapsedLevelsAreSubtotals="1" fieldPosition="0"/>
    </format>
    <format dxfId="1483">
      <pivotArea dataOnly="0" labelOnly="1" grandRow="1" outline="0" fieldPosition="0"/>
    </format>
    <format dxfId="1482">
      <pivotArea dataOnly="0" labelOnly="1" outline="0" fieldPosition="0">
        <references count="1">
          <reference field="3" count="0"/>
        </references>
      </pivotArea>
    </format>
    <format dxfId="1481">
      <pivotArea grandRow="1" outline="0" collapsedLevelsAreSubtotals="1" fieldPosition="0"/>
    </format>
    <format dxfId="1480">
      <pivotArea dataOnly="0" labelOnly="1" grandRow="1" outline="0" fieldPosition="0"/>
    </format>
    <format dxfId="1479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478">
      <pivotArea type="all" dataOnly="0" outline="0" fieldPosition="0"/>
    </format>
    <format dxfId="1477">
      <pivotArea outline="0" collapsedLevelsAreSubtotals="1" fieldPosition="0"/>
    </format>
    <format dxfId="1476">
      <pivotArea dataOnly="0" labelOnly="1" grandRow="1" outline="0" fieldPosition="0"/>
    </format>
    <format dxfId="1475">
      <pivotArea dataOnly="0" labelOnly="1" outline="0" fieldPosition="0">
        <references count="1">
          <reference field="3" count="0"/>
        </references>
      </pivotArea>
    </format>
    <format dxfId="1474">
      <pivotArea grandRow="1" outline="0" collapsedLevelsAreSubtotals="1" fieldPosition="0"/>
    </format>
    <format dxfId="1473">
      <pivotArea dataOnly="0" labelOnly="1" grandRow="1" outline="0" fieldPosition="0"/>
    </format>
    <format dxfId="1472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471">
      <pivotArea type="all" dataOnly="0" outline="0" fieldPosition="0"/>
    </format>
    <format dxfId="1470">
      <pivotArea outline="0" collapsedLevelsAreSubtotals="1" fieldPosition="0"/>
    </format>
    <format dxfId="1469">
      <pivotArea dataOnly="0" labelOnly="1" grandRow="1" outline="0" fieldPosition="0"/>
    </format>
    <format dxfId="1468">
      <pivotArea dataOnly="0" labelOnly="1" outline="0" fieldPosition="0">
        <references count="1">
          <reference field="3" count="0"/>
        </references>
      </pivotArea>
    </format>
    <format dxfId="1467">
      <pivotArea grandRow="1" outline="0" collapsedLevelsAreSubtotals="1" fieldPosition="0"/>
    </format>
    <format dxfId="1466">
      <pivotArea dataOnly="0" labelOnly="1" grandRow="1" outline="0" fieldPosition="0"/>
    </format>
    <format dxfId="1465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464">
      <pivotArea type="all" dataOnly="0" outline="0" fieldPosition="0"/>
    </format>
    <format dxfId="1463">
      <pivotArea outline="0" collapsedLevelsAreSubtotals="1" fieldPosition="0"/>
    </format>
    <format dxfId="1462">
      <pivotArea dataOnly="0" labelOnly="1" outline="0" fieldPosition="0">
        <references count="1">
          <reference field="0" count="0"/>
        </references>
      </pivotArea>
    </format>
    <format dxfId="1461">
      <pivotArea dataOnly="0" labelOnly="1" grandRow="1" outline="0" fieldPosition="0"/>
    </format>
    <format dxfId="1460">
      <pivotArea dataOnly="0" labelOnly="1" outline="0" fieldPosition="0">
        <references count="1">
          <reference field="3" count="0"/>
        </references>
      </pivotArea>
    </format>
    <format dxfId="1459">
      <pivotArea grandRow="1" outline="0" collapsedLevelsAreSubtotals="1" fieldPosition="0"/>
    </format>
    <format dxfId="1458">
      <pivotArea dataOnly="0" labelOnly="1" grandRow="1" outline="0" fieldPosition="0"/>
    </format>
    <format dxfId="1457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456">
      <pivotArea type="all" dataOnly="0" outline="0" fieldPosition="0"/>
    </format>
    <format dxfId="1455">
      <pivotArea outline="0" collapsedLevelsAreSubtotals="1" fieldPosition="0"/>
    </format>
    <format dxfId="1454">
      <pivotArea dataOnly="0" labelOnly="1" outline="0" fieldPosition="0">
        <references count="1">
          <reference field="0" count="0"/>
        </references>
      </pivotArea>
    </format>
    <format dxfId="1453">
      <pivotArea dataOnly="0" labelOnly="1" grandRow="1" outline="0" fieldPosition="0"/>
    </format>
    <format dxfId="1452">
      <pivotArea dataOnly="0" labelOnly="1" outline="0" fieldPosition="0">
        <references count="1">
          <reference field="3" count="0"/>
        </references>
      </pivotArea>
    </format>
    <format dxfId="1451">
      <pivotArea grandRow="1" outline="0" collapsedLevelsAreSubtotals="1" fieldPosition="0"/>
    </format>
    <format dxfId="1450">
      <pivotArea dataOnly="0" labelOnly="1" grandRow="1" outline="0" fieldPosition="0"/>
    </format>
    <format dxfId="1449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448">
      <pivotArea type="all" dataOnly="0" outline="0" fieldPosition="0"/>
    </format>
    <format dxfId="1447">
      <pivotArea outline="0" collapsedLevelsAreSubtotals="1" fieldPosition="0"/>
    </format>
    <format dxfId="1446">
      <pivotArea dataOnly="0" labelOnly="1" outline="0" fieldPosition="0">
        <references count="1">
          <reference field="0" count="0"/>
        </references>
      </pivotArea>
    </format>
    <format dxfId="1445">
      <pivotArea dataOnly="0" labelOnly="1" grandRow="1" outline="0" fieldPosition="0"/>
    </format>
    <format dxfId="1444">
      <pivotArea dataOnly="0" labelOnly="1" outline="0" fieldPosition="0">
        <references count="1">
          <reference field="3" count="0"/>
        </references>
      </pivotArea>
    </format>
    <format dxfId="1443">
      <pivotArea type="all" dataOnly="0" outline="0" fieldPosition="0"/>
    </format>
    <format dxfId="1442">
      <pivotArea outline="0" collapsedLevelsAreSubtotals="1" fieldPosition="0"/>
    </format>
    <format dxfId="1441">
      <pivotArea dataOnly="0" labelOnly="1" outline="0" fieldPosition="0">
        <references count="1">
          <reference field="0" count="0"/>
        </references>
      </pivotArea>
    </format>
    <format dxfId="1440">
      <pivotArea dataOnly="0" labelOnly="1" grandRow="1" outline="0" fieldPosition="0"/>
    </format>
    <format dxfId="1439">
      <pivotArea dataOnly="0" labelOnly="1" outline="0" fieldPosition="0">
        <references count="1">
          <reference field="3" count="0"/>
        </references>
      </pivotArea>
    </format>
    <format dxfId="1438">
      <pivotArea type="all" dataOnly="0" outline="0" fieldPosition="0"/>
    </format>
    <format dxfId="1437">
      <pivotArea outline="0" collapsedLevelsAreSubtotals="1" fieldPosition="0"/>
    </format>
    <format dxfId="1436">
      <pivotArea dataOnly="0" labelOnly="1" grandRow="1" outline="0" fieldPosition="0"/>
    </format>
    <format dxfId="1435">
      <pivotArea dataOnly="0" labelOnly="1" outline="0" fieldPosition="0">
        <references count="1">
          <reference field="3" count="0"/>
        </references>
      </pivotArea>
    </format>
    <format dxfId="1434">
      <pivotArea type="all" dataOnly="0" outline="0" fieldPosition="0"/>
    </format>
    <format dxfId="1433">
      <pivotArea outline="0" collapsedLevelsAreSubtotals="1" fieldPosition="0"/>
    </format>
    <format dxfId="1432">
      <pivotArea dataOnly="0" labelOnly="1" grandRow="1" outline="0" fieldPosition="0"/>
    </format>
    <format dxfId="1431">
      <pivotArea dataOnly="0" labelOnly="1" outline="0" fieldPosition="0">
        <references count="1">
          <reference field="3" count="0"/>
        </references>
      </pivotArea>
    </format>
    <format dxfId="1430">
      <pivotArea type="all" dataOnly="0" outline="0" fieldPosition="0"/>
    </format>
    <format dxfId="1429">
      <pivotArea outline="0" collapsedLevelsAreSubtotals="1" fieldPosition="0"/>
    </format>
    <format dxfId="1428">
      <pivotArea dataOnly="0" labelOnly="1" grandRow="1" outline="0" fieldPosition="0"/>
    </format>
    <format dxfId="1427">
      <pivotArea dataOnly="0" labelOnly="1" outline="0" fieldPosition="0">
        <references count="1">
          <reference field="3" count="0"/>
        </references>
      </pivotArea>
    </format>
    <format dxfId="1426">
      <pivotArea type="all" dataOnly="0" outline="0" fieldPosition="0"/>
    </format>
    <format dxfId="1425">
      <pivotArea outline="0" collapsedLevelsAreSubtotals="1" fieldPosition="0"/>
    </format>
    <format dxfId="1424">
      <pivotArea dataOnly="0" labelOnly="1" grandRow="1" outline="0" fieldPosition="0"/>
    </format>
    <format dxfId="1423">
      <pivotArea dataOnly="0" labelOnly="1" outline="0" fieldPosition="0">
        <references count="1">
          <reference field="3" count="0"/>
        </references>
      </pivotArea>
    </format>
    <format dxfId="1422">
      <pivotArea type="all" dataOnly="0" outline="0" fieldPosition="0"/>
    </format>
    <format dxfId="1421">
      <pivotArea outline="0" collapsedLevelsAreSubtotals="1" fieldPosition="0"/>
    </format>
    <format dxfId="1420">
      <pivotArea dataOnly="0" labelOnly="1" grandRow="1" outline="0" fieldPosition="0"/>
    </format>
    <format dxfId="1419">
      <pivotArea dataOnly="0" labelOnly="1" outline="0" fieldPosition="0">
        <references count="1">
          <reference field="3" count="0"/>
        </references>
      </pivotArea>
    </format>
    <format dxfId="1418">
      <pivotArea type="all" dataOnly="0" outline="0" fieldPosition="0"/>
    </format>
    <format dxfId="1417">
      <pivotArea outline="0" collapsedLevelsAreSubtotals="1" fieldPosition="0"/>
    </format>
    <format dxfId="1416">
      <pivotArea dataOnly="0" labelOnly="1" grandRow="1" outline="0" fieldPosition="0"/>
    </format>
    <format dxfId="1415">
      <pivotArea dataOnly="0" labelOnly="1" outline="0" fieldPosition="0">
        <references count="1">
          <reference field="3" count="0"/>
        </references>
      </pivotArea>
    </format>
    <format dxfId="1414">
      <pivotArea type="all" dataOnly="0" outline="0" fieldPosition="0"/>
    </format>
    <format dxfId="1413">
      <pivotArea outline="0" collapsedLevelsAreSubtotals="1" fieldPosition="0"/>
    </format>
    <format dxfId="1412">
      <pivotArea dataOnly="0" labelOnly="1" outline="0" fieldPosition="0">
        <references count="1">
          <reference field="0" count="0"/>
        </references>
      </pivotArea>
    </format>
    <format dxfId="1411">
      <pivotArea dataOnly="0" labelOnly="1" grandRow="1" outline="0" fieldPosition="0"/>
    </format>
    <format dxfId="1410">
      <pivotArea dataOnly="0" labelOnly="1" outline="0" fieldPosition="0">
        <references count="1">
          <reference field="3" count="0"/>
        </references>
      </pivotArea>
    </format>
    <format dxfId="1409">
      <pivotArea type="all" dataOnly="0" outline="0" fieldPosition="0"/>
    </format>
    <format dxfId="1408">
      <pivotArea outline="0" collapsedLevelsAreSubtotals="1" fieldPosition="0"/>
    </format>
    <format dxfId="1407">
      <pivotArea dataOnly="0" labelOnly="1" outline="0" fieldPosition="0">
        <references count="1">
          <reference field="0" count="0"/>
        </references>
      </pivotArea>
    </format>
    <format dxfId="1406">
      <pivotArea dataOnly="0" labelOnly="1" grandRow="1" outline="0" fieldPosition="0"/>
    </format>
    <format dxfId="1405">
      <pivotArea dataOnly="0" labelOnly="1" outline="0" fieldPosition="0">
        <references count="1">
          <reference field="3" count="0"/>
        </references>
      </pivotArea>
    </format>
    <format dxfId="1404">
      <pivotArea type="origin" dataOnly="0" labelOnly="1" outline="0" fieldPosition="0"/>
    </format>
    <format dxfId="1403">
      <pivotArea type="all" dataOnly="0" outline="0" fieldPosition="0"/>
    </format>
    <format dxfId="1402">
      <pivotArea outline="0" collapsedLevelsAreSubtotals="1" fieldPosition="0"/>
    </format>
    <format dxfId="1401">
      <pivotArea dataOnly="0" labelOnly="1" grandRow="1" outline="0" fieldPosition="0"/>
    </format>
    <format dxfId="1400">
      <pivotArea dataOnly="0" labelOnly="1" outline="0" fieldPosition="0">
        <references count="1">
          <reference field="3" count="0"/>
        </references>
      </pivotArea>
    </format>
    <format dxfId="1399">
      <pivotArea type="all" dataOnly="0" outline="0" fieldPosition="0"/>
    </format>
    <format dxfId="1398">
      <pivotArea outline="0" collapsedLevelsAreSubtotals="1" fieldPosition="0"/>
    </format>
    <format dxfId="1397">
      <pivotArea dataOnly="0" labelOnly="1" grandRow="1" outline="0" fieldPosition="0"/>
    </format>
    <format dxfId="1396">
      <pivotArea dataOnly="0" labelOnly="1" outline="0" fieldPosition="0">
        <references count="1">
          <reference field="3" count="0"/>
        </references>
      </pivotArea>
    </format>
    <format dxfId="1395">
      <pivotArea type="all" dataOnly="0" outline="0" fieldPosition="0"/>
    </format>
    <format dxfId="1394">
      <pivotArea outline="0" collapsedLevelsAreSubtotals="1" fieldPosition="0"/>
    </format>
    <format dxfId="1393">
      <pivotArea dataOnly="0" labelOnly="1" grandRow="1" outline="0" fieldPosition="0"/>
    </format>
    <format dxfId="1392">
      <pivotArea dataOnly="0" labelOnly="1" outline="0" fieldPosition="0">
        <references count="1">
          <reference field="3" count="0"/>
        </references>
      </pivotArea>
    </format>
    <format dxfId="1391">
      <pivotArea type="all" dataOnly="0" outline="0" fieldPosition="0"/>
    </format>
    <format dxfId="1390">
      <pivotArea outline="0" collapsedLevelsAreSubtotals="1" fieldPosition="0"/>
    </format>
    <format dxfId="1389">
      <pivotArea dataOnly="0" labelOnly="1" grandRow="1" outline="0" fieldPosition="0"/>
    </format>
    <format dxfId="1388">
      <pivotArea dataOnly="0" labelOnly="1" outline="0" fieldPosition="0">
        <references count="1">
          <reference field="3" count="0"/>
        </references>
      </pivotArea>
    </format>
    <format dxfId="1387">
      <pivotArea type="all" dataOnly="0" outline="0" fieldPosition="0"/>
    </format>
    <format dxfId="1386">
      <pivotArea outline="0" collapsedLevelsAreSubtotals="1" fieldPosition="0"/>
    </format>
    <format dxfId="1385">
      <pivotArea dataOnly="0" labelOnly="1" grandRow="1" outline="0" fieldPosition="0"/>
    </format>
    <format dxfId="1384">
      <pivotArea dataOnly="0" labelOnly="1" outline="0" fieldPosition="0">
        <references count="1">
          <reference field="3" count="0"/>
        </references>
      </pivotArea>
    </format>
    <format dxfId="1383">
      <pivotArea outline="0" collapsedLevelsAreSubtotals="1" fieldPosition="0">
        <references count="1">
          <reference field="0" count="0" selected="0"/>
        </references>
      </pivotArea>
    </format>
    <format dxfId="1382">
      <pivotArea dataOnly="0" labelOnly="1" outline="0" fieldPosition="0">
        <references count="1">
          <reference field="0" count="0"/>
        </references>
      </pivotArea>
    </format>
    <format dxfId="1381">
      <pivotArea dataOnly="0" labelOnly="1" outline="0" offset="IV256" fieldPosition="0">
        <references count="1">
          <reference field="0" count="0"/>
        </references>
      </pivotArea>
    </format>
    <format dxfId="1380">
      <pivotArea type="all" dataOnly="0" outline="0" fieldPosition="0"/>
    </format>
    <format dxfId="1379">
      <pivotArea outline="0" collapsedLevelsAreSubtotals="1" fieldPosition="0"/>
    </format>
    <format dxfId="1378">
      <pivotArea dataOnly="0" labelOnly="1" outline="0" fieldPosition="0">
        <references count="1">
          <reference field="0" count="0"/>
        </references>
      </pivotArea>
    </format>
    <format dxfId="1377">
      <pivotArea dataOnly="0" labelOnly="1" grandRow="1" outline="0" fieldPosition="0"/>
    </format>
    <format dxfId="1376">
      <pivotArea dataOnly="0" labelOnly="1" outline="0" fieldPosition="0">
        <references count="1">
          <reference field="3" count="0"/>
        </references>
      </pivotArea>
    </format>
    <format dxfId="1375">
      <pivotArea outline="0" collapsedLevelsAreSubtotals="1" fieldPosition="0">
        <references count="1">
          <reference field="0" count="0" selected="0"/>
        </references>
      </pivotArea>
    </format>
    <format dxfId="1374">
      <pivotArea dataOnly="0" labelOnly="1" outline="0" fieldPosition="0">
        <references count="1">
          <reference field="0" count="0"/>
        </references>
      </pivotArea>
    </format>
    <format dxfId="1373">
      <pivotArea dataOnly="0" labelOnly="1" outline="0" offset="A256" fieldPosition="0">
        <references count="1">
          <reference field="0" count="0"/>
        </references>
      </pivotArea>
    </format>
    <format dxfId="1372">
      <pivotArea type="all" dataOnly="0" outline="0" fieldPosition="0"/>
    </format>
    <format dxfId="1371">
      <pivotArea outline="0" collapsedLevelsAreSubtotals="1" fieldPosition="0"/>
    </format>
    <format dxfId="1370">
      <pivotArea dataOnly="0" labelOnly="1" outline="0" fieldPosition="0">
        <references count="1">
          <reference field="0" count="0"/>
        </references>
      </pivotArea>
    </format>
    <format dxfId="1369">
      <pivotArea dataOnly="0" labelOnly="1" grandRow="1" outline="0" fieldPosition="0"/>
    </format>
    <format dxfId="1368">
      <pivotArea dataOnly="0" labelOnly="1" outline="0" fieldPosition="0">
        <references count="1">
          <reference field="3" count="0"/>
        </references>
      </pivotArea>
    </format>
    <format dxfId="1367">
      <pivotArea dataOnly="0" grandRow="1" outline="0" fieldPosition="0"/>
    </format>
    <format dxfId="1366">
      <pivotArea dataOnly="0" labelOnly="1" grandRow="1" outline="0" offset="A256" fieldPosition="0"/>
    </format>
    <format dxfId="1365">
      <pivotArea type="all" dataOnly="0" outline="0" fieldPosition="0"/>
    </format>
    <format dxfId="1364">
      <pivotArea outline="0" collapsedLevelsAreSubtotals="1" fieldPosition="0"/>
    </format>
    <format dxfId="1363">
      <pivotArea dataOnly="0" labelOnly="1" outline="0" fieldPosition="0">
        <references count="1">
          <reference field="0" count="0"/>
        </references>
      </pivotArea>
    </format>
    <format dxfId="1362">
      <pivotArea dataOnly="0" labelOnly="1" grandRow="1" outline="0" fieldPosition="0"/>
    </format>
    <format dxfId="1361">
      <pivotArea dataOnly="0" labelOnly="1" outline="0" fieldPosition="0">
        <references count="1">
          <reference field="3" count="0"/>
        </references>
      </pivotArea>
    </format>
    <format dxfId="1360">
      <pivotArea outline="0" collapsedLevelsAreSubtotals="1" fieldPosition="0">
        <references count="1">
          <reference field="0" count="0" selected="0"/>
        </references>
      </pivotArea>
    </format>
    <format dxfId="1359">
      <pivotArea dataOnly="0" labelOnly="1" outline="0" fieldPosition="0">
        <references count="1">
          <reference field="0" count="0"/>
        </references>
      </pivotArea>
    </format>
    <format dxfId="1358">
      <pivotArea dataOnly="0" labelOnly="1" outline="0" offset="IV256" fieldPosition="0">
        <references count="1">
          <reference field="0" count="0"/>
        </references>
      </pivotArea>
    </format>
    <format dxfId="1357">
      <pivotArea type="all" dataOnly="0" outline="0" fieldPosition="0"/>
    </format>
    <format dxfId="1356">
      <pivotArea outline="0" collapsedLevelsAreSubtotals="1" fieldPosition="0"/>
    </format>
    <format dxfId="1355">
      <pivotArea dataOnly="0" labelOnly="1" outline="0" fieldPosition="0">
        <references count="1">
          <reference field="0" count="0"/>
        </references>
      </pivotArea>
    </format>
    <format dxfId="1354">
      <pivotArea dataOnly="0" labelOnly="1" grandRow="1" outline="0" fieldPosition="0"/>
    </format>
    <format dxfId="1353">
      <pivotArea dataOnly="0" labelOnly="1" outline="0" fieldPosition="0">
        <references count="1">
          <reference field="3" count="0"/>
        </references>
      </pivotArea>
    </format>
    <format dxfId="1352">
      <pivotArea outline="0" collapsedLevelsAreSubtotals="1" fieldPosition="0">
        <references count="2">
          <reference field="0" count="0" selected="0"/>
          <reference field="1" count="0" selected="0"/>
        </references>
      </pivotArea>
    </format>
    <format dxfId="1351">
      <pivotArea dataOnly="0" labelOnly="1" outline="0" fieldPosition="0">
        <references count="1">
          <reference field="0" count="0"/>
        </references>
      </pivotArea>
    </format>
    <format dxfId="1350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1349">
      <pivotArea dataOnly="0" labelOnly="1" outline="0" fieldPosition="0">
        <references count="1">
          <reference field="0" count="0"/>
        </references>
      </pivotArea>
    </format>
    <format dxfId="1348">
      <pivotArea type="all" dataOnly="0" outline="0" fieldPosition="0"/>
    </format>
    <format dxfId="1347">
      <pivotArea outline="0" collapsedLevelsAreSubtotals="1" fieldPosition="0"/>
    </format>
    <format dxfId="1346">
      <pivotArea dataOnly="0" labelOnly="1" outline="0" fieldPosition="0">
        <references count="1">
          <reference field="0" count="0"/>
        </references>
      </pivotArea>
    </format>
    <format dxfId="1345">
      <pivotArea dataOnly="0" labelOnly="1" grandRow="1" outline="0" fieldPosition="0"/>
    </format>
    <format dxfId="1344">
      <pivotArea dataOnly="0" labelOnly="1" outline="0" fieldPosition="0">
        <references count="1">
          <reference field="3" count="0"/>
        </references>
      </pivotArea>
    </format>
    <format dxfId="1343">
      <pivotArea outline="0" collapsedLevelsAreSubtotals="1" fieldPosition="0">
        <references count="1">
          <reference field="0" count="0" selected="0"/>
        </references>
      </pivotArea>
    </format>
    <format dxfId="1342">
      <pivotArea dataOnly="0" labelOnly="1" outline="0" fieldPosition="0">
        <references count="1">
          <reference field="0" count="0"/>
        </references>
      </pivotArea>
    </format>
    <format dxfId="1341">
      <pivotArea dataOnly="0" labelOnly="1" outline="0" offset="A256" fieldPosition="0">
        <references count="1">
          <reference field="0" count="0"/>
        </references>
      </pivotArea>
    </format>
    <format dxfId="1340">
      <pivotArea type="all" dataOnly="0" outline="0" fieldPosition="0"/>
    </format>
    <format dxfId="1339">
      <pivotArea outline="0" collapsedLevelsAreSubtotals="1" fieldPosition="0"/>
    </format>
    <format dxfId="1338">
      <pivotArea dataOnly="0" labelOnly="1" outline="0" fieldPosition="0">
        <references count="1">
          <reference field="0" count="0"/>
        </references>
      </pivotArea>
    </format>
    <format dxfId="1337">
      <pivotArea dataOnly="0" labelOnly="1" grandRow="1" outline="0" fieldPosition="0"/>
    </format>
    <format dxfId="1336">
      <pivotArea dataOnly="0" labelOnly="1" outline="0" fieldPosition="0">
        <references count="1">
          <reference field="3" count="0"/>
        </references>
      </pivotArea>
    </format>
    <format dxfId="1335">
      <pivotArea type="all" dataOnly="0" outline="0" fieldPosition="0"/>
    </format>
    <format dxfId="1334">
      <pivotArea outline="0" collapsedLevelsAreSubtotals="1" fieldPosition="0"/>
    </format>
    <format dxfId="1333">
      <pivotArea dataOnly="0" labelOnly="1" grandRow="1" outline="0" fieldPosition="0"/>
    </format>
    <format dxfId="1332">
      <pivotArea dataOnly="0" labelOnly="1" outline="0" fieldPosition="0">
        <references count="1">
          <reference field="3" count="0"/>
        </references>
      </pivotArea>
    </format>
    <format dxfId="1331">
      <pivotArea type="all" dataOnly="0" outline="0" fieldPosition="0"/>
    </format>
    <format dxfId="1330">
      <pivotArea outline="0" collapsedLevelsAreSubtotals="1" fieldPosition="0"/>
    </format>
    <format dxfId="1329">
      <pivotArea dataOnly="0" labelOnly="1" grandRow="1" outline="0" fieldPosition="0"/>
    </format>
    <format dxfId="1328">
      <pivotArea dataOnly="0" labelOnly="1" outline="0" fieldPosition="0">
        <references count="1">
          <reference field="3" count="0"/>
        </references>
      </pivotArea>
    </format>
    <format dxfId="1327">
      <pivotArea type="all" dataOnly="0" outline="0" fieldPosition="0"/>
    </format>
    <format dxfId="1326">
      <pivotArea outline="0" collapsedLevelsAreSubtotals="1" fieldPosition="0"/>
    </format>
    <format dxfId="1325">
      <pivotArea dataOnly="0" labelOnly="1" grandRow="1" outline="0" fieldPosition="0"/>
    </format>
    <format dxfId="1324">
      <pivotArea dataOnly="0" labelOnly="1" outline="0" fieldPosition="0">
        <references count="1">
          <reference field="3" count="0"/>
        </references>
      </pivotArea>
    </format>
    <format dxfId="1323">
      <pivotArea type="all" dataOnly="0" outline="0" fieldPosition="0"/>
    </format>
    <format dxfId="1322">
      <pivotArea outline="0" collapsedLevelsAreSubtotals="1" fieldPosition="0"/>
    </format>
    <format dxfId="1321">
      <pivotArea dataOnly="0" labelOnly="1" grandRow="1" outline="0" fieldPosition="0"/>
    </format>
    <format dxfId="1320">
      <pivotArea dataOnly="0" labelOnly="1" outline="0" fieldPosition="0">
        <references count="1">
          <reference field="3" count="0"/>
        </references>
      </pivotArea>
    </format>
    <format dxfId="1319">
      <pivotArea type="all" dataOnly="0" outline="0" fieldPosition="0"/>
    </format>
    <format dxfId="1318">
      <pivotArea outline="0" collapsedLevelsAreSubtotals="1" fieldPosition="0"/>
    </format>
    <format dxfId="1317">
      <pivotArea dataOnly="0" labelOnly="1" grandRow="1" outline="0" fieldPosition="0"/>
    </format>
    <format dxfId="1316">
      <pivotArea dataOnly="0" labelOnly="1" outline="0" fieldPosition="0">
        <references count="1">
          <reference field="3" count="0"/>
        </references>
      </pivotArea>
    </format>
    <format dxfId="1315">
      <pivotArea type="all" dataOnly="0" outline="0" fieldPosition="0"/>
    </format>
    <format dxfId="1314">
      <pivotArea outline="0" collapsedLevelsAreSubtotals="1" fieldPosition="0"/>
    </format>
    <format dxfId="1313">
      <pivotArea dataOnly="0" labelOnly="1" grandRow="1" outline="0" fieldPosition="0"/>
    </format>
    <format dxfId="1312">
      <pivotArea dataOnly="0" labelOnly="1" outline="0" fieldPosition="0">
        <references count="1">
          <reference field="3" count="0"/>
        </references>
      </pivotArea>
    </format>
    <format dxfId="1311">
      <pivotArea type="all" dataOnly="0" outline="0" fieldPosition="0"/>
    </format>
    <format dxfId="1310">
      <pivotArea outline="0" collapsedLevelsAreSubtotals="1" fieldPosition="0"/>
    </format>
    <format dxfId="1309">
      <pivotArea dataOnly="0" labelOnly="1" grandRow="1" outline="0" fieldPosition="0"/>
    </format>
    <format dxfId="1308">
      <pivotArea dataOnly="0" labelOnly="1" outline="0" fieldPosition="0">
        <references count="1">
          <reference field="3" count="0"/>
        </references>
      </pivotArea>
    </format>
    <format dxfId="1307">
      <pivotArea type="all" dataOnly="0" outline="0" fieldPosition="0"/>
    </format>
    <format dxfId="1306">
      <pivotArea outline="0" collapsedLevelsAreSubtotals="1" fieldPosition="0"/>
    </format>
    <format dxfId="1305">
      <pivotArea dataOnly="0" labelOnly="1" grandRow="1" outline="0" fieldPosition="0"/>
    </format>
    <format dxfId="1304">
      <pivotArea dataOnly="0" labelOnly="1" outline="0" fieldPosition="0">
        <references count="1">
          <reference field="3" count="0"/>
        </references>
      </pivotArea>
    </format>
    <format dxfId="1303">
      <pivotArea type="all" dataOnly="0" outline="0" fieldPosition="0"/>
    </format>
    <format dxfId="1302">
      <pivotArea outline="0" collapsedLevelsAreSubtotals="1" fieldPosition="0"/>
    </format>
    <format dxfId="1301">
      <pivotArea dataOnly="0" labelOnly="1" grandRow="1" outline="0" fieldPosition="0"/>
    </format>
    <format dxfId="1300">
      <pivotArea dataOnly="0" labelOnly="1" outline="0" fieldPosition="0">
        <references count="1">
          <reference field="3" count="0"/>
        </references>
      </pivotArea>
    </format>
    <format dxfId="1299">
      <pivotArea type="all" dataOnly="0" outline="0" fieldPosition="0"/>
    </format>
    <format dxfId="1298">
      <pivotArea outline="0" collapsedLevelsAreSubtotals="1" fieldPosition="0"/>
    </format>
    <format dxfId="1297">
      <pivotArea dataOnly="0" labelOnly="1" grandRow="1" outline="0" fieldPosition="0"/>
    </format>
    <format dxfId="1296">
      <pivotArea dataOnly="0" labelOnly="1" outline="0" fieldPosition="0">
        <references count="1">
          <reference field="3" count="0"/>
        </references>
      </pivotArea>
    </format>
    <format dxfId="1295">
      <pivotArea type="all" dataOnly="0" outline="0" fieldPosition="0"/>
    </format>
    <format dxfId="1294">
      <pivotArea outline="0" collapsedLevelsAreSubtotals="1" fieldPosition="0"/>
    </format>
    <format dxfId="1293">
      <pivotArea dataOnly="0" labelOnly="1" grandRow="1" outline="0" fieldPosition="0"/>
    </format>
    <format dxfId="1292">
      <pivotArea dataOnly="0" labelOnly="1" outline="0" fieldPosition="0">
        <references count="1">
          <reference field="3" count="0"/>
        </references>
      </pivotArea>
    </format>
    <format dxfId="1291">
      <pivotArea type="all" dataOnly="0" outline="0" fieldPosition="0"/>
    </format>
    <format dxfId="1290">
      <pivotArea outline="0" collapsedLevelsAreSubtotals="1" fieldPosition="0"/>
    </format>
    <format dxfId="1289">
      <pivotArea dataOnly="0" labelOnly="1" grandRow="1" outline="0" fieldPosition="0"/>
    </format>
    <format dxfId="1288">
      <pivotArea dataOnly="0" labelOnly="1" outline="0" fieldPosition="0">
        <references count="1">
          <reference field="3" count="0"/>
        </references>
      </pivotArea>
    </format>
    <format dxfId="1287">
      <pivotArea type="all" dataOnly="0" outline="0" fieldPosition="0"/>
    </format>
    <format dxfId="1286">
      <pivotArea outline="0" collapsedLevelsAreSubtotals="1" fieldPosition="0"/>
    </format>
    <format dxfId="1285">
      <pivotArea dataOnly="0" labelOnly="1" grandRow="1" outline="0" fieldPosition="0"/>
    </format>
    <format dxfId="1284">
      <pivotArea dataOnly="0" labelOnly="1" outline="0" fieldPosition="0">
        <references count="1">
          <reference field="3" count="0"/>
        </references>
      </pivotArea>
    </format>
    <format dxfId="1283">
      <pivotArea type="all" dataOnly="0" outline="0" fieldPosition="0"/>
    </format>
    <format dxfId="1282">
      <pivotArea outline="0" collapsedLevelsAreSubtotals="1" fieldPosition="0"/>
    </format>
    <format dxfId="1281">
      <pivotArea dataOnly="0" labelOnly="1" grandRow="1" outline="0" fieldPosition="0"/>
    </format>
    <format dxfId="1280">
      <pivotArea dataOnly="0" labelOnly="1" outline="0" fieldPosition="0">
        <references count="1">
          <reference field="3" count="0"/>
        </references>
      </pivotArea>
    </format>
    <format dxfId="1279">
      <pivotArea type="all" dataOnly="0" outline="0" fieldPosition="0"/>
    </format>
    <format dxfId="1278">
      <pivotArea outline="0" collapsedLevelsAreSubtotals="1" fieldPosition="0"/>
    </format>
    <format dxfId="1277">
      <pivotArea dataOnly="0" labelOnly="1" grandRow="1" outline="0" fieldPosition="0"/>
    </format>
    <format dxfId="1276">
      <pivotArea dataOnly="0" labelOnly="1" outline="0" fieldPosition="0">
        <references count="1">
          <reference field="3" count="0"/>
        </references>
      </pivotArea>
    </format>
    <format dxfId="1275">
      <pivotArea type="all" dataOnly="0" outline="0" fieldPosition="0"/>
    </format>
    <format dxfId="1274">
      <pivotArea outline="0" collapsedLevelsAreSubtotals="1" fieldPosition="0"/>
    </format>
    <format dxfId="1273">
      <pivotArea dataOnly="0" labelOnly="1" grandRow="1" outline="0" fieldPosition="0"/>
    </format>
    <format dxfId="1272">
      <pivotArea dataOnly="0" labelOnly="1" outline="0" fieldPosition="0">
        <references count="1">
          <reference field="3" count="0"/>
        </references>
      </pivotArea>
    </format>
    <format dxfId="1271">
      <pivotArea type="all" dataOnly="0" outline="0" fieldPosition="0"/>
    </format>
    <format dxfId="1270">
      <pivotArea outline="0" collapsedLevelsAreSubtotals="1" fieldPosition="0"/>
    </format>
    <format dxfId="1269">
      <pivotArea dataOnly="0" labelOnly="1" grandRow="1" outline="0" fieldPosition="0"/>
    </format>
    <format dxfId="1268">
      <pivotArea dataOnly="0" labelOnly="1" outline="0" fieldPosition="0">
        <references count="1">
          <reference field="3" count="0"/>
        </references>
      </pivotArea>
    </format>
    <format dxfId="1267">
      <pivotArea type="all" dataOnly="0" outline="0" fieldPosition="0"/>
    </format>
    <format dxfId="1266">
      <pivotArea outline="0" collapsedLevelsAreSubtotals="1" fieldPosition="0"/>
    </format>
    <format dxfId="1265">
      <pivotArea dataOnly="0" labelOnly="1" grandRow="1" outline="0" fieldPosition="0"/>
    </format>
    <format dxfId="1264">
      <pivotArea dataOnly="0" labelOnly="1" outline="0" fieldPosition="0">
        <references count="1">
          <reference field="3" count="0"/>
        </references>
      </pivotArea>
    </format>
    <format dxfId="1263">
      <pivotArea type="all" dataOnly="0" outline="0" fieldPosition="0"/>
    </format>
    <format dxfId="1262">
      <pivotArea outline="0" collapsedLevelsAreSubtotals="1" fieldPosition="0"/>
    </format>
    <format dxfId="1261">
      <pivotArea dataOnly="0" labelOnly="1" grandRow="1" outline="0" fieldPosition="0"/>
    </format>
    <format dxfId="1260">
      <pivotArea dataOnly="0" labelOnly="1" outline="0" fieldPosition="0">
        <references count="1">
          <reference field="3" count="0"/>
        </references>
      </pivotArea>
    </format>
    <format dxfId="1259">
      <pivotArea type="all" dataOnly="0" outline="0" fieldPosition="0"/>
    </format>
    <format dxfId="1258">
      <pivotArea outline="0" collapsedLevelsAreSubtotals="1" fieldPosition="0"/>
    </format>
    <format dxfId="1257">
      <pivotArea dataOnly="0" labelOnly="1" grandRow="1" outline="0" fieldPosition="0"/>
    </format>
    <format dxfId="1256">
      <pivotArea dataOnly="0" labelOnly="1" outline="0" fieldPosition="0">
        <references count="1">
          <reference field="3" count="0"/>
        </references>
      </pivotArea>
    </format>
    <format dxfId="1255">
      <pivotArea type="all" dataOnly="0" outline="0" fieldPosition="0"/>
    </format>
    <format dxfId="1254">
      <pivotArea outline="0" collapsedLevelsAreSubtotals="1" fieldPosition="0"/>
    </format>
    <format dxfId="1253">
      <pivotArea dataOnly="0" labelOnly="1" grandRow="1" outline="0" fieldPosition="0"/>
    </format>
    <format dxfId="1252">
      <pivotArea dataOnly="0" labelOnly="1" outline="0" fieldPosition="0">
        <references count="1">
          <reference field="3" count="0"/>
        </references>
      </pivotArea>
    </format>
    <format dxfId="1251">
      <pivotArea type="all" dataOnly="0" outline="0" fieldPosition="0"/>
    </format>
    <format dxfId="1250">
      <pivotArea outline="0" collapsedLevelsAreSubtotals="1" fieldPosition="0"/>
    </format>
    <format dxfId="1249">
      <pivotArea dataOnly="0" labelOnly="1" grandRow="1" outline="0" fieldPosition="0"/>
    </format>
    <format dxfId="1248">
      <pivotArea dataOnly="0" labelOnly="1" outline="0" fieldPosition="0">
        <references count="1">
          <reference field="3" count="0"/>
        </references>
      </pivotArea>
    </format>
    <format dxfId="1247">
      <pivotArea type="all" dataOnly="0" outline="0" fieldPosition="0"/>
    </format>
    <format dxfId="1246">
      <pivotArea outline="0" collapsedLevelsAreSubtotals="1" fieldPosition="0"/>
    </format>
    <format dxfId="1245">
      <pivotArea dataOnly="0" labelOnly="1" grandRow="1" outline="0" fieldPosition="0"/>
    </format>
    <format dxfId="1244">
      <pivotArea dataOnly="0" labelOnly="1" outline="0" fieldPosition="0">
        <references count="1">
          <reference field="3" count="0"/>
        </references>
      </pivotArea>
    </format>
    <format dxfId="1243">
      <pivotArea type="all" dataOnly="0" outline="0" fieldPosition="0"/>
    </format>
    <format dxfId="1242">
      <pivotArea outline="0" collapsedLevelsAreSubtotals="1" fieldPosition="0"/>
    </format>
    <format dxfId="1241">
      <pivotArea dataOnly="0" labelOnly="1" grandRow="1" outline="0" fieldPosition="0"/>
    </format>
    <format dxfId="1240">
      <pivotArea dataOnly="0" labelOnly="1" outline="0" fieldPosition="0">
        <references count="1">
          <reference field="3" count="0"/>
        </references>
      </pivotArea>
    </format>
    <format dxfId="1239">
      <pivotArea type="all" dataOnly="0" outline="0" fieldPosition="0"/>
    </format>
    <format dxfId="1238">
      <pivotArea outline="0" collapsedLevelsAreSubtotals="1" fieldPosition="0"/>
    </format>
    <format dxfId="1237">
      <pivotArea dataOnly="0" labelOnly="1" grandRow="1" outline="0" fieldPosition="0"/>
    </format>
    <format dxfId="1236">
      <pivotArea dataOnly="0" labelOnly="1" outline="0" fieldPosition="0">
        <references count="1">
          <reference field="3" count="0"/>
        </references>
      </pivotArea>
    </format>
    <format dxfId="1235">
      <pivotArea type="all" dataOnly="0" outline="0" fieldPosition="0"/>
    </format>
    <format dxfId="1234">
      <pivotArea outline="0" collapsedLevelsAreSubtotals="1" fieldPosition="0"/>
    </format>
    <format dxfId="1233">
      <pivotArea dataOnly="0" labelOnly="1" grandRow="1" outline="0" fieldPosition="0"/>
    </format>
    <format dxfId="1232">
      <pivotArea dataOnly="0" labelOnly="1" outline="0" fieldPosition="0">
        <references count="1">
          <reference field="3" count="0"/>
        </references>
      </pivotArea>
    </format>
    <format dxfId="1231">
      <pivotArea type="all" dataOnly="0" outline="0" fieldPosition="0"/>
    </format>
    <format dxfId="1230">
      <pivotArea outline="0" collapsedLevelsAreSubtotals="1" fieldPosition="0"/>
    </format>
    <format dxfId="1229">
      <pivotArea dataOnly="0" labelOnly="1" grandRow="1" outline="0" fieldPosition="0"/>
    </format>
    <format dxfId="1228">
      <pivotArea dataOnly="0" labelOnly="1" outline="0" fieldPosition="0">
        <references count="1">
          <reference field="3" count="0"/>
        </references>
      </pivotArea>
    </format>
    <format dxfId="1227">
      <pivotArea type="all" dataOnly="0" outline="0" fieldPosition="0"/>
    </format>
    <format dxfId="1226">
      <pivotArea outline="0" collapsedLevelsAreSubtotals="1" fieldPosition="0"/>
    </format>
    <format dxfId="1225">
      <pivotArea dataOnly="0" labelOnly="1" grandRow="1" outline="0" fieldPosition="0"/>
    </format>
    <format dxfId="1224">
      <pivotArea dataOnly="0" labelOnly="1" outline="0" fieldPosition="0">
        <references count="1">
          <reference field="3" count="0"/>
        </references>
      </pivotArea>
    </format>
    <format dxfId="1223">
      <pivotArea type="all" dataOnly="0" outline="0" fieldPosition="0"/>
    </format>
    <format dxfId="1222">
      <pivotArea outline="0" collapsedLevelsAreSubtotals="1" fieldPosition="0"/>
    </format>
    <format dxfId="1221">
      <pivotArea dataOnly="0" labelOnly="1" grandRow="1" outline="0" fieldPosition="0"/>
    </format>
    <format dxfId="1220">
      <pivotArea dataOnly="0" labelOnly="1" outline="0" fieldPosition="0">
        <references count="1">
          <reference field="3" count="0"/>
        </references>
      </pivotArea>
    </format>
    <format dxfId="1219">
      <pivotArea type="all" dataOnly="0" outline="0" fieldPosition="0"/>
    </format>
    <format dxfId="1218">
      <pivotArea outline="0" collapsedLevelsAreSubtotals="1" fieldPosition="0"/>
    </format>
    <format dxfId="1217">
      <pivotArea dataOnly="0" labelOnly="1" grandRow="1" outline="0" fieldPosition="0"/>
    </format>
    <format dxfId="1216">
      <pivotArea dataOnly="0" labelOnly="1" outline="0" fieldPosition="0">
        <references count="1">
          <reference field="3" count="0"/>
        </references>
      </pivotArea>
    </format>
    <format dxfId="1215">
      <pivotArea type="all" dataOnly="0" outline="0" fieldPosition="0"/>
    </format>
    <format dxfId="1214">
      <pivotArea outline="0" collapsedLevelsAreSubtotals="1" fieldPosition="0"/>
    </format>
    <format dxfId="1213">
      <pivotArea dataOnly="0" labelOnly="1" grandRow="1" outline="0" fieldPosition="0"/>
    </format>
    <format dxfId="1212">
      <pivotArea dataOnly="0" labelOnly="1" outline="0" fieldPosition="0">
        <references count="1">
          <reference field="3" count="0"/>
        </references>
      </pivotArea>
    </format>
    <format dxfId="1211">
      <pivotArea type="all" dataOnly="0" outline="0" fieldPosition="0"/>
    </format>
    <format dxfId="1210">
      <pivotArea outline="0" collapsedLevelsAreSubtotals="1" fieldPosition="0"/>
    </format>
    <format dxfId="1209">
      <pivotArea dataOnly="0" labelOnly="1" grandRow="1" outline="0" fieldPosition="0"/>
    </format>
    <format dxfId="1208">
      <pivotArea dataOnly="0" labelOnly="1" outline="0" fieldPosition="0">
        <references count="1">
          <reference field="3" count="0"/>
        </references>
      </pivotArea>
    </format>
    <format dxfId="1207">
      <pivotArea type="all" dataOnly="0" outline="0" fieldPosition="0"/>
    </format>
    <format dxfId="1206">
      <pivotArea outline="0" collapsedLevelsAreSubtotals="1" fieldPosition="0"/>
    </format>
    <format dxfId="1205">
      <pivotArea dataOnly="0" labelOnly="1" grandRow="1" outline="0" fieldPosition="0"/>
    </format>
    <format dxfId="1204">
      <pivotArea dataOnly="0" labelOnly="1" outline="0" fieldPosition="0">
        <references count="1">
          <reference field="3" count="0"/>
        </references>
      </pivotArea>
    </format>
    <format dxfId="1203">
      <pivotArea type="all" dataOnly="0" outline="0" fieldPosition="0"/>
    </format>
    <format dxfId="1202">
      <pivotArea outline="0" collapsedLevelsAreSubtotals="1" fieldPosition="0"/>
    </format>
    <format dxfId="1201">
      <pivotArea dataOnly="0" labelOnly="1" grandRow="1" outline="0" fieldPosition="0"/>
    </format>
    <format dxfId="1200">
      <pivotArea dataOnly="0" labelOnly="1" outline="0" fieldPosition="0">
        <references count="1">
          <reference field="3" count="0"/>
        </references>
      </pivotArea>
    </format>
    <format dxfId="1199">
      <pivotArea type="all" dataOnly="0" outline="0" fieldPosition="0"/>
    </format>
    <format dxfId="1198">
      <pivotArea outline="0" collapsedLevelsAreSubtotals="1" fieldPosition="0"/>
    </format>
    <format dxfId="1197">
      <pivotArea dataOnly="0" labelOnly="1" grandRow="1" outline="0" fieldPosition="0"/>
    </format>
    <format dxfId="1196">
      <pivotArea dataOnly="0" labelOnly="1" outline="0" fieldPosition="0">
        <references count="1">
          <reference field="3" count="0"/>
        </references>
      </pivotArea>
    </format>
    <format dxfId="1195">
      <pivotArea type="all" dataOnly="0" outline="0" fieldPosition="0"/>
    </format>
    <format dxfId="1194">
      <pivotArea outline="0" collapsedLevelsAreSubtotals="1" fieldPosition="0"/>
    </format>
    <format dxfId="1193">
      <pivotArea dataOnly="0" labelOnly="1" grandRow="1" outline="0" fieldPosition="0"/>
    </format>
    <format dxfId="1192">
      <pivotArea dataOnly="0" labelOnly="1" outline="0" fieldPosition="0">
        <references count="1">
          <reference field="3" count="0"/>
        </references>
      </pivotArea>
    </format>
    <format dxfId="1191">
      <pivotArea type="all" dataOnly="0" outline="0" fieldPosition="0"/>
    </format>
    <format dxfId="1190">
      <pivotArea outline="0" collapsedLevelsAreSubtotals="1" fieldPosition="0"/>
    </format>
    <format dxfId="1189">
      <pivotArea dataOnly="0" labelOnly="1" grandRow="1" outline="0" fieldPosition="0"/>
    </format>
    <format dxfId="1188">
      <pivotArea dataOnly="0" labelOnly="1" outline="0" fieldPosition="0">
        <references count="1">
          <reference field="3" count="0"/>
        </references>
      </pivotArea>
    </format>
    <format dxfId="1187">
      <pivotArea type="all" dataOnly="0" outline="0" fieldPosition="0"/>
    </format>
    <format dxfId="1186">
      <pivotArea outline="0" collapsedLevelsAreSubtotals="1" fieldPosition="0"/>
    </format>
    <format dxfId="1185">
      <pivotArea dataOnly="0" labelOnly="1" grandRow="1" outline="0" fieldPosition="0"/>
    </format>
    <format dxfId="1184">
      <pivotArea dataOnly="0" labelOnly="1" outline="0" fieldPosition="0">
        <references count="1">
          <reference field="3" count="0"/>
        </references>
      </pivotArea>
    </format>
    <format dxfId="1183">
      <pivotArea type="all" dataOnly="0" outline="0" fieldPosition="0"/>
    </format>
    <format dxfId="1182">
      <pivotArea outline="0" collapsedLevelsAreSubtotals="1" fieldPosition="0"/>
    </format>
    <format dxfId="1181">
      <pivotArea dataOnly="0" labelOnly="1" grandRow="1" outline="0" fieldPosition="0"/>
    </format>
    <format dxfId="1180">
      <pivotArea dataOnly="0" labelOnly="1" outline="0" fieldPosition="0">
        <references count="1">
          <reference field="3" count="0"/>
        </references>
      </pivotArea>
    </format>
    <format dxfId="1179">
      <pivotArea type="all" dataOnly="0" outline="0" fieldPosition="0"/>
    </format>
    <format dxfId="1178">
      <pivotArea outline="0" collapsedLevelsAreSubtotals="1" fieldPosition="0"/>
    </format>
    <format dxfId="1177">
      <pivotArea dataOnly="0" labelOnly="1" grandRow="1" outline="0" fieldPosition="0"/>
    </format>
    <format dxfId="1176">
      <pivotArea dataOnly="0" labelOnly="1" outline="0" fieldPosition="0">
        <references count="1">
          <reference field="3" count="0"/>
        </references>
      </pivotArea>
    </format>
    <format dxfId="1175">
      <pivotArea type="all" dataOnly="0" outline="0" fieldPosition="0"/>
    </format>
    <format dxfId="1174">
      <pivotArea outline="0" collapsedLevelsAreSubtotals="1" fieldPosition="0"/>
    </format>
    <format dxfId="1173">
      <pivotArea dataOnly="0" labelOnly="1" grandRow="1" outline="0" fieldPosition="0"/>
    </format>
    <format dxfId="1172">
      <pivotArea dataOnly="0" labelOnly="1" outline="0" fieldPosition="0">
        <references count="1">
          <reference field="3" count="0"/>
        </references>
      </pivotArea>
    </format>
    <format dxfId="1171">
      <pivotArea type="all" dataOnly="0" outline="0" fieldPosition="0"/>
    </format>
    <format dxfId="1170">
      <pivotArea outline="0" collapsedLevelsAreSubtotals="1" fieldPosition="0"/>
    </format>
    <format dxfId="1169">
      <pivotArea dataOnly="0" labelOnly="1" grandRow="1" outline="0" fieldPosition="0"/>
    </format>
    <format dxfId="1168">
      <pivotArea dataOnly="0" labelOnly="1" outline="0" fieldPosition="0">
        <references count="1">
          <reference field="3" count="0"/>
        </references>
      </pivotArea>
    </format>
    <format dxfId="1167">
      <pivotArea type="all" dataOnly="0" outline="0" fieldPosition="0"/>
    </format>
    <format dxfId="1166">
      <pivotArea outline="0" collapsedLevelsAreSubtotals="1" fieldPosition="0"/>
    </format>
    <format dxfId="1165">
      <pivotArea dataOnly="0" labelOnly="1" grandRow="1" outline="0" fieldPosition="0"/>
    </format>
    <format dxfId="1164">
      <pivotArea dataOnly="0" labelOnly="1" outline="0" fieldPosition="0">
        <references count="1">
          <reference field="3" count="0"/>
        </references>
      </pivotArea>
    </format>
    <format dxfId="1163">
      <pivotArea type="all" dataOnly="0" outline="0" fieldPosition="0"/>
    </format>
    <format dxfId="1162">
      <pivotArea outline="0" collapsedLevelsAreSubtotals="1" fieldPosition="0"/>
    </format>
    <format dxfId="1161">
      <pivotArea dataOnly="0" labelOnly="1" grandRow="1" outline="0" fieldPosition="0"/>
    </format>
    <format dxfId="1160">
      <pivotArea dataOnly="0" labelOnly="1" outline="0" fieldPosition="0">
        <references count="1">
          <reference field="3" count="0"/>
        </references>
      </pivotArea>
    </format>
    <format dxfId="1159">
      <pivotArea type="all" dataOnly="0" outline="0" fieldPosition="0"/>
    </format>
    <format dxfId="1158">
      <pivotArea outline="0" collapsedLevelsAreSubtotals="1" fieldPosition="0"/>
    </format>
    <format dxfId="1157">
      <pivotArea dataOnly="0" labelOnly="1" grandRow="1" outline="0" fieldPosition="0"/>
    </format>
    <format dxfId="1156">
      <pivotArea dataOnly="0" labelOnly="1" outline="0" fieldPosition="0">
        <references count="1">
          <reference field="3" count="0"/>
        </references>
      </pivotArea>
    </format>
    <format dxfId="1155">
      <pivotArea type="all" dataOnly="0" outline="0" fieldPosition="0"/>
    </format>
    <format dxfId="1154">
      <pivotArea outline="0" collapsedLevelsAreSubtotals="1" fieldPosition="0"/>
    </format>
    <format dxfId="1153">
      <pivotArea dataOnly="0" labelOnly="1" grandRow="1" outline="0" fieldPosition="0"/>
    </format>
    <format dxfId="1152">
      <pivotArea dataOnly="0" labelOnly="1" outline="0" fieldPosition="0">
        <references count="1">
          <reference field="3" count="0"/>
        </references>
      </pivotArea>
    </format>
    <format dxfId="1151">
      <pivotArea type="all" dataOnly="0" outline="0" fieldPosition="0"/>
    </format>
    <format dxfId="1150">
      <pivotArea outline="0" collapsedLevelsAreSubtotals="1" fieldPosition="0"/>
    </format>
    <format dxfId="1149">
      <pivotArea dataOnly="0" labelOnly="1" grandRow="1" outline="0" fieldPosition="0"/>
    </format>
    <format dxfId="1148">
      <pivotArea dataOnly="0" labelOnly="1" outline="0" fieldPosition="0">
        <references count="1">
          <reference field="3" count="0"/>
        </references>
      </pivotArea>
    </format>
    <format dxfId="1147">
      <pivotArea type="all" dataOnly="0" outline="0" fieldPosition="0"/>
    </format>
    <format dxfId="1146">
      <pivotArea outline="0" collapsedLevelsAreSubtotals="1" fieldPosition="0"/>
    </format>
    <format dxfId="1145">
      <pivotArea dataOnly="0" labelOnly="1" grandRow="1" outline="0" fieldPosition="0"/>
    </format>
    <format dxfId="1144">
      <pivotArea dataOnly="0" labelOnly="1" outline="0" fieldPosition="0">
        <references count="1">
          <reference field="3" count="0"/>
        </references>
      </pivotArea>
    </format>
    <format dxfId="1143">
      <pivotArea type="all" dataOnly="0" outline="0" fieldPosition="0"/>
    </format>
    <format dxfId="1142">
      <pivotArea outline="0" collapsedLevelsAreSubtotals="1" fieldPosition="0"/>
    </format>
    <format dxfId="1141">
      <pivotArea dataOnly="0" labelOnly="1" grandRow="1" outline="0" fieldPosition="0"/>
    </format>
    <format dxfId="1140">
      <pivotArea dataOnly="0" labelOnly="1" outline="0" fieldPosition="0">
        <references count="1">
          <reference field="3" count="0"/>
        </references>
      </pivotArea>
    </format>
    <format dxfId="1139">
      <pivotArea type="all" dataOnly="0" outline="0" fieldPosition="0"/>
    </format>
    <format dxfId="1138">
      <pivotArea outline="0" collapsedLevelsAreSubtotals="1" fieldPosition="0"/>
    </format>
    <format dxfId="1137">
      <pivotArea dataOnly="0" labelOnly="1" grandRow="1" outline="0" fieldPosition="0"/>
    </format>
    <format dxfId="1136">
      <pivotArea dataOnly="0" labelOnly="1" outline="0" fieldPosition="0">
        <references count="1">
          <reference field="3" count="0"/>
        </references>
      </pivotArea>
    </format>
    <format dxfId="1135">
      <pivotArea type="all" dataOnly="0" outline="0" fieldPosition="0"/>
    </format>
    <format dxfId="1134">
      <pivotArea outline="0" collapsedLevelsAreSubtotals="1" fieldPosition="0"/>
    </format>
    <format dxfId="1133">
      <pivotArea dataOnly="0" labelOnly="1" grandRow="1" outline="0" fieldPosition="0"/>
    </format>
    <format dxfId="1132">
      <pivotArea dataOnly="0" labelOnly="1" outline="0" fieldPosition="0">
        <references count="1">
          <reference field="3" count="0"/>
        </references>
      </pivotArea>
    </format>
    <format dxfId="1131">
      <pivotArea type="all" dataOnly="0" outline="0" fieldPosition="0"/>
    </format>
    <format dxfId="1130">
      <pivotArea outline="0" collapsedLevelsAreSubtotals="1" fieldPosition="0"/>
    </format>
    <format dxfId="1129">
      <pivotArea dataOnly="0" labelOnly="1" grandRow="1" outline="0" fieldPosition="0"/>
    </format>
    <format dxfId="1128">
      <pivotArea dataOnly="0" labelOnly="1" outline="0" fieldPosition="0">
        <references count="1">
          <reference field="3" count="0"/>
        </references>
      </pivotArea>
    </format>
    <format dxfId="1127">
      <pivotArea type="all" dataOnly="0" outline="0" fieldPosition="0"/>
    </format>
    <format dxfId="1126">
      <pivotArea outline="0" collapsedLevelsAreSubtotals="1" fieldPosition="0"/>
    </format>
    <format dxfId="1125">
      <pivotArea dataOnly="0" labelOnly="1" grandRow="1" outline="0" fieldPosition="0"/>
    </format>
    <format dxfId="1124">
      <pivotArea dataOnly="0" labelOnly="1" outline="0" fieldPosition="0">
        <references count="1">
          <reference field="3" count="0"/>
        </references>
      </pivotArea>
    </format>
    <format dxfId="1123">
      <pivotArea type="all" dataOnly="0" outline="0" fieldPosition="0"/>
    </format>
    <format dxfId="1122">
      <pivotArea outline="0" collapsedLevelsAreSubtotals="1" fieldPosition="0"/>
    </format>
    <format dxfId="1121">
      <pivotArea dataOnly="0" labelOnly="1" grandRow="1" outline="0" fieldPosition="0"/>
    </format>
    <format dxfId="1120">
      <pivotArea dataOnly="0" labelOnly="1" outline="0" fieldPosition="0">
        <references count="1">
          <reference field="3" count="0"/>
        </references>
      </pivotArea>
    </format>
    <format dxfId="1119">
      <pivotArea type="all" dataOnly="0" outline="0" fieldPosition="0"/>
    </format>
    <format dxfId="1118">
      <pivotArea outline="0" collapsedLevelsAreSubtotals="1" fieldPosition="0"/>
    </format>
    <format dxfId="1117">
      <pivotArea dataOnly="0" labelOnly="1" grandRow="1" outline="0" fieldPosition="0"/>
    </format>
    <format dxfId="1116">
      <pivotArea dataOnly="0" labelOnly="1" outline="0" fieldPosition="0">
        <references count="1">
          <reference field="3" count="0"/>
        </references>
      </pivotArea>
    </format>
    <format dxfId="1115">
      <pivotArea type="all" dataOnly="0" outline="0" fieldPosition="0"/>
    </format>
    <format dxfId="1114">
      <pivotArea outline="0" collapsedLevelsAreSubtotals="1" fieldPosition="0"/>
    </format>
    <format dxfId="1113">
      <pivotArea dataOnly="0" labelOnly="1" grandRow="1" outline="0" fieldPosition="0"/>
    </format>
    <format dxfId="1112">
      <pivotArea dataOnly="0" labelOnly="1" outline="0" fieldPosition="0">
        <references count="1">
          <reference field="3" count="0"/>
        </references>
      </pivotArea>
    </format>
    <format dxfId="1111">
      <pivotArea type="all" dataOnly="0" outline="0" fieldPosition="0"/>
    </format>
    <format dxfId="1110">
      <pivotArea outline="0" collapsedLevelsAreSubtotals="1" fieldPosition="0"/>
    </format>
    <format dxfId="1109">
      <pivotArea dataOnly="0" labelOnly="1" grandRow="1" outline="0" fieldPosition="0"/>
    </format>
    <format dxfId="1108">
      <pivotArea dataOnly="0" labelOnly="1" outline="0" fieldPosition="0">
        <references count="1">
          <reference field="3" count="0"/>
        </references>
      </pivotArea>
    </format>
    <format dxfId="1107">
      <pivotArea type="all" dataOnly="0" outline="0" fieldPosition="0"/>
    </format>
    <format dxfId="1106">
      <pivotArea outline="0" collapsedLevelsAreSubtotals="1" fieldPosition="0"/>
    </format>
    <format dxfId="1105">
      <pivotArea dataOnly="0" labelOnly="1" grandRow="1" outline="0" fieldPosition="0"/>
    </format>
    <format dxfId="1104">
      <pivotArea dataOnly="0" labelOnly="1" outline="0" fieldPosition="0">
        <references count="1">
          <reference field="3" count="0"/>
        </references>
      </pivotArea>
    </format>
    <format dxfId="1103">
      <pivotArea type="all" dataOnly="0" outline="0" fieldPosition="0"/>
    </format>
    <format dxfId="1102">
      <pivotArea outline="0" collapsedLevelsAreSubtotals="1" fieldPosition="0"/>
    </format>
    <format dxfId="1101">
      <pivotArea dataOnly="0" labelOnly="1" grandRow="1" outline="0" fieldPosition="0"/>
    </format>
    <format dxfId="1100">
      <pivotArea dataOnly="0" labelOnly="1" outline="0" fieldPosition="0">
        <references count="1">
          <reference field="3" count="0"/>
        </references>
      </pivotArea>
    </format>
    <format dxfId="1099">
      <pivotArea type="all" dataOnly="0" outline="0" fieldPosition="0"/>
    </format>
    <format dxfId="1098">
      <pivotArea outline="0" collapsedLevelsAreSubtotals="1" fieldPosition="0"/>
    </format>
    <format dxfId="1097">
      <pivotArea dataOnly="0" labelOnly="1" grandRow="1" outline="0" fieldPosition="0"/>
    </format>
    <format dxfId="1096">
      <pivotArea dataOnly="0" labelOnly="1" outline="0" fieldPosition="0">
        <references count="1">
          <reference field="3" count="0"/>
        </references>
      </pivotArea>
    </format>
    <format dxfId="1095">
      <pivotArea type="all" dataOnly="0" outline="0" fieldPosition="0"/>
    </format>
    <format dxfId="1094">
      <pivotArea outline="0" collapsedLevelsAreSubtotals="1" fieldPosition="0"/>
    </format>
    <format dxfId="1093">
      <pivotArea dataOnly="0" labelOnly="1" grandRow="1" outline="0" fieldPosition="0"/>
    </format>
    <format dxfId="1092">
      <pivotArea dataOnly="0" labelOnly="1" outline="0" fieldPosition="0">
        <references count="1">
          <reference field="3" count="0"/>
        </references>
      </pivotArea>
    </format>
    <format dxfId="1091">
      <pivotArea type="all" dataOnly="0" outline="0" fieldPosition="0"/>
    </format>
    <format dxfId="1090">
      <pivotArea outline="0" collapsedLevelsAreSubtotals="1" fieldPosition="0"/>
    </format>
    <format dxfId="1089">
      <pivotArea dataOnly="0" labelOnly="1" grandRow="1" outline="0" fieldPosition="0"/>
    </format>
    <format dxfId="1088">
      <pivotArea dataOnly="0" labelOnly="1" outline="0" fieldPosition="0">
        <references count="1">
          <reference field="3" count="0"/>
        </references>
      </pivotArea>
    </format>
    <format dxfId="1087">
      <pivotArea type="all" dataOnly="0" outline="0" fieldPosition="0"/>
    </format>
    <format dxfId="1086">
      <pivotArea outline="0" collapsedLevelsAreSubtotals="1" fieldPosition="0"/>
    </format>
    <format dxfId="1085">
      <pivotArea dataOnly="0" labelOnly="1" grandRow="1" outline="0" fieldPosition="0"/>
    </format>
    <format dxfId="1084">
      <pivotArea dataOnly="0" labelOnly="1" outline="0" fieldPosition="0">
        <references count="1">
          <reference field="3" count="0"/>
        </references>
      </pivotArea>
    </format>
    <format dxfId="1083">
      <pivotArea type="all" dataOnly="0" outline="0" fieldPosition="0"/>
    </format>
    <format dxfId="1082">
      <pivotArea outline="0" collapsedLevelsAreSubtotals="1" fieldPosition="0"/>
    </format>
    <format dxfId="1081">
      <pivotArea dataOnly="0" labelOnly="1" grandRow="1" outline="0" fieldPosition="0"/>
    </format>
    <format dxfId="1080">
      <pivotArea dataOnly="0" labelOnly="1" outline="0" fieldPosition="0">
        <references count="1">
          <reference field="3" count="0"/>
        </references>
      </pivotArea>
    </format>
    <format dxfId="1079">
      <pivotArea type="all" dataOnly="0" outline="0" fieldPosition="0"/>
    </format>
    <format dxfId="1078">
      <pivotArea outline="0" collapsedLevelsAreSubtotals="1" fieldPosition="0"/>
    </format>
    <format dxfId="1077">
      <pivotArea dataOnly="0" labelOnly="1" grandRow="1" outline="0" fieldPosition="0"/>
    </format>
    <format dxfId="1076">
      <pivotArea dataOnly="0" labelOnly="1" outline="0" fieldPosition="0">
        <references count="1">
          <reference field="3" count="0"/>
        </references>
      </pivotArea>
    </format>
    <format dxfId="1075">
      <pivotArea type="all" dataOnly="0" outline="0" fieldPosition="0"/>
    </format>
    <format dxfId="1074">
      <pivotArea outline="0" collapsedLevelsAreSubtotals="1" fieldPosition="0"/>
    </format>
    <format dxfId="1073">
      <pivotArea dataOnly="0" labelOnly="1" grandRow="1" outline="0" fieldPosition="0"/>
    </format>
    <format dxfId="1072">
      <pivotArea dataOnly="0" labelOnly="1" outline="0" fieldPosition="0">
        <references count="1">
          <reference field="3" count="0"/>
        </references>
      </pivotArea>
    </format>
    <format dxfId="1071">
      <pivotArea type="all" dataOnly="0" outline="0" fieldPosition="0"/>
    </format>
    <format dxfId="1070">
      <pivotArea outline="0" collapsedLevelsAreSubtotals="1" fieldPosition="0"/>
    </format>
    <format dxfId="1069">
      <pivotArea dataOnly="0" labelOnly="1" grandRow="1" outline="0" fieldPosition="0"/>
    </format>
    <format dxfId="1068">
      <pivotArea dataOnly="0" labelOnly="1" outline="0" fieldPosition="0">
        <references count="1">
          <reference field="3" count="0"/>
        </references>
      </pivotArea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dataOnly="0" labelOnly="1" grandRow="1" outline="0" fieldPosition="0"/>
    </format>
    <format dxfId="1064">
      <pivotArea dataOnly="0" labelOnly="1" outline="0" fieldPosition="0">
        <references count="1">
          <reference field="3" count="0"/>
        </references>
      </pivotArea>
    </format>
    <format dxfId="1063">
      <pivotArea type="all" dataOnly="0" outline="0" fieldPosition="0"/>
    </format>
    <format dxfId="1062">
      <pivotArea outline="0" collapsedLevelsAreSubtotals="1" fieldPosition="0"/>
    </format>
    <format dxfId="1061">
      <pivotArea dataOnly="0" labelOnly="1" grandRow="1" outline="0" fieldPosition="0"/>
    </format>
    <format dxfId="1060">
      <pivotArea dataOnly="0" labelOnly="1" outline="0" fieldPosition="0">
        <references count="1">
          <reference field="3" count="0"/>
        </references>
      </pivotArea>
    </format>
    <format dxfId="1059">
      <pivotArea type="all" dataOnly="0" outline="0" fieldPosition="0"/>
    </format>
    <format dxfId="1058">
      <pivotArea outline="0" collapsedLevelsAreSubtotals="1" fieldPosition="0"/>
    </format>
    <format dxfId="1057">
      <pivotArea dataOnly="0" labelOnly="1" grandRow="1" outline="0" fieldPosition="0"/>
    </format>
    <format dxfId="1056">
      <pivotArea dataOnly="0" labelOnly="1" outline="0" fieldPosition="0">
        <references count="1">
          <reference field="3" count="0"/>
        </references>
      </pivotArea>
    </format>
    <format dxfId="1055">
      <pivotArea type="all" dataOnly="0" outline="0" fieldPosition="0"/>
    </format>
    <format dxfId="1054">
      <pivotArea outline="0" collapsedLevelsAreSubtotals="1" fieldPosition="0"/>
    </format>
    <format dxfId="1053">
      <pivotArea dataOnly="0" labelOnly="1" grandRow="1" outline="0" fieldPosition="0"/>
    </format>
    <format dxfId="1052">
      <pivotArea dataOnly="0" labelOnly="1" outline="0" fieldPosition="0">
        <references count="1">
          <reference field="3" count="0"/>
        </references>
      </pivotArea>
    </format>
    <format dxfId="1051">
      <pivotArea type="all" dataOnly="0" outline="0" fieldPosition="0"/>
    </format>
    <format dxfId="1050">
      <pivotArea outline="0" collapsedLevelsAreSubtotals="1" fieldPosition="0"/>
    </format>
    <format dxfId="1049">
      <pivotArea dataOnly="0" labelOnly="1" grandRow="1" outline="0" fieldPosition="0"/>
    </format>
    <format dxfId="1048">
      <pivotArea dataOnly="0" labelOnly="1" outline="0" fieldPosition="0">
        <references count="1">
          <reference field="3" count="0"/>
        </references>
      </pivotArea>
    </format>
    <format dxfId="1047">
      <pivotArea grandRow="1" outline="0" collapsedLevelsAreSubtotals="1" fieldPosition="0"/>
    </format>
    <format dxfId="1046">
      <pivotArea dataOnly="0" labelOnly="1" grandRow="1" outline="0" fieldPosition="0"/>
    </format>
    <format dxfId="1045">
      <pivotArea field="3" grandRow="1" outline="0" collapsedLevelsAreSubtotals="1" axis="axisCol" fieldPosition="0">
        <references count="1">
          <reference field="3" count="1" selected="0">
            <x v="1"/>
          </reference>
        </references>
      </pivotArea>
    </format>
    <format dxfId="1044">
      <pivotArea type="all" dataOnly="0" outline="0" fieldPosition="0"/>
    </format>
    <format dxfId="1043">
      <pivotArea outline="0" collapsedLevelsAreSubtotals="1" fieldPosition="0"/>
    </format>
    <format dxfId="1042">
      <pivotArea dataOnly="0" labelOnly="1" grandRow="1" outline="0" fieldPosition="0"/>
    </format>
    <format dxfId="1041">
      <pivotArea dataOnly="0" labelOnly="1" outline="0" fieldPosition="0">
        <references count="1">
          <reference field="3" count="0"/>
        </references>
      </pivotArea>
    </format>
    <format dxfId="1040">
      <pivotArea grandRow="1" outline="0" collapsedLevelsAreSubtotals="1" fieldPosition="0"/>
    </format>
    <format dxfId="1039">
      <pivotArea dataOnly="0" labelOnly="1" grandRow="1" outline="0" fieldPosition="0"/>
    </format>
    <format dxfId="1038">
      <pivotArea field="3" grandRow="1" outline="0" collapsedLevelsAreSubtotals="1" axis="axisCol" fieldPosition="0">
        <references count="1">
          <reference field="3" count="1" selected="0">
            <x v="2"/>
          </reference>
        </references>
      </pivotArea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dataOnly="0" labelOnly="1" grandRow="1" outline="0" fieldPosition="0"/>
    </format>
    <format dxfId="1034">
      <pivotArea dataOnly="0" labelOnly="1" outline="0" fieldPosition="0">
        <references count="1">
          <reference field="3" count="0"/>
        </references>
      </pivotArea>
    </format>
    <format dxfId="1033">
      <pivotArea grandRow="1" outline="0" collapsedLevelsAreSubtotals="1" fieldPosition="0"/>
    </format>
    <format dxfId="1032">
      <pivotArea dataOnly="0" labelOnly="1" grandRow="1" outline="0" fieldPosition="0"/>
    </format>
    <format dxfId="1031">
      <pivotArea field="3" grandRow="1" outline="0" collapsedLevelsAreSubtotals="1" axis="axisCol" fieldPosition="0">
        <references count="1">
          <reference field="3" count="1" selected="0">
            <x v="3"/>
          </reference>
        </references>
      </pivotArea>
    </format>
    <format dxfId="1030">
      <pivotArea type="all" dataOnly="0" outline="0" fieldPosition="0"/>
    </format>
    <format dxfId="1029">
      <pivotArea outline="0" collapsedLevelsAreSubtotals="1" fieldPosition="0"/>
    </format>
    <format dxfId="1028">
      <pivotArea dataOnly="0" labelOnly="1" grandRow="1" outline="0" fieldPosition="0"/>
    </format>
    <format dxfId="1027">
      <pivotArea dataOnly="0" labelOnly="1" outline="0" fieldPosition="0">
        <references count="1">
          <reference field="3" count="0"/>
        </references>
      </pivotArea>
    </format>
    <format dxfId="1026">
      <pivotArea grandRow="1" outline="0" collapsedLevelsAreSubtotals="1" fieldPosition="0"/>
    </format>
    <format dxfId="1025">
      <pivotArea dataOnly="0" labelOnly="1" grandRow="1" outline="0" fieldPosition="0"/>
    </format>
    <format dxfId="1024">
      <pivotArea field="3" grandRow="1" outline="0" collapsedLevelsAreSubtotals="1" axis="axisCol" fieldPosition="0">
        <references count="1">
          <reference field="3" count="1" selected="0">
            <x v="4"/>
          </reference>
        </references>
      </pivotArea>
    </format>
    <format dxfId="1023">
      <pivotArea type="all" dataOnly="0" outline="0" fieldPosition="0"/>
    </format>
    <format dxfId="1022">
      <pivotArea outline="0" collapsedLevelsAreSubtotals="1" fieldPosition="0"/>
    </format>
    <format dxfId="1021">
      <pivotArea dataOnly="0" labelOnly="1" grandRow="1" outline="0" fieldPosition="0"/>
    </format>
    <format dxfId="1020">
      <pivotArea dataOnly="0" labelOnly="1" outline="0" fieldPosition="0">
        <references count="1">
          <reference field="3" count="0"/>
        </references>
      </pivotArea>
    </format>
    <format dxfId="1019">
      <pivotArea grandRow="1" outline="0" collapsedLevelsAreSubtotals="1" fieldPosition="0"/>
    </format>
    <format dxfId="1018">
      <pivotArea dataOnly="0" labelOnly="1" grandRow="1" outline="0" fieldPosition="0"/>
    </format>
    <format dxfId="1017">
      <pivotArea type="all" dataOnly="0" outline="0" fieldPosition="0"/>
    </format>
    <format dxfId="1016">
      <pivotArea outline="0" collapsedLevelsAreSubtotals="1" fieldPosition="0"/>
    </format>
    <format dxfId="1015">
      <pivotArea dataOnly="0" labelOnly="1" grandRow="1" outline="0" fieldPosition="0"/>
    </format>
    <format dxfId="1014">
      <pivotArea dataOnly="0" labelOnly="1" outline="0" fieldPosition="0">
        <references count="1">
          <reference field="3" count="0"/>
        </references>
      </pivotArea>
    </format>
    <format dxfId="1013">
      <pivotArea grandRow="1" outline="0" collapsedLevelsAreSubtotals="1" fieldPosition="0"/>
    </format>
    <format dxfId="1012">
      <pivotArea dataOnly="0" labelOnly="1" grandRow="1" outline="0" fieldPosition="0"/>
    </format>
    <format dxfId="1011">
      <pivotArea field="3" grandRow="1" outline="0" collapsedLevelsAreSubtotals="1" axis="axisCol" fieldPosition="0">
        <references count="1">
          <reference field="3" count="1" selected="0">
            <x v="5"/>
          </reference>
        </references>
      </pivotArea>
    </format>
    <format dxfId="1010">
      <pivotArea type="all" dataOnly="0" outline="0" fieldPosition="0"/>
    </format>
    <format dxfId="1009">
      <pivotArea outline="0" collapsedLevelsAreSubtotals="1" fieldPosition="0"/>
    </format>
    <format dxfId="1008">
      <pivotArea dataOnly="0" labelOnly="1" grandRow="1" outline="0" fieldPosition="0"/>
    </format>
    <format dxfId="1007">
      <pivotArea dataOnly="0" labelOnly="1" outline="0" fieldPosition="0">
        <references count="1">
          <reference field="3" count="0"/>
        </references>
      </pivotArea>
    </format>
    <format dxfId="1006">
      <pivotArea grandRow="1" outline="0" collapsedLevelsAreSubtotals="1" fieldPosition="0"/>
    </format>
    <format dxfId="1005">
      <pivotArea dataOnly="0" labelOnly="1" grandRow="1" outline="0" fieldPosition="0"/>
    </format>
    <format dxfId="1004">
      <pivotArea field="3" grandRow="1" outline="0" collapsedLevelsAreSubtotals="1" axis="axisCol" fieldPosition="0">
        <references count="1">
          <reference field="3" count="1" selected="0">
            <x v="6"/>
          </reference>
        </references>
      </pivotArea>
    </format>
    <format dxfId="1003">
      <pivotArea type="all" dataOnly="0" outline="0" fieldPosition="0"/>
    </format>
    <format dxfId="1002">
      <pivotArea outline="0" collapsedLevelsAreSubtotals="1" fieldPosition="0"/>
    </format>
    <format dxfId="1001">
      <pivotArea dataOnly="0" labelOnly="1" grandRow="1" outline="0" fieldPosition="0"/>
    </format>
    <format dxfId="1000">
      <pivotArea dataOnly="0" labelOnly="1" outline="0" fieldPosition="0">
        <references count="1">
          <reference field="3" count="0"/>
        </references>
      </pivotArea>
    </format>
    <format dxfId="999">
      <pivotArea dataOnly="0" labelOnly="1" outline="0" offset="IV1" fieldPosition="0">
        <references count="1">
          <reference field="0" count="0"/>
        </references>
      </pivotArea>
    </format>
    <format dxfId="998">
      <pivotArea dataOnly="0" labelOnly="1" outline="0" offset="IV1" fieldPosition="0">
        <references count="1">
          <reference field="0" count="0"/>
        </references>
      </pivotArea>
    </format>
    <format dxfId="997">
      <pivotArea type="all" dataOnly="0" outline="0" fieldPosition="0"/>
    </format>
    <format dxfId="996">
      <pivotArea outline="0" collapsedLevelsAreSubtotals="1" fieldPosition="0"/>
    </format>
    <format dxfId="995">
      <pivotArea dataOnly="0" labelOnly="1" grandRow="1" outline="0" fieldPosition="0"/>
    </format>
    <format dxfId="994">
      <pivotArea dataOnly="0" labelOnly="1" outline="0" fieldPosition="0">
        <references count="1">
          <reference field="3" count="0"/>
        </references>
      </pivotArea>
    </format>
    <format dxfId="993">
      <pivotArea type="all" dataOnly="0" outline="0" fieldPosition="0"/>
    </format>
    <format dxfId="992">
      <pivotArea outline="0" collapsedLevelsAreSubtotals="1" fieldPosition="0"/>
    </format>
    <format dxfId="991">
      <pivotArea dataOnly="0" labelOnly="1" grandRow="1" outline="0" fieldPosition="0"/>
    </format>
    <format dxfId="990">
      <pivotArea dataOnly="0" labelOnly="1" outline="0" fieldPosition="0">
        <references count="1">
          <reference field="3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ПериодСводная" cacheId="5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 rowHeaderCaption="Соц. Работник" colHeaderCaption=" 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2" baseItem="0"/>
  </dataFields>
  <formats count="485">
    <format dxfId="962">
      <pivotArea dataOnly="0" labelOnly="1" grandCol="1" outline="0" fieldPosition="0"/>
    </format>
    <format dxfId="961">
      <pivotArea dataOnly="0" labelOnly="1" grandCol="1" outline="0" fieldPosition="0"/>
    </format>
    <format dxfId="960">
      <pivotArea type="origin" dataOnly="0" labelOnly="1" outline="0" fieldPosition="0"/>
    </format>
    <format dxfId="959">
      <pivotArea field="0" type="button" dataOnly="0" labelOnly="1" outline="0" axis="axisRow" fieldPosition="0"/>
    </format>
    <format dxfId="958">
      <pivotArea dataOnly="0" labelOnly="1" fieldPosition="0">
        <references count="1">
          <reference field="2" count="0"/>
        </references>
      </pivotArea>
    </format>
    <format dxfId="957">
      <pivotArea dataOnly="0" labelOnly="1" grandCol="1" outline="0" fieldPosition="0"/>
    </format>
    <format dxfId="956">
      <pivotArea dataOnly="0" labelOnly="1" fieldPosition="0">
        <references count="1">
          <reference field="2" count="3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5"/>
            <x v="36"/>
            <x v="37"/>
          </reference>
        </references>
      </pivotArea>
    </format>
    <format dxfId="955">
      <pivotArea dataOnly="0" labelOnly="1" grandCol="1" outline="0" fieldPosition="0"/>
    </format>
    <format dxfId="954">
      <pivotArea field="0" type="button" dataOnly="0" labelOnly="1" outline="0" axis="axisRow" fieldPosition="0"/>
    </format>
    <format dxfId="953">
      <pivotArea field="0" type="button" dataOnly="0" labelOnly="1" outline="0" axis="axisRow" fieldPosition="0"/>
    </format>
    <format dxfId="952">
      <pivotArea dataOnly="0" labelOnly="1" fieldPosition="0">
        <references count="1">
          <reference field="2" count="1">
            <x v="34"/>
          </reference>
        </references>
      </pivotArea>
    </format>
    <format dxfId="951">
      <pivotArea dataOnly="0" labelOnly="1" fieldPosition="0">
        <references count="1">
          <reference field="2" count="0"/>
        </references>
      </pivotArea>
    </format>
    <format dxfId="950">
      <pivotArea dataOnly="0" labelOnly="1" fieldPosition="0">
        <references count="1">
          <reference field="2" count="0"/>
        </references>
      </pivotArea>
    </format>
    <format dxfId="949">
      <pivotArea field="1" type="button" dataOnly="0" labelOnly="1" outline="0" axis="axisRow" fieldPosition="1"/>
    </format>
    <format dxfId="948">
      <pivotArea field="1" type="button" dataOnly="0" labelOnly="1" outline="0" axis="axisRow" fieldPosition="1"/>
    </format>
    <format dxfId="947">
      <pivotArea dataOnly="0" labelOnly="1" outline="0" fieldPosition="0">
        <references count="1">
          <reference field="2" count="1">
            <x v="1"/>
          </reference>
        </references>
      </pivotArea>
    </format>
    <format dxfId="946">
      <pivotArea dataOnly="0" labelOnly="1" outline="0" fieldPosition="0">
        <references count="1">
          <reference field="2" count="1">
            <x v="1"/>
          </reference>
        </references>
      </pivotArea>
    </format>
    <format dxfId="945">
      <pivotArea dataOnly="0" labelOnly="1" outline="0" fieldPosition="0">
        <references count="1">
          <reference field="2" count="3">
            <x v="0"/>
            <x v="1"/>
            <x v="2"/>
          </reference>
        </references>
      </pivotArea>
    </format>
    <format dxfId="944">
      <pivotArea type="all" dataOnly="0" outline="0" fieldPosition="0"/>
    </format>
    <format dxfId="943">
      <pivotArea outline="0" collapsedLevelsAreSubtotals="1" fieldPosition="0"/>
    </format>
    <format dxfId="942">
      <pivotArea dataOnly="0" labelOnly="1" grandRow="1" outline="0" fieldPosition="0"/>
    </format>
    <format dxfId="941">
      <pivotArea dataOnly="0" labelOnly="1" outline="0" fieldPosition="0">
        <references count="1">
          <reference field="2" count="0"/>
        </references>
      </pivotArea>
    </format>
    <format dxfId="940">
      <pivotArea type="all" dataOnly="0" outline="0" fieldPosition="0"/>
    </format>
    <format dxfId="939">
      <pivotArea outline="0" collapsedLevelsAreSubtotals="1" fieldPosition="0"/>
    </format>
    <format dxfId="938">
      <pivotArea dataOnly="0" labelOnly="1" grandRow="1" outline="0" fieldPosition="0"/>
    </format>
    <format dxfId="937">
      <pivotArea dataOnly="0" labelOnly="1" outline="0" fieldPosition="0">
        <references count="1">
          <reference field="2" count="0"/>
        </references>
      </pivotArea>
    </format>
    <format dxfId="936">
      <pivotArea dataOnly="0" labelOnly="1" outline="0" fieldPosition="0">
        <references count="1">
          <reference field="2" count="35"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</reference>
        </references>
      </pivotArea>
    </format>
    <format dxfId="935">
      <pivotArea type="all" dataOnly="0" outline="0" fieldPosition="0"/>
    </format>
    <format dxfId="934">
      <pivotArea outline="0" collapsedLevelsAreSubtotals="1" fieldPosition="0"/>
    </format>
    <format dxfId="933">
      <pivotArea dataOnly="0" labelOnly="1" grandRow="1" outline="0" fieldPosition="0"/>
    </format>
    <format dxfId="932">
      <pivotArea dataOnly="0" labelOnly="1" outline="0" fieldPosition="0">
        <references count="1">
          <reference field="2" count="0"/>
        </references>
      </pivotArea>
    </format>
    <format dxfId="931">
      <pivotArea type="all" dataOnly="0" outline="0" fieldPosition="0"/>
    </format>
    <format dxfId="930">
      <pivotArea outline="0" collapsedLevelsAreSubtotals="1" fieldPosition="0"/>
    </format>
    <format dxfId="929">
      <pivotArea dataOnly="0" labelOnly="1" grandRow="1" outline="0" fieldPosition="0"/>
    </format>
    <format dxfId="928">
      <pivotArea dataOnly="0" labelOnly="1" outline="0" fieldPosition="0">
        <references count="1">
          <reference field="2" count="0"/>
        </references>
      </pivotArea>
    </format>
    <format dxfId="927">
      <pivotArea type="all" dataOnly="0" outline="0" fieldPosition="0"/>
    </format>
    <format dxfId="926">
      <pivotArea outline="0" collapsedLevelsAreSubtotals="1" fieldPosition="0"/>
    </format>
    <format dxfId="925">
      <pivotArea dataOnly="0" labelOnly="1" grandRow="1" outline="0" fieldPosition="0"/>
    </format>
    <format dxfId="924">
      <pivotArea dataOnly="0" labelOnly="1" outline="0" fieldPosition="0">
        <references count="1">
          <reference field="2" count="0"/>
        </references>
      </pivotArea>
    </format>
    <format dxfId="923">
      <pivotArea grandRow="1" outline="0" collapsedLevelsAreSubtotals="1" fieldPosition="0"/>
    </format>
    <format dxfId="922">
      <pivotArea dataOnly="0" labelOnly="1" grandRow="1" outline="0" fieldPosition="0"/>
    </format>
    <format dxfId="921">
      <pivotArea field="2" grandRow="1" outline="0" collapsedLevelsAreSubtotals="1" axis="axisCol" fieldPosition="0">
        <references count="1">
          <reference field="2" count="1" selected="0">
            <x v="1"/>
          </reference>
        </references>
      </pivotArea>
    </format>
    <format dxfId="920">
      <pivotArea type="all" dataOnly="0" outline="0" fieldPosition="0"/>
    </format>
    <format dxfId="919">
      <pivotArea outline="0" collapsedLevelsAreSubtotals="1" fieldPosition="0"/>
    </format>
    <format dxfId="918">
      <pivotArea dataOnly="0" labelOnly="1" grandRow="1" outline="0" fieldPosition="0"/>
    </format>
    <format dxfId="917">
      <pivotArea dataOnly="0" labelOnly="1" outline="0" fieldPosition="0">
        <references count="1">
          <reference field="2" count="0"/>
        </references>
      </pivotArea>
    </format>
    <format dxfId="916">
      <pivotArea type="all" dataOnly="0" outline="0" fieldPosition="0"/>
    </format>
    <format dxfId="915">
      <pivotArea outline="0" collapsedLevelsAreSubtotals="1" fieldPosition="0"/>
    </format>
    <format dxfId="914">
      <pivotArea dataOnly="0" labelOnly="1" grandRow="1" outline="0" fieldPosition="0"/>
    </format>
    <format dxfId="913">
      <pivotArea dataOnly="0" labelOnly="1" outline="0" fieldPosition="0">
        <references count="1">
          <reference field="2" count="0"/>
        </references>
      </pivotArea>
    </format>
    <format dxfId="912">
      <pivotArea type="all" dataOnly="0" outline="0" fieldPosition="0"/>
    </format>
    <format dxfId="911">
      <pivotArea outline="0" collapsedLevelsAreSubtotals="1" fieldPosition="0"/>
    </format>
    <format dxfId="910">
      <pivotArea dataOnly="0" labelOnly="1" grandRow="1" outline="0" fieldPosition="0"/>
    </format>
    <format dxfId="909">
      <pivotArea dataOnly="0" labelOnly="1" outline="0" fieldPosition="0">
        <references count="1">
          <reference field="2" count="0"/>
        </references>
      </pivotArea>
    </format>
    <format dxfId="908">
      <pivotArea type="all" dataOnly="0" outline="0" fieldPosition="0"/>
    </format>
    <format dxfId="907">
      <pivotArea outline="0" collapsedLevelsAreSubtotals="1" fieldPosition="0"/>
    </format>
    <format dxfId="906">
      <pivotArea dataOnly="0" labelOnly="1" grandRow="1" outline="0" fieldPosition="0"/>
    </format>
    <format dxfId="905">
      <pivotArea dataOnly="0" labelOnly="1" outline="0" fieldPosition="0">
        <references count="1">
          <reference field="2" count="0"/>
        </references>
      </pivotArea>
    </format>
    <format dxfId="904">
      <pivotArea type="all" dataOnly="0" outline="0" fieldPosition="0"/>
    </format>
    <format dxfId="903">
      <pivotArea outline="0" collapsedLevelsAreSubtotals="1" fieldPosition="0"/>
    </format>
    <format dxfId="902">
      <pivotArea dataOnly="0" labelOnly="1" grandRow="1" outline="0" fieldPosition="0"/>
    </format>
    <format dxfId="901">
      <pivotArea dataOnly="0" labelOnly="1" outline="0" fieldPosition="0">
        <references count="1">
          <reference field="2" count="0"/>
        </references>
      </pivotArea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dataOnly="0" labelOnly="1" grandRow="1" outline="0" fieldPosition="0"/>
    </format>
    <format dxfId="897">
      <pivotArea dataOnly="0" labelOnly="1" outline="0" fieldPosition="0">
        <references count="1">
          <reference field="2" count="0"/>
        </references>
      </pivotArea>
    </format>
    <format dxfId="896">
      <pivotArea type="all" dataOnly="0" outline="0" fieldPosition="0"/>
    </format>
    <format dxfId="895">
      <pivotArea outline="0" collapsedLevelsAreSubtotals="1" fieldPosition="0"/>
    </format>
    <format dxfId="894">
      <pivotArea dataOnly="0" labelOnly="1" grandRow="1" outline="0" fieldPosition="0"/>
    </format>
    <format dxfId="893">
      <pivotArea dataOnly="0" labelOnly="1" outline="0" fieldPosition="0">
        <references count="1">
          <reference field="2" count="0"/>
        </references>
      </pivotArea>
    </format>
    <format dxfId="892">
      <pivotArea type="all" dataOnly="0" outline="0" fieldPosition="0"/>
    </format>
    <format dxfId="891">
      <pivotArea outline="0" collapsedLevelsAreSubtotals="1" fieldPosition="0"/>
    </format>
    <format dxfId="890">
      <pivotArea dataOnly="0" labelOnly="1" grandRow="1" outline="0" fieldPosition="0"/>
    </format>
    <format dxfId="889">
      <pivotArea dataOnly="0" labelOnly="1" outline="0" fieldPosition="0">
        <references count="1">
          <reference field="2" count="0"/>
        </references>
      </pivotArea>
    </format>
    <format dxfId="888">
      <pivotArea type="all" dataOnly="0" outline="0" fieldPosition="0"/>
    </format>
    <format dxfId="887">
      <pivotArea outline="0" collapsedLevelsAreSubtotals="1" fieldPosition="0"/>
    </format>
    <format dxfId="886">
      <pivotArea dataOnly="0" labelOnly="1" grandRow="1" outline="0" fieldPosition="0"/>
    </format>
    <format dxfId="885">
      <pivotArea dataOnly="0" labelOnly="1" outline="0" fieldPosition="0">
        <references count="1">
          <reference field="2" count="0"/>
        </references>
      </pivotArea>
    </format>
    <format dxfId="884">
      <pivotArea type="all" dataOnly="0" outline="0" fieldPosition="0"/>
    </format>
    <format dxfId="883">
      <pivotArea outline="0" collapsedLevelsAreSubtotals="1" fieldPosition="0"/>
    </format>
    <format dxfId="882">
      <pivotArea dataOnly="0" labelOnly="1" grandRow="1" outline="0" fieldPosition="0"/>
    </format>
    <format dxfId="881">
      <pivotArea dataOnly="0" labelOnly="1" outline="0" fieldPosition="0">
        <references count="1">
          <reference field="2" count="0"/>
        </references>
      </pivotArea>
    </format>
    <format dxfId="880">
      <pivotArea type="all" dataOnly="0" outline="0" fieldPosition="0"/>
    </format>
    <format dxfId="879">
      <pivotArea outline="0" collapsedLevelsAreSubtotals="1" fieldPosition="0"/>
    </format>
    <format dxfId="878">
      <pivotArea dataOnly="0" labelOnly="1" grandRow="1" outline="0" fieldPosition="0"/>
    </format>
    <format dxfId="877">
      <pivotArea dataOnly="0" labelOnly="1" outline="0" fieldPosition="0">
        <references count="1">
          <reference field="2" count="0"/>
        </references>
      </pivotArea>
    </format>
    <format dxfId="876">
      <pivotArea type="all" dataOnly="0" outline="0" fieldPosition="0"/>
    </format>
    <format dxfId="875">
      <pivotArea outline="0" collapsedLevelsAreSubtotals="1" fieldPosition="0"/>
    </format>
    <format dxfId="874">
      <pivotArea dataOnly="0" labelOnly="1" grandRow="1" outline="0" fieldPosition="0"/>
    </format>
    <format dxfId="873">
      <pivotArea dataOnly="0" labelOnly="1" outline="0" fieldPosition="0">
        <references count="1">
          <reference field="2" count="0"/>
        </references>
      </pivotArea>
    </format>
    <format dxfId="872">
      <pivotArea type="all" dataOnly="0" outline="0" fieldPosition="0"/>
    </format>
    <format dxfId="871">
      <pivotArea outline="0" collapsedLevelsAreSubtotals="1" fieldPosition="0"/>
    </format>
    <format dxfId="870">
      <pivotArea dataOnly="0" labelOnly="1" grandRow="1" outline="0" fieldPosition="0"/>
    </format>
    <format dxfId="869">
      <pivotArea dataOnly="0" labelOnly="1" outline="0" fieldPosition="0">
        <references count="1">
          <reference field="2" count="0"/>
        </references>
      </pivotArea>
    </format>
    <format dxfId="868">
      <pivotArea type="all" dataOnly="0" outline="0" fieldPosition="0"/>
    </format>
    <format dxfId="867">
      <pivotArea outline="0" collapsedLevelsAreSubtotals="1" fieldPosition="0"/>
    </format>
    <format dxfId="866">
      <pivotArea dataOnly="0" labelOnly="1" grandRow="1" outline="0" fieldPosition="0"/>
    </format>
    <format dxfId="865">
      <pivotArea dataOnly="0" labelOnly="1" outline="0" fieldPosition="0">
        <references count="1">
          <reference field="2" count="0"/>
        </references>
      </pivotArea>
    </format>
    <format dxfId="864">
      <pivotArea type="all" dataOnly="0" outline="0" fieldPosition="0"/>
    </format>
    <format dxfId="863">
      <pivotArea outline="0" collapsedLevelsAreSubtotals="1" fieldPosition="0"/>
    </format>
    <format dxfId="862">
      <pivotArea dataOnly="0" labelOnly="1" grandRow="1" outline="0" fieldPosition="0"/>
    </format>
    <format dxfId="861">
      <pivotArea dataOnly="0" labelOnly="1" outline="0" fieldPosition="0">
        <references count="1">
          <reference field="2" count="0"/>
        </references>
      </pivotArea>
    </format>
    <format dxfId="860">
      <pivotArea type="all" dataOnly="0" outline="0" fieldPosition="0"/>
    </format>
    <format dxfId="859">
      <pivotArea outline="0" collapsedLevelsAreSubtotals="1" fieldPosition="0"/>
    </format>
    <format dxfId="858">
      <pivotArea dataOnly="0" labelOnly="1" grandRow="1" outline="0" fieldPosition="0"/>
    </format>
    <format dxfId="857">
      <pivotArea dataOnly="0" labelOnly="1" outline="0" fieldPosition="0">
        <references count="1">
          <reference field="2" count="0"/>
        </references>
      </pivotArea>
    </format>
    <format dxfId="856">
      <pivotArea type="all" dataOnly="0" outline="0" fieldPosition="0"/>
    </format>
    <format dxfId="855">
      <pivotArea outline="0" collapsedLevelsAreSubtotals="1" fieldPosition="0"/>
    </format>
    <format dxfId="854">
      <pivotArea dataOnly="0" labelOnly="1" grandRow="1" outline="0" fieldPosition="0"/>
    </format>
    <format dxfId="853">
      <pivotArea dataOnly="0" labelOnly="1" outline="0" fieldPosition="0">
        <references count="1">
          <reference field="2" count="0"/>
        </references>
      </pivotArea>
    </format>
    <format dxfId="852">
      <pivotArea type="all" dataOnly="0" outline="0" fieldPosition="0"/>
    </format>
    <format dxfId="851">
      <pivotArea outline="0" collapsedLevelsAreSubtotals="1" fieldPosition="0"/>
    </format>
    <format dxfId="850">
      <pivotArea dataOnly="0" labelOnly="1" grandRow="1" outline="0" fieldPosition="0"/>
    </format>
    <format dxfId="849">
      <pivotArea dataOnly="0" labelOnly="1" outline="0" fieldPosition="0">
        <references count="1">
          <reference field="2" count="0"/>
        </references>
      </pivotArea>
    </format>
    <format dxfId="848">
      <pivotArea type="all" dataOnly="0" outline="0" fieldPosition="0"/>
    </format>
    <format dxfId="847">
      <pivotArea outline="0" collapsedLevelsAreSubtotals="1" fieldPosition="0"/>
    </format>
    <format dxfId="846">
      <pivotArea dataOnly="0" labelOnly="1" grandRow="1" outline="0" fieldPosition="0"/>
    </format>
    <format dxfId="845">
      <pivotArea dataOnly="0" labelOnly="1" outline="0" fieldPosition="0">
        <references count="1">
          <reference field="2" count="0"/>
        </references>
      </pivotArea>
    </format>
    <format dxfId="844">
      <pivotArea type="all" dataOnly="0" outline="0" fieldPosition="0"/>
    </format>
    <format dxfId="843">
      <pivotArea outline="0" collapsedLevelsAreSubtotals="1" fieldPosition="0"/>
    </format>
    <format dxfId="842">
      <pivotArea dataOnly="0" labelOnly="1" grandRow="1" outline="0" fieldPosition="0"/>
    </format>
    <format dxfId="841">
      <pivotArea dataOnly="0" labelOnly="1" outline="0" fieldPosition="0">
        <references count="1">
          <reference field="2" count="0"/>
        </references>
      </pivotArea>
    </format>
    <format dxfId="840">
      <pivotArea grandRow="1" outline="0" collapsedLevelsAreSubtotals="1" fieldPosition="0"/>
    </format>
    <format dxfId="839">
      <pivotArea dataOnly="0" labelOnly="1" grandRow="1" outline="0" fieldPosition="0"/>
    </format>
    <format dxfId="838">
      <pivotArea dataOnly="0" labelOnly="1" grandRow="1" outline="0" offset="IV256" fieldPosition="0"/>
    </format>
    <format dxfId="837">
      <pivotArea type="all" dataOnly="0" outline="0" fieldPosition="0"/>
    </format>
    <format dxfId="836">
      <pivotArea outline="0" collapsedLevelsAreSubtotals="1" fieldPosition="0"/>
    </format>
    <format dxfId="835">
      <pivotArea dataOnly="0" labelOnly="1" outline="0" fieldPosition="0">
        <references count="1">
          <reference field="0" count="0"/>
        </references>
      </pivotArea>
    </format>
    <format dxfId="834">
      <pivotArea dataOnly="0" labelOnly="1" grandRow="1" outline="0" fieldPosition="0"/>
    </format>
    <format dxfId="833">
      <pivotArea dataOnly="0" labelOnly="1" outline="0" fieldPosition="0">
        <references count="1">
          <reference field="2" count="0"/>
        </references>
      </pivotArea>
    </format>
    <format dxfId="832">
      <pivotArea type="all" dataOnly="0" outline="0" fieldPosition="0"/>
    </format>
    <format dxfId="831">
      <pivotArea outline="0" collapsedLevelsAreSubtotals="1" fieldPosition="0"/>
    </format>
    <format dxfId="830">
      <pivotArea dataOnly="0" labelOnly="1" grandRow="1" outline="0" fieldPosition="0"/>
    </format>
    <format dxfId="829">
      <pivotArea dataOnly="0" labelOnly="1" outline="0" fieldPosition="0">
        <references count="1">
          <reference field="2" count="0"/>
        </references>
      </pivotArea>
    </format>
    <format dxfId="828">
      <pivotArea grandRow="1" outline="0" collapsedLevelsAreSubtotals="1" fieldPosition="0"/>
    </format>
    <format dxfId="827">
      <pivotArea dataOnly="0" labelOnly="1" grandRow="1" outline="0" fieldPosition="0"/>
    </format>
    <format dxfId="826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825">
      <pivotArea type="all" dataOnly="0" outline="0" fieldPosition="0"/>
    </format>
    <format dxfId="824">
      <pivotArea outline="0" collapsedLevelsAreSubtotals="1" fieldPosition="0"/>
    </format>
    <format dxfId="823">
      <pivotArea dataOnly="0" labelOnly="1" grandRow="1" outline="0" fieldPosition="0"/>
    </format>
    <format dxfId="822">
      <pivotArea dataOnly="0" labelOnly="1" outline="0" fieldPosition="0">
        <references count="1">
          <reference field="2" count="0"/>
        </references>
      </pivotArea>
    </format>
    <format dxfId="821">
      <pivotArea grandRow="1" outline="0" collapsedLevelsAreSubtotals="1" fieldPosition="0"/>
    </format>
    <format dxfId="820">
      <pivotArea dataOnly="0" labelOnly="1" grandRow="1" outline="0" fieldPosition="0"/>
    </format>
    <format dxfId="819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818">
      <pivotArea type="all" dataOnly="0" outline="0" fieldPosition="0"/>
    </format>
    <format dxfId="817">
      <pivotArea outline="0" collapsedLevelsAreSubtotals="1" fieldPosition="0"/>
    </format>
    <format dxfId="816">
      <pivotArea dataOnly="0" labelOnly="1" grandRow="1" outline="0" fieldPosition="0"/>
    </format>
    <format dxfId="815">
      <pivotArea dataOnly="0" labelOnly="1" outline="0" fieldPosition="0">
        <references count="1">
          <reference field="2" count="0"/>
        </references>
      </pivotArea>
    </format>
    <format dxfId="814">
      <pivotArea grandRow="1" outline="0" collapsedLevelsAreSubtotals="1" fieldPosition="0"/>
    </format>
    <format dxfId="813">
      <pivotArea dataOnly="0" labelOnly="1" grandRow="1" outline="0" fieldPosition="0"/>
    </format>
    <format dxfId="812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811">
      <pivotArea type="all" dataOnly="0" outline="0" fieldPosition="0"/>
    </format>
    <format dxfId="810">
      <pivotArea outline="0" collapsedLevelsAreSubtotals="1" fieldPosition="0"/>
    </format>
    <format dxfId="809">
      <pivotArea dataOnly="0" labelOnly="1" grandRow="1" outline="0" fieldPosition="0"/>
    </format>
    <format dxfId="808">
      <pivotArea dataOnly="0" labelOnly="1" outline="0" fieldPosition="0">
        <references count="1">
          <reference field="2" count="0"/>
        </references>
      </pivotArea>
    </format>
    <format dxfId="807">
      <pivotArea type="all" dataOnly="0" outline="0" fieldPosition="0"/>
    </format>
    <format dxfId="806">
      <pivotArea outline="0" collapsedLevelsAreSubtotals="1" fieldPosition="0"/>
    </format>
    <format dxfId="805">
      <pivotArea dataOnly="0" labelOnly="1" grandRow="1" outline="0" fieldPosition="0"/>
    </format>
    <format dxfId="804">
      <pivotArea dataOnly="0" labelOnly="1" outline="0" fieldPosition="0">
        <references count="1">
          <reference field="2" count="0"/>
        </references>
      </pivotArea>
    </format>
    <format dxfId="803">
      <pivotArea grandRow="1" outline="0" collapsedLevelsAreSubtotals="1" fieldPosition="0"/>
    </format>
    <format dxfId="802">
      <pivotArea dataOnly="0" labelOnly="1" grandRow="1" outline="0" fieldPosition="0"/>
    </format>
    <format dxfId="801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  <format dxfId="800">
      <pivotArea type="all" dataOnly="0" outline="0" fieldPosition="0"/>
    </format>
    <format dxfId="799">
      <pivotArea outline="0" collapsedLevelsAreSubtotals="1" fieldPosition="0"/>
    </format>
    <format dxfId="798">
      <pivotArea dataOnly="0" labelOnly="1" grandRow="1" outline="0" fieldPosition="0"/>
    </format>
    <format dxfId="797">
      <pivotArea dataOnly="0" labelOnly="1" outline="0" fieldPosition="0">
        <references count="1">
          <reference field="2" count="0"/>
        </references>
      </pivotArea>
    </format>
    <format dxfId="796">
      <pivotArea grandRow="1" outline="0" collapsedLevelsAreSubtotals="1" fieldPosition="0"/>
    </format>
    <format dxfId="795">
      <pivotArea dataOnly="0" labelOnly="1" grandRow="1" outline="0" fieldPosition="0"/>
    </format>
    <format dxfId="794">
      <pivotArea dataOnly="0" labelOnly="1" grandRow="1" outline="0" offset="A256" fieldPosition="0"/>
    </format>
    <format dxfId="793">
      <pivotArea type="all" dataOnly="0" outline="0" fieldPosition="0"/>
    </format>
    <format dxfId="792">
      <pivotArea outline="0" collapsedLevelsAreSubtotals="1" fieldPosition="0"/>
    </format>
    <format dxfId="791">
      <pivotArea dataOnly="0" labelOnly="1" grandRow="1" outline="0" fieldPosition="0"/>
    </format>
    <format dxfId="790">
      <pivotArea dataOnly="0" labelOnly="1" outline="0" fieldPosition="0">
        <references count="1">
          <reference field="2" count="0"/>
        </references>
      </pivotArea>
    </format>
    <format dxfId="789">
      <pivotArea grandRow="1" outline="0" collapsedLevelsAreSubtotals="1" fieldPosition="0"/>
    </format>
    <format dxfId="788">
      <pivotArea dataOnly="0" labelOnly="1" grandRow="1" outline="0" fieldPosition="0"/>
    </format>
    <format dxfId="787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786">
      <pivotArea type="all" dataOnly="0" outline="0" fieldPosition="0"/>
    </format>
    <format dxfId="785">
      <pivotArea outline="0" collapsedLevelsAreSubtotals="1" fieldPosition="0"/>
    </format>
    <format dxfId="784">
      <pivotArea dataOnly="0" labelOnly="1" grandRow="1" outline="0" fieldPosition="0"/>
    </format>
    <format dxfId="783">
      <pivotArea dataOnly="0" labelOnly="1" outline="0" fieldPosition="0">
        <references count="1">
          <reference field="2" count="0"/>
        </references>
      </pivotArea>
    </format>
    <format dxfId="782">
      <pivotArea type="all" dataOnly="0" outline="0" fieldPosition="0"/>
    </format>
    <format dxfId="781">
      <pivotArea outline="0" collapsedLevelsAreSubtotals="1" fieldPosition="0"/>
    </format>
    <format dxfId="780">
      <pivotArea dataOnly="0" labelOnly="1" grandRow="1" outline="0" fieldPosition="0"/>
    </format>
    <format dxfId="779">
      <pivotArea dataOnly="0" labelOnly="1" outline="0" fieldPosition="0">
        <references count="1">
          <reference field="2" count="0"/>
        </references>
      </pivotArea>
    </format>
    <format dxfId="778">
      <pivotArea grandRow="1" outline="0" collapsedLevelsAreSubtotals="1" fieldPosition="0"/>
    </format>
    <format dxfId="777">
      <pivotArea dataOnly="0" labelOnly="1" grandRow="1" outline="0" fieldPosition="0"/>
    </format>
    <format dxfId="776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775">
      <pivotArea type="all" dataOnly="0" outline="0" fieldPosition="0"/>
    </format>
    <format dxfId="774">
      <pivotArea outline="0" collapsedLevelsAreSubtotals="1" fieldPosition="0"/>
    </format>
    <format dxfId="773">
      <pivotArea dataOnly="0" labelOnly="1" grandRow="1" outline="0" fieldPosition="0"/>
    </format>
    <format dxfId="772">
      <pivotArea dataOnly="0" labelOnly="1" outline="0" fieldPosition="0">
        <references count="1">
          <reference field="2" count="0"/>
        </references>
      </pivotArea>
    </format>
    <format dxfId="771">
      <pivotArea grandRow="1" outline="0" collapsedLevelsAreSubtotals="1" fieldPosition="0"/>
    </format>
    <format dxfId="770">
      <pivotArea dataOnly="0" labelOnly="1" grandRow="1" outline="0" fieldPosition="0"/>
    </format>
    <format dxfId="769">
      <pivotArea field="2" grandRow="1" outline="0" collapsedLevelsAreSubtotals="1" axis="axisCol" fieldPosition="0">
        <references count="1">
          <reference field="2" count="1" selected="0">
            <x v="2"/>
          </reference>
        </references>
      </pivotArea>
    </format>
    <format dxfId="768">
      <pivotArea type="all" dataOnly="0" outline="0" fieldPosition="0"/>
    </format>
    <format dxfId="767">
      <pivotArea outline="0" collapsedLevelsAreSubtotals="1" fieldPosition="0"/>
    </format>
    <format dxfId="766">
      <pivotArea dataOnly="0" labelOnly="1" grandRow="1" outline="0" fieldPosition="0"/>
    </format>
    <format dxfId="765">
      <pivotArea dataOnly="0" labelOnly="1" outline="0" fieldPosition="0">
        <references count="1">
          <reference field="2" count="0"/>
        </references>
      </pivotArea>
    </format>
    <format dxfId="764">
      <pivotArea grandRow="1" outline="0" collapsedLevelsAreSubtotals="1" fieldPosition="0"/>
    </format>
    <format dxfId="763">
      <pivotArea dataOnly="0" labelOnly="1" grandRow="1" outline="0" fieldPosition="0"/>
    </format>
    <format dxfId="762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761">
      <pivotArea type="all" dataOnly="0" outline="0" fieldPosition="0"/>
    </format>
    <format dxfId="760">
      <pivotArea outline="0" collapsedLevelsAreSubtotals="1" fieldPosition="0"/>
    </format>
    <format dxfId="759">
      <pivotArea dataOnly="0" labelOnly="1" grandRow="1" outline="0" fieldPosition="0"/>
    </format>
    <format dxfId="758">
      <pivotArea dataOnly="0" labelOnly="1" outline="0" fieldPosition="0">
        <references count="1">
          <reference field="2" count="0"/>
        </references>
      </pivotArea>
    </format>
    <format dxfId="757">
      <pivotArea grandRow="1" outline="0" collapsedLevelsAreSubtotals="1" fieldPosition="0"/>
    </format>
    <format dxfId="756">
      <pivotArea dataOnly="0" labelOnly="1" grandRow="1" outline="0" fieldPosition="0"/>
    </format>
    <format dxfId="755">
      <pivotArea field="2" grandRow="1" outline="0" collapsedLevelsAreSubtotals="1" axis="axisCol" fieldPosition="0">
        <references count="1">
          <reference field="2" count="1" selected="0">
            <x v="4"/>
          </reference>
        </references>
      </pivotArea>
    </format>
    <format dxfId="754">
      <pivotArea type="all" dataOnly="0" outline="0" fieldPosition="0"/>
    </format>
    <format dxfId="753">
      <pivotArea outline="0" collapsedLevelsAreSubtotals="1" fieldPosition="0"/>
    </format>
    <format dxfId="752">
      <pivotArea dataOnly="0" labelOnly="1" grandRow="1" outline="0" fieldPosition="0"/>
    </format>
    <format dxfId="751">
      <pivotArea dataOnly="0" labelOnly="1" outline="0" fieldPosition="0">
        <references count="1">
          <reference field="2" count="0"/>
        </references>
      </pivotArea>
    </format>
    <format dxfId="750">
      <pivotArea grandRow="1" outline="0" collapsedLevelsAreSubtotals="1" fieldPosition="0"/>
    </format>
    <format dxfId="749">
      <pivotArea dataOnly="0" labelOnly="1" grandRow="1" outline="0" fieldPosition="0"/>
    </format>
    <format dxfId="748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747">
      <pivotArea type="all" dataOnly="0" outline="0" fieldPosition="0"/>
    </format>
    <format dxfId="746">
      <pivotArea outline="0" collapsedLevelsAreSubtotals="1" fieldPosition="0"/>
    </format>
    <format dxfId="745">
      <pivotArea dataOnly="0" labelOnly="1" grandRow="1" outline="0" fieldPosition="0"/>
    </format>
    <format dxfId="744">
      <pivotArea dataOnly="0" labelOnly="1" outline="0" fieldPosition="0">
        <references count="1">
          <reference field="2" count="0"/>
        </references>
      </pivotArea>
    </format>
    <format dxfId="743">
      <pivotArea grandRow="1" outline="0" collapsedLevelsAreSubtotals="1" fieldPosition="0"/>
    </format>
    <format dxfId="742">
      <pivotArea dataOnly="0" labelOnly="1" grandRow="1" outline="0" fieldPosition="0"/>
    </format>
    <format dxfId="741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740">
      <pivotArea type="all" dataOnly="0" outline="0" fieldPosition="0"/>
    </format>
    <format dxfId="739">
      <pivotArea outline="0" collapsedLevelsAreSubtotals="1" fieldPosition="0"/>
    </format>
    <format dxfId="738">
      <pivotArea dataOnly="0" labelOnly="1" grandRow="1" outline="0" fieldPosition="0"/>
    </format>
    <format dxfId="737">
      <pivotArea dataOnly="0" labelOnly="1" outline="0" fieldPosition="0">
        <references count="1">
          <reference field="2" count="0"/>
        </references>
      </pivotArea>
    </format>
    <format dxfId="736">
      <pivotArea grandRow="1" outline="0" collapsedLevelsAreSubtotals="1" fieldPosition="0"/>
    </format>
    <format dxfId="735">
      <pivotArea dataOnly="0" labelOnly="1" grandRow="1" outline="0" fieldPosition="0"/>
    </format>
    <format dxfId="734">
      <pivotArea field="2" grandRow="1" outline="0" collapsedLevelsAreSubtotals="1" axis="axisCol" fieldPosition="0">
        <references count="1">
          <reference field="2" count="1" selected="0">
            <x v="18"/>
          </reference>
        </references>
      </pivotArea>
    </format>
    <format dxfId="733">
      <pivotArea type="all" dataOnly="0" outline="0" fieldPosition="0"/>
    </format>
    <format dxfId="732">
      <pivotArea outline="0" collapsedLevelsAreSubtotals="1" fieldPosition="0"/>
    </format>
    <format dxfId="731">
      <pivotArea dataOnly="0" labelOnly="1" grandRow="1" outline="0" fieldPosition="0"/>
    </format>
    <format dxfId="730">
      <pivotArea dataOnly="0" labelOnly="1" outline="0" fieldPosition="0">
        <references count="1">
          <reference field="2" count="0"/>
        </references>
      </pivotArea>
    </format>
    <format dxfId="729">
      <pivotArea grandRow="1" outline="0" collapsedLevelsAreSubtotals="1" fieldPosition="0"/>
    </format>
    <format dxfId="728">
      <pivotArea dataOnly="0" labelOnly="1" grandRow="1" outline="0" fieldPosition="0"/>
    </format>
    <format dxfId="727">
      <pivotArea field="2" grandRow="1" outline="0" collapsedLevelsAreSubtotals="1" axis="axisCol" fieldPosition="0">
        <references count="1">
          <reference field="2" count="1" selected="0">
            <x v="17"/>
          </reference>
        </references>
      </pivotArea>
    </format>
    <format dxfId="726">
      <pivotArea type="all" dataOnly="0" outline="0" fieldPosition="0"/>
    </format>
    <format dxfId="725">
      <pivotArea outline="0" collapsedLevelsAreSubtotals="1" fieldPosition="0"/>
    </format>
    <format dxfId="724">
      <pivotArea dataOnly="0" labelOnly="1" grandRow="1" outline="0" fieldPosition="0"/>
    </format>
    <format dxfId="723">
      <pivotArea dataOnly="0" labelOnly="1" outline="0" fieldPosition="0">
        <references count="1">
          <reference field="2" count="0"/>
        </references>
      </pivotArea>
    </format>
    <format dxfId="722">
      <pivotArea grandRow="1" outline="0" collapsedLevelsAreSubtotals="1" fieldPosition="0"/>
    </format>
    <format dxfId="721">
      <pivotArea dataOnly="0" labelOnly="1" grandRow="1" outline="0" fieldPosition="0"/>
    </format>
    <format dxfId="720">
      <pivotArea field="2" grandRow="1" outline="0" collapsedLevelsAreSubtotals="1" axis="axisCol" fieldPosition="0">
        <references count="1">
          <reference field="2" count="1" selected="0">
            <x v="7"/>
          </reference>
        </references>
      </pivotArea>
    </format>
    <format dxfId="719">
      <pivotArea type="all" dataOnly="0" outline="0" fieldPosition="0"/>
    </format>
    <format dxfId="718">
      <pivotArea outline="0" collapsedLevelsAreSubtotals="1" fieldPosition="0"/>
    </format>
    <format dxfId="717">
      <pivotArea dataOnly="0" labelOnly="1" grandRow="1" outline="0" fieldPosition="0"/>
    </format>
    <format dxfId="716">
      <pivotArea dataOnly="0" labelOnly="1" outline="0" fieldPosition="0">
        <references count="1">
          <reference field="2" count="0"/>
        </references>
      </pivotArea>
    </format>
    <format dxfId="715">
      <pivotArea grandRow="1" outline="0" collapsedLevelsAreSubtotals="1" fieldPosition="0"/>
    </format>
    <format dxfId="714">
      <pivotArea dataOnly="0" labelOnly="1" grandRow="1" outline="0" fieldPosition="0"/>
    </format>
    <format dxfId="713">
      <pivotArea field="2" grandRow="1" outline="0" collapsedLevelsAreSubtotals="1" axis="axisCol" fieldPosition="0">
        <references count="1">
          <reference field="2" count="1" selected="0">
            <x v="8"/>
          </reference>
        </references>
      </pivotArea>
    </format>
    <format dxfId="712">
      <pivotArea type="all" dataOnly="0" outline="0" fieldPosition="0"/>
    </format>
    <format dxfId="711">
      <pivotArea outline="0" collapsedLevelsAreSubtotals="1" fieldPosition="0"/>
    </format>
    <format dxfId="710">
      <pivotArea dataOnly="0" labelOnly="1" grandRow="1" outline="0" fieldPosition="0"/>
    </format>
    <format dxfId="709">
      <pivotArea dataOnly="0" labelOnly="1" outline="0" fieldPosition="0">
        <references count="1">
          <reference field="2" count="0"/>
        </references>
      </pivotArea>
    </format>
    <format dxfId="708">
      <pivotArea grandRow="1" outline="0" collapsedLevelsAreSubtotals="1" fieldPosition="0"/>
    </format>
    <format dxfId="707">
      <pivotArea dataOnly="0" labelOnly="1" grandRow="1" outline="0" fieldPosition="0"/>
    </format>
    <format dxfId="706">
      <pivotArea field="2" grandRow="1" outline="0" collapsedLevelsAreSubtotals="1" axis="axisCol" fieldPosition="0">
        <references count="1">
          <reference field="2" count="1" selected="0">
            <x v="9"/>
          </reference>
        </references>
      </pivotArea>
    </format>
    <format dxfId="705">
      <pivotArea type="all" dataOnly="0" outline="0" fieldPosition="0"/>
    </format>
    <format dxfId="704">
      <pivotArea outline="0" collapsedLevelsAreSubtotals="1" fieldPosition="0"/>
    </format>
    <format dxfId="703">
      <pivotArea dataOnly="0" labelOnly="1" grandRow="1" outline="0" fieldPosition="0"/>
    </format>
    <format dxfId="702">
      <pivotArea dataOnly="0" labelOnly="1" outline="0" fieldPosition="0">
        <references count="1">
          <reference field="2" count="0"/>
        </references>
      </pivotArea>
    </format>
    <format dxfId="701">
      <pivotArea grandRow="1" outline="0" collapsedLevelsAreSubtotals="1" fieldPosition="0"/>
    </format>
    <format dxfId="700">
      <pivotArea dataOnly="0" labelOnly="1" grandRow="1" outline="0" fieldPosition="0"/>
    </format>
    <format dxfId="699">
      <pivotArea field="2" grandRow="1" outline="0" collapsedLevelsAreSubtotals="1" axis="axisCol" fieldPosition="0">
        <references count="1">
          <reference field="2" count="1" selected="0">
            <x v="10"/>
          </reference>
        </references>
      </pivotArea>
    </format>
    <format dxfId="698">
      <pivotArea type="all" dataOnly="0" outline="0" fieldPosition="0"/>
    </format>
    <format dxfId="697">
      <pivotArea outline="0" collapsedLevelsAreSubtotals="1" fieldPosition="0"/>
    </format>
    <format dxfId="696">
      <pivotArea dataOnly="0" labelOnly="1" grandRow="1" outline="0" fieldPosition="0"/>
    </format>
    <format dxfId="695">
      <pivotArea dataOnly="0" labelOnly="1" outline="0" fieldPosition="0">
        <references count="1">
          <reference field="2" count="0"/>
        </references>
      </pivotArea>
    </format>
    <format dxfId="694">
      <pivotArea grandRow="1" outline="0" collapsedLevelsAreSubtotals="1" fieldPosition="0"/>
    </format>
    <format dxfId="693">
      <pivotArea dataOnly="0" labelOnly="1" grandRow="1" outline="0" fieldPosition="0"/>
    </format>
    <format dxfId="692">
      <pivotArea field="2" grandRow="1" outline="0" collapsedLevelsAreSubtotals="1" axis="axisCol" fieldPosition="0">
        <references count="1">
          <reference field="2" count="1" selected="0">
            <x v="11"/>
          </reference>
        </references>
      </pivotArea>
    </format>
    <format dxfId="691">
      <pivotArea type="all" dataOnly="0" outline="0" fieldPosition="0"/>
    </format>
    <format dxfId="690">
      <pivotArea outline="0" collapsedLevelsAreSubtotals="1" fieldPosition="0"/>
    </format>
    <format dxfId="689">
      <pivotArea dataOnly="0" labelOnly="1" grandRow="1" outline="0" fieldPosition="0"/>
    </format>
    <format dxfId="688">
      <pivotArea dataOnly="0" labelOnly="1" outline="0" fieldPosition="0">
        <references count="1">
          <reference field="2" count="0"/>
        </references>
      </pivotArea>
    </format>
    <format dxfId="687">
      <pivotArea grandRow="1" outline="0" collapsedLevelsAreSubtotals="1" fieldPosition="0"/>
    </format>
    <format dxfId="686">
      <pivotArea dataOnly="0" labelOnly="1" grandRow="1" outline="0" fieldPosition="0"/>
    </format>
    <format dxfId="685">
      <pivotArea field="2" grandRow="1" outline="0" collapsedLevelsAreSubtotals="1" axis="axisCol" fieldPosition="0">
        <references count="1">
          <reference field="2" count="1" selected="0">
            <x v="12"/>
          </reference>
        </references>
      </pivotArea>
    </format>
    <format dxfId="684">
      <pivotArea type="all" dataOnly="0" outline="0" fieldPosition="0"/>
    </format>
    <format dxfId="683">
      <pivotArea outline="0" collapsedLevelsAreSubtotals="1" fieldPosition="0"/>
    </format>
    <format dxfId="682">
      <pivotArea dataOnly="0" labelOnly="1" grandRow="1" outline="0" fieldPosition="0"/>
    </format>
    <format dxfId="681">
      <pivotArea dataOnly="0" labelOnly="1" outline="0" fieldPosition="0">
        <references count="1">
          <reference field="2" count="0"/>
        </references>
      </pivotArea>
    </format>
    <format dxfId="680">
      <pivotArea grandRow="1" outline="0" collapsedLevelsAreSubtotals="1" fieldPosition="0"/>
    </format>
    <format dxfId="679">
      <pivotArea dataOnly="0" labelOnly="1" grandRow="1" outline="0" fieldPosition="0"/>
    </format>
    <format dxfId="678">
      <pivotArea field="2" grandRow="1" outline="0" collapsedLevelsAreSubtotals="1" axis="axisCol" fieldPosition="0">
        <references count="1">
          <reference field="2" count="1" selected="0">
            <x v="13"/>
          </reference>
        </references>
      </pivotArea>
    </format>
    <format dxfId="677">
      <pivotArea type="all" dataOnly="0" outline="0" fieldPosition="0"/>
    </format>
    <format dxfId="676">
      <pivotArea outline="0" collapsedLevelsAreSubtotals="1" fieldPosition="0"/>
    </format>
    <format dxfId="675">
      <pivotArea dataOnly="0" labelOnly="1" grandRow="1" outline="0" fieldPosition="0"/>
    </format>
    <format dxfId="674">
      <pivotArea dataOnly="0" labelOnly="1" outline="0" fieldPosition="0">
        <references count="1">
          <reference field="2" count="0"/>
        </references>
      </pivotArea>
    </format>
    <format dxfId="673">
      <pivotArea grandRow="1" outline="0" collapsedLevelsAreSubtotals="1" fieldPosition="0"/>
    </format>
    <format dxfId="672">
      <pivotArea dataOnly="0" labelOnly="1" grandRow="1" outline="0" fieldPosition="0"/>
    </format>
    <format dxfId="671">
      <pivotArea field="2" grandRow="1" outline="0" collapsedLevelsAreSubtotals="1" axis="axisCol" fieldPosition="0">
        <references count="1">
          <reference field="2" count="1" selected="0">
            <x v="14"/>
          </reference>
        </references>
      </pivotArea>
    </format>
    <format dxfId="670">
      <pivotArea type="all" dataOnly="0" outline="0" fieldPosition="0"/>
    </format>
    <format dxfId="669">
      <pivotArea outline="0" collapsedLevelsAreSubtotals="1" fieldPosition="0"/>
    </format>
    <format dxfId="668">
      <pivotArea dataOnly="0" labelOnly="1" grandRow="1" outline="0" fieldPosition="0"/>
    </format>
    <format dxfId="667">
      <pivotArea dataOnly="0" labelOnly="1" outline="0" fieldPosition="0">
        <references count="1">
          <reference field="2" count="0"/>
        </references>
      </pivotArea>
    </format>
    <format dxfId="666">
      <pivotArea grandRow="1" outline="0" collapsedLevelsAreSubtotals="1" fieldPosition="0"/>
    </format>
    <format dxfId="665">
      <pivotArea dataOnly="0" labelOnly="1" grandRow="1" outline="0" fieldPosition="0"/>
    </format>
    <format dxfId="664">
      <pivotArea field="2" grandRow="1" outline="0" collapsedLevelsAreSubtotals="1" axis="axisCol" fieldPosition="0">
        <references count="1">
          <reference field="2" count="1" selected="0">
            <x v="22"/>
          </reference>
        </references>
      </pivotArea>
    </format>
    <format dxfId="663">
      <pivotArea type="all" dataOnly="0" outline="0" fieldPosition="0"/>
    </format>
    <format dxfId="662">
      <pivotArea outline="0" collapsedLevelsAreSubtotals="1" fieldPosition="0"/>
    </format>
    <format dxfId="661">
      <pivotArea dataOnly="0" labelOnly="1" grandRow="1" outline="0" fieldPosition="0"/>
    </format>
    <format dxfId="660">
      <pivotArea dataOnly="0" labelOnly="1" outline="0" fieldPosition="0">
        <references count="1">
          <reference field="2" count="0"/>
        </references>
      </pivotArea>
    </format>
    <format dxfId="659">
      <pivotArea grandRow="1" outline="0" collapsedLevelsAreSubtotals="1" fieldPosition="0"/>
    </format>
    <format dxfId="658">
      <pivotArea dataOnly="0" labelOnly="1" grandRow="1" outline="0" fieldPosition="0"/>
    </format>
    <format dxfId="657">
      <pivotArea field="2" grandRow="1" outline="0" collapsedLevelsAreSubtotals="1" axis="axisCol" fieldPosition="0">
        <references count="1">
          <reference field="2" count="1" selected="0">
            <x v="23"/>
          </reference>
        </references>
      </pivotArea>
    </format>
    <format dxfId="656">
      <pivotArea type="all" dataOnly="0" outline="0" fieldPosition="0"/>
    </format>
    <format dxfId="655">
      <pivotArea outline="0" collapsedLevelsAreSubtotals="1" fieldPosition="0"/>
    </format>
    <format dxfId="654">
      <pivotArea dataOnly="0" labelOnly="1" grandRow="1" outline="0" fieldPosition="0"/>
    </format>
    <format dxfId="653">
      <pivotArea dataOnly="0" labelOnly="1" outline="0" fieldPosition="0">
        <references count="1">
          <reference field="2" count="0"/>
        </references>
      </pivotArea>
    </format>
    <format dxfId="652">
      <pivotArea grandRow="1" outline="0" collapsedLevelsAreSubtotals="1" fieldPosition="0"/>
    </format>
    <format dxfId="651">
      <pivotArea dataOnly="0" labelOnly="1" grandRow="1" outline="0" fieldPosition="0"/>
    </format>
    <format dxfId="650">
      <pivotArea field="2" grandRow="1" outline="0" collapsedLevelsAreSubtotals="1" axis="axisCol" fieldPosition="0">
        <references count="1">
          <reference field="2" count="1" selected="0">
            <x v="15"/>
          </reference>
        </references>
      </pivotArea>
    </format>
    <format dxfId="649">
      <pivotArea type="all" dataOnly="0" outline="0" fieldPosition="0"/>
    </format>
    <format dxfId="648">
      <pivotArea outline="0" collapsedLevelsAreSubtotals="1" fieldPosition="0"/>
    </format>
    <format dxfId="647">
      <pivotArea dataOnly="0" labelOnly="1" grandRow="1" outline="0" fieldPosition="0"/>
    </format>
    <format dxfId="646">
      <pivotArea dataOnly="0" labelOnly="1" outline="0" fieldPosition="0">
        <references count="1">
          <reference field="2" count="0"/>
        </references>
      </pivotArea>
    </format>
    <format dxfId="645">
      <pivotArea grandRow="1" outline="0" collapsedLevelsAreSubtotals="1" fieldPosition="0"/>
    </format>
    <format dxfId="644">
      <pivotArea dataOnly="0" labelOnly="1" grandRow="1" outline="0" fieldPosition="0"/>
    </format>
    <format dxfId="643">
      <pivotArea field="2" grandRow="1" outline="0" collapsedLevelsAreSubtotals="1" axis="axisCol" fieldPosition="0">
        <references count="1">
          <reference field="2" count="1" selected="0">
            <x v="16"/>
          </reference>
        </references>
      </pivotArea>
    </format>
    <format dxfId="642">
      <pivotArea type="all" dataOnly="0" outline="0" fieldPosition="0"/>
    </format>
    <format dxfId="641">
      <pivotArea outline="0" collapsedLevelsAreSubtotals="1" fieldPosition="0"/>
    </format>
    <format dxfId="640">
      <pivotArea dataOnly="0" labelOnly="1" grandRow="1" outline="0" fieldPosition="0"/>
    </format>
    <format dxfId="639">
      <pivotArea dataOnly="0" labelOnly="1" outline="0" fieldPosition="0">
        <references count="1">
          <reference field="2" count="0"/>
        </references>
      </pivotArea>
    </format>
    <format dxfId="638">
      <pivotArea grandRow="1" outline="0" collapsedLevelsAreSubtotals="1" fieldPosition="0"/>
    </format>
    <format dxfId="637">
      <pivotArea dataOnly="0" labelOnly="1" grandRow="1" outline="0" fieldPosition="0"/>
    </format>
    <format dxfId="636">
      <pivotArea field="2" grandRow="1" outline="0" collapsedLevelsAreSubtotals="1" axis="axisCol" fieldPosition="0">
        <references count="1">
          <reference field="2" count="1" selected="0">
            <x v="24"/>
          </reference>
        </references>
      </pivotArea>
    </format>
    <format dxfId="635">
      <pivotArea type="all" dataOnly="0" outline="0" fieldPosition="0"/>
    </format>
    <format dxfId="634">
      <pivotArea outline="0" collapsedLevelsAreSubtotals="1" fieldPosition="0"/>
    </format>
    <format dxfId="633">
      <pivotArea dataOnly="0" labelOnly="1" grandRow="1" outline="0" fieldPosition="0"/>
    </format>
    <format dxfId="632">
      <pivotArea dataOnly="0" labelOnly="1" outline="0" fieldPosition="0">
        <references count="1">
          <reference field="2" count="0"/>
        </references>
      </pivotArea>
    </format>
    <format dxfId="631">
      <pivotArea grandRow="1" outline="0" collapsedLevelsAreSubtotals="1" fieldPosition="0"/>
    </format>
    <format dxfId="630">
      <pivotArea dataOnly="0" labelOnly="1" grandRow="1" outline="0" fieldPosition="0"/>
    </format>
    <format dxfId="629">
      <pivotArea field="2" grandRow="1" outline="0" collapsedLevelsAreSubtotals="1" axis="axisCol" fieldPosition="0">
        <references count="1">
          <reference field="2" count="1" selected="0">
            <x v="25"/>
          </reference>
        </references>
      </pivotArea>
    </format>
    <format dxfId="628">
      <pivotArea type="all" dataOnly="0" outline="0" fieldPosition="0"/>
    </format>
    <format dxfId="627">
      <pivotArea outline="0" collapsedLevelsAreSubtotals="1" fieldPosition="0"/>
    </format>
    <format dxfId="626">
      <pivotArea dataOnly="0" labelOnly="1" grandRow="1" outline="0" fieldPosition="0"/>
    </format>
    <format dxfId="625">
      <pivotArea dataOnly="0" labelOnly="1" outline="0" fieldPosition="0">
        <references count="1">
          <reference field="2" count="0"/>
        </references>
      </pivotArea>
    </format>
    <format dxfId="624">
      <pivotArea grandRow="1" outline="0" collapsedLevelsAreSubtotals="1" fieldPosition="0"/>
    </format>
    <format dxfId="623">
      <pivotArea dataOnly="0" labelOnly="1" grandRow="1" outline="0" fieldPosition="0"/>
    </format>
    <format dxfId="622">
      <pivotArea field="2" grandRow="1" outline="0" collapsedLevelsAreSubtotals="1" axis="axisCol" fieldPosition="0">
        <references count="1">
          <reference field="2" count="1" selected="0">
            <x v="27"/>
          </reference>
        </references>
      </pivotArea>
    </format>
    <format dxfId="621">
      <pivotArea type="all" dataOnly="0" outline="0" fieldPosition="0"/>
    </format>
    <format dxfId="620">
      <pivotArea outline="0" collapsedLevelsAreSubtotals="1" fieldPosition="0"/>
    </format>
    <format dxfId="619">
      <pivotArea dataOnly="0" labelOnly="1" grandRow="1" outline="0" fieldPosition="0"/>
    </format>
    <format dxfId="618">
      <pivotArea dataOnly="0" labelOnly="1" outline="0" fieldPosition="0">
        <references count="1">
          <reference field="2" count="0"/>
        </references>
      </pivotArea>
    </format>
    <format dxfId="617">
      <pivotArea grandRow="1" outline="0" collapsedLevelsAreSubtotals="1" fieldPosition="0"/>
    </format>
    <format dxfId="616">
      <pivotArea dataOnly="0" labelOnly="1" grandRow="1" outline="0" fieldPosition="0"/>
    </format>
    <format dxfId="615">
      <pivotArea field="2" grandRow="1" outline="0" collapsedLevelsAreSubtotals="1" axis="axisCol" fieldPosition="0">
        <references count="1">
          <reference field="2" count="1" selected="0">
            <x v="30"/>
          </reference>
        </references>
      </pivotArea>
    </format>
    <format dxfId="614">
      <pivotArea type="all" dataOnly="0" outline="0" fieldPosition="0"/>
    </format>
    <format dxfId="613">
      <pivotArea outline="0" collapsedLevelsAreSubtotals="1" fieldPosition="0"/>
    </format>
    <format dxfId="612">
      <pivotArea dataOnly="0" labelOnly="1" grandRow="1" outline="0" fieldPosition="0"/>
    </format>
    <format dxfId="611">
      <pivotArea dataOnly="0" labelOnly="1" outline="0" fieldPosition="0">
        <references count="1">
          <reference field="2" count="0"/>
        </references>
      </pivotArea>
    </format>
    <format dxfId="610">
      <pivotArea grandRow="1" outline="0" collapsedLevelsAreSubtotals="1" fieldPosition="0"/>
    </format>
    <format dxfId="609">
      <pivotArea dataOnly="0" labelOnly="1" grandRow="1" outline="0" fieldPosition="0"/>
    </format>
    <format dxfId="608">
      <pivotArea field="2" grandRow="1" outline="0" collapsedLevelsAreSubtotals="1" axis="axisCol" fieldPosition="0">
        <references count="1">
          <reference field="2" count="1" selected="0">
            <x v="32"/>
          </reference>
        </references>
      </pivotArea>
    </format>
    <format dxfId="607">
      <pivotArea type="all" dataOnly="0" outline="0" fieldPosition="0"/>
    </format>
    <format dxfId="606">
      <pivotArea outline="0" collapsedLevelsAreSubtotals="1" fieldPosition="0"/>
    </format>
    <format dxfId="605">
      <pivotArea dataOnly="0" labelOnly="1" grandRow="1" outline="0" fieldPosition="0"/>
    </format>
    <format dxfId="604">
      <pivotArea dataOnly="0" labelOnly="1" outline="0" fieldPosition="0">
        <references count="1">
          <reference field="2" count="0"/>
        </references>
      </pivotArea>
    </format>
    <format dxfId="603">
      <pivotArea grandRow="1" outline="0" collapsedLevelsAreSubtotals="1" fieldPosition="0"/>
    </format>
    <format dxfId="602">
      <pivotArea dataOnly="0" labelOnly="1" grandRow="1" outline="0" fieldPosition="0"/>
    </format>
    <format dxfId="601">
      <pivotArea field="2" grandRow="1" outline="0" collapsedLevelsAreSubtotals="1" axis="axisCol" fieldPosition="0">
        <references count="1">
          <reference field="2" count="1" selected="0">
            <x v="33"/>
          </reference>
        </references>
      </pivotArea>
    </format>
    <format dxfId="600">
      <pivotArea type="all" dataOnly="0" outline="0" fieldPosition="0"/>
    </format>
    <format dxfId="599">
      <pivotArea outline="0" collapsedLevelsAreSubtotals="1" fieldPosition="0"/>
    </format>
    <format dxfId="598">
      <pivotArea dataOnly="0" labelOnly="1" grandRow="1" outline="0" fieldPosition="0"/>
    </format>
    <format dxfId="597">
      <pivotArea dataOnly="0" labelOnly="1" outline="0" fieldPosition="0">
        <references count="1">
          <reference field="2" count="0"/>
        </references>
      </pivotArea>
    </format>
    <format dxfId="596">
      <pivotArea grandRow="1" outline="0" collapsedLevelsAreSubtotals="1" fieldPosition="0"/>
    </format>
    <format dxfId="595">
      <pivotArea dataOnly="0" labelOnly="1" grandRow="1" outline="0" fieldPosition="0"/>
    </format>
    <format dxfId="594">
      <pivotArea field="2" grandRow="1" outline="0" collapsedLevelsAreSubtotals="1" axis="axisCol" fieldPosition="0">
        <references count="1">
          <reference field="2" count="1" selected="0">
            <x v="34"/>
          </reference>
        </references>
      </pivotArea>
    </format>
    <format dxfId="593">
      <pivotArea type="all" dataOnly="0" outline="0" fieldPosition="0"/>
    </format>
    <format dxfId="592">
      <pivotArea outline="0" collapsedLevelsAreSubtotals="1" fieldPosition="0"/>
    </format>
    <format dxfId="591">
      <pivotArea dataOnly="0" labelOnly="1" grandRow="1" outline="0" fieldPosition="0"/>
    </format>
    <format dxfId="590">
      <pivotArea dataOnly="0" labelOnly="1" outline="0" fieldPosition="0">
        <references count="1">
          <reference field="2" count="0"/>
        </references>
      </pivotArea>
    </format>
    <format dxfId="589">
      <pivotArea grandRow="1" outline="0" collapsedLevelsAreSubtotals="1" fieldPosition="0"/>
    </format>
    <format dxfId="588">
      <pivotArea dataOnly="0" labelOnly="1" grandRow="1" outline="0" fieldPosition="0"/>
    </format>
    <format dxfId="587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586">
      <pivotArea type="all" dataOnly="0" outline="0" fieldPosition="0"/>
    </format>
    <format dxfId="585">
      <pivotArea outline="0" collapsedLevelsAreSubtotals="1" fieldPosition="0"/>
    </format>
    <format dxfId="584">
      <pivotArea dataOnly="0" labelOnly="1" grandRow="1" outline="0" fieldPosition="0"/>
    </format>
    <format dxfId="583">
      <pivotArea dataOnly="0" labelOnly="1" outline="0" fieldPosition="0">
        <references count="1">
          <reference field="2" count="0"/>
        </references>
      </pivotArea>
    </format>
    <format dxfId="582">
      <pivotArea grandRow="1" outline="0" collapsedLevelsAreSubtotals="1" fieldPosition="0"/>
    </format>
    <format dxfId="581">
      <pivotArea dataOnly="0" labelOnly="1" grandRow="1" outline="0" fieldPosition="0"/>
    </format>
    <format dxfId="580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579">
      <pivotArea type="all" dataOnly="0" outline="0" fieldPosition="0"/>
    </format>
    <format dxfId="578">
      <pivotArea outline="0" collapsedLevelsAreSubtotals="1" fieldPosition="0"/>
    </format>
    <format dxfId="577">
      <pivotArea dataOnly="0" labelOnly="1" grandRow="1" outline="0" fieldPosition="0"/>
    </format>
    <format dxfId="576">
      <pivotArea dataOnly="0" labelOnly="1" outline="0" fieldPosition="0">
        <references count="1">
          <reference field="2" count="0"/>
        </references>
      </pivotArea>
    </format>
    <format dxfId="575">
      <pivotArea grandRow="1" outline="0" collapsedLevelsAreSubtotals="1" fieldPosition="0"/>
    </format>
    <format dxfId="574">
      <pivotArea dataOnly="0" labelOnly="1" grandRow="1" outline="0" fieldPosition="0"/>
    </format>
    <format dxfId="573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572">
      <pivotArea type="all" dataOnly="0" outline="0" fieldPosition="0"/>
    </format>
    <format dxfId="571">
      <pivotArea outline="0" collapsedLevelsAreSubtotals="1" fieldPosition="0"/>
    </format>
    <format dxfId="570">
      <pivotArea dataOnly="0" labelOnly="1" grandRow="1" outline="0" fieldPosition="0"/>
    </format>
    <format dxfId="569">
      <pivotArea dataOnly="0" labelOnly="1" outline="0" fieldPosition="0">
        <references count="1">
          <reference field="2" count="0"/>
        </references>
      </pivotArea>
    </format>
    <format dxfId="568">
      <pivotArea grandRow="1" outline="0" collapsedLevelsAreSubtotals="1" fieldPosition="0"/>
    </format>
    <format dxfId="567">
      <pivotArea dataOnly="0" labelOnly="1" grandRow="1" outline="0" fieldPosition="0"/>
    </format>
    <format dxfId="566">
      <pivotArea field="2" grandRow="1" outline="0" collapsedLevelsAreSubtotals="1" axis="axisCol" fieldPosition="0">
        <references count="1">
          <reference field="2" count="1" selected="0">
            <x v="10"/>
          </reference>
        </references>
      </pivotArea>
    </format>
    <format dxfId="565">
      <pivotArea type="all" dataOnly="0" outline="0" fieldPosition="0"/>
    </format>
    <format dxfId="564">
      <pivotArea outline="0" collapsedLevelsAreSubtotals="1" fieldPosition="0"/>
    </format>
    <format dxfId="563">
      <pivotArea dataOnly="0" labelOnly="1" grandRow="1" outline="0" fieldPosition="0"/>
    </format>
    <format dxfId="562">
      <pivotArea dataOnly="0" labelOnly="1" outline="0" fieldPosition="0">
        <references count="1">
          <reference field="2" count="0"/>
        </references>
      </pivotArea>
    </format>
    <format dxfId="561">
      <pivotArea grandRow="1" outline="0" collapsedLevelsAreSubtotals="1" fieldPosition="0"/>
    </format>
    <format dxfId="560">
      <pivotArea dataOnly="0" labelOnly="1" grandRow="1" outline="0" fieldPosition="0"/>
    </format>
    <format dxfId="559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558">
      <pivotArea type="all" dataOnly="0" outline="0" fieldPosition="0"/>
    </format>
    <format dxfId="557">
      <pivotArea outline="0" collapsedLevelsAreSubtotals="1" fieldPosition="0"/>
    </format>
    <format dxfId="556">
      <pivotArea dataOnly="0" labelOnly="1" grandRow="1" outline="0" fieldPosition="0"/>
    </format>
    <format dxfId="555">
      <pivotArea dataOnly="0" labelOnly="1" outline="0" fieldPosition="0">
        <references count="1">
          <reference field="2" count="0"/>
        </references>
      </pivotArea>
    </format>
    <format dxfId="554">
      <pivotArea grandRow="1" outline="0" collapsedLevelsAreSubtotals="1" fieldPosition="0"/>
    </format>
    <format dxfId="553">
      <pivotArea dataOnly="0" labelOnly="1" grandRow="1" outline="0" fieldPosition="0"/>
    </format>
    <format dxfId="552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551">
      <pivotArea type="all" dataOnly="0" outline="0" fieldPosition="0"/>
    </format>
    <format dxfId="550">
      <pivotArea outline="0" collapsedLevelsAreSubtotals="1" fieldPosition="0"/>
    </format>
    <format dxfId="549">
      <pivotArea dataOnly="0" labelOnly="1" grandRow="1" outline="0" fieldPosition="0"/>
    </format>
    <format dxfId="548">
      <pivotArea dataOnly="0" labelOnly="1" outline="0" fieldPosition="0">
        <references count="1">
          <reference field="2" count="0"/>
        </references>
      </pivotArea>
    </format>
    <format dxfId="547">
      <pivotArea grandRow="1" outline="0" collapsedLevelsAreSubtotals="1" fieldPosition="0"/>
    </format>
    <format dxfId="546">
      <pivotArea dataOnly="0" labelOnly="1" grandRow="1" outline="0" fieldPosition="0"/>
    </format>
    <format dxfId="545">
      <pivotArea field="2" grandRow="1" outline="0" collapsedLevelsAreSubtotals="1" axis="axisCol" fieldPosition="0">
        <references count="1">
          <reference field="2" count="1" selected="0">
            <x v="15"/>
          </reference>
        </references>
      </pivotArea>
    </format>
    <format dxfId="544">
      <pivotArea type="all" dataOnly="0" outline="0" fieldPosition="0"/>
    </format>
    <format dxfId="543">
      <pivotArea outline="0" collapsedLevelsAreSubtotals="1" fieldPosition="0"/>
    </format>
    <format dxfId="542">
      <pivotArea dataOnly="0" labelOnly="1" grandRow="1" outline="0" fieldPosition="0"/>
    </format>
    <format dxfId="541">
      <pivotArea dataOnly="0" labelOnly="1" outline="0" fieldPosition="0">
        <references count="1">
          <reference field="2" count="0"/>
        </references>
      </pivotArea>
    </format>
    <format dxfId="540">
      <pivotArea grandRow="1" outline="0" collapsedLevelsAreSubtotals="1" fieldPosition="0"/>
    </format>
    <format dxfId="539">
      <pivotArea dataOnly="0" labelOnly="1" grandRow="1" outline="0" fieldPosition="0"/>
    </format>
    <format dxfId="538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537">
      <pivotArea type="all" dataOnly="0" outline="0" fieldPosition="0"/>
    </format>
    <format dxfId="536">
      <pivotArea outline="0" collapsedLevelsAreSubtotals="1" fieldPosition="0"/>
    </format>
    <format dxfId="535">
      <pivotArea dataOnly="0" labelOnly="1" grandRow="1" outline="0" fieldPosition="0"/>
    </format>
    <format dxfId="534">
      <pivotArea dataOnly="0" labelOnly="1" outline="0" fieldPosition="0">
        <references count="1">
          <reference field="2" count="0"/>
        </references>
      </pivotArea>
    </format>
    <format dxfId="533">
      <pivotArea grandRow="1" outline="0" collapsedLevelsAreSubtotals="1" fieldPosition="0"/>
    </format>
    <format dxfId="532">
      <pivotArea dataOnly="0" labelOnly="1" grandRow="1" outline="0" fieldPosition="0"/>
    </format>
    <format dxfId="531">
      <pivotArea field="2" grandRow="1" outline="0" collapsedLevelsAreSubtotals="1" axis="axisCol" fieldPosition="0">
        <references count="1">
          <reference field="2" count="1" selected="0">
            <x v="4"/>
          </reference>
        </references>
      </pivotArea>
    </format>
    <format dxfId="530">
      <pivotArea type="all" dataOnly="0" outline="0" fieldPosition="0"/>
    </format>
    <format dxfId="529">
      <pivotArea outline="0" collapsedLevelsAreSubtotals="1" fieldPosition="0"/>
    </format>
    <format dxfId="528">
      <pivotArea dataOnly="0" labelOnly="1" grandRow="1" outline="0" fieldPosition="0"/>
    </format>
    <format dxfId="527">
      <pivotArea dataOnly="0" labelOnly="1" outline="0" fieldPosition="0">
        <references count="1">
          <reference field="2" count="0"/>
        </references>
      </pivotArea>
    </format>
    <format dxfId="526">
      <pivotArea grandRow="1" outline="0" collapsedLevelsAreSubtotals="1" fieldPosition="0"/>
    </format>
    <format dxfId="525">
      <pivotArea dataOnly="0" labelOnly="1" grandRow="1" outline="0" fieldPosition="0"/>
    </format>
    <format dxfId="524">
      <pivotArea field="2" grandRow="1" outline="0" collapsedLevelsAreSubtotals="1" axis="axisCol" fieldPosition="0">
        <references count="1">
          <reference field="2" count="1" selected="0">
            <x v="5"/>
          </reference>
        </references>
      </pivotArea>
    </format>
    <format dxfId="523">
      <pivotArea type="all" dataOnly="0" outline="0" fieldPosition="0"/>
    </format>
    <format dxfId="522">
      <pivotArea outline="0" collapsedLevelsAreSubtotals="1" fieldPosition="0"/>
    </format>
    <format dxfId="521">
      <pivotArea dataOnly="0" labelOnly="1" grandRow="1" outline="0" fieldPosition="0"/>
    </format>
    <format dxfId="520">
      <pivotArea dataOnly="0" labelOnly="1" outline="0" fieldPosition="0">
        <references count="1">
          <reference field="2" count="0"/>
        </references>
      </pivotArea>
    </format>
    <format dxfId="519">
      <pivotArea grandRow="1" outline="0" collapsedLevelsAreSubtotals="1" fieldPosition="0"/>
    </format>
    <format dxfId="518">
      <pivotArea dataOnly="0" labelOnly="1" grandRow="1" outline="0" fieldPosition="0"/>
    </format>
    <format dxfId="517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516">
      <pivotArea type="all" dataOnly="0" outline="0" fieldPosition="0"/>
    </format>
    <format dxfId="515">
      <pivotArea outline="0" collapsedLevelsAreSubtotals="1" fieldPosition="0"/>
    </format>
    <format dxfId="514">
      <pivotArea dataOnly="0" labelOnly="1" grandRow="1" outline="0" fieldPosition="0"/>
    </format>
    <format dxfId="513">
      <pivotArea dataOnly="0" labelOnly="1" outline="0" fieldPosition="0">
        <references count="1">
          <reference field="2" count="0"/>
        </references>
      </pivotArea>
    </format>
    <format dxfId="512">
      <pivotArea grandRow="1" outline="0" collapsedLevelsAreSubtotals="1" fieldPosition="0"/>
    </format>
    <format dxfId="511">
      <pivotArea dataOnly="0" labelOnly="1" grandRow="1" outline="0" fieldPosition="0"/>
    </format>
    <format dxfId="510">
      <pivotArea field="2" grandRow="1" outline="0" collapsedLevelsAreSubtotals="1" axis="axisCol" fieldPosition="0">
        <references count="1">
          <reference field="2" count="1" selected="0">
            <x v="7"/>
          </reference>
        </references>
      </pivotArea>
    </format>
    <format dxfId="509">
      <pivotArea type="all" dataOnly="0" outline="0" fieldPosition="0"/>
    </format>
    <format dxfId="508">
      <pivotArea outline="0" collapsedLevelsAreSubtotals="1" fieldPosition="0"/>
    </format>
    <format dxfId="507">
      <pivotArea dataOnly="0" labelOnly="1" grandRow="1" outline="0" fieldPosition="0"/>
    </format>
    <format dxfId="506">
      <pivotArea dataOnly="0" labelOnly="1" outline="0" fieldPosition="0">
        <references count="1">
          <reference field="2" count="0"/>
        </references>
      </pivotArea>
    </format>
    <format dxfId="505">
      <pivotArea grandRow="1" outline="0" collapsedLevelsAreSubtotals="1" fieldPosition="0"/>
    </format>
    <format dxfId="504">
      <pivotArea dataOnly="0" labelOnly="1" grandRow="1" outline="0" fieldPosition="0"/>
    </format>
    <format dxfId="503">
      <pivotArea field="2" grandRow="1" outline="0" collapsedLevelsAreSubtotals="1" axis="axisCol" fieldPosition="0">
        <references count="1">
          <reference field="2" count="1" selected="0">
            <x v="8"/>
          </reference>
        </references>
      </pivotArea>
    </format>
    <format dxfId="502">
      <pivotArea type="all" dataOnly="0" outline="0" fieldPosition="0"/>
    </format>
    <format dxfId="501">
      <pivotArea outline="0" collapsedLevelsAreSubtotals="1" fieldPosition="0"/>
    </format>
    <format dxfId="500">
      <pivotArea dataOnly="0" labelOnly="1" grandRow="1" outline="0" fieldPosition="0"/>
    </format>
    <format dxfId="499">
      <pivotArea dataOnly="0" labelOnly="1" outline="0" fieldPosition="0">
        <references count="1">
          <reference field="2" count="0"/>
        </references>
      </pivotArea>
    </format>
    <format dxfId="498">
      <pivotArea grandRow="1" outline="0" collapsedLevelsAreSubtotals="1" fieldPosition="0"/>
    </format>
    <format dxfId="497">
      <pivotArea dataOnly="0" labelOnly="1" grandRow="1" outline="0" fieldPosition="0"/>
    </format>
    <format dxfId="496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495">
      <pivotArea type="all" dataOnly="0" outline="0" fieldPosition="0"/>
    </format>
    <format dxfId="494">
      <pivotArea outline="0" collapsedLevelsAreSubtotals="1" fieldPosition="0"/>
    </format>
    <format dxfId="493">
      <pivotArea dataOnly="0" labelOnly="1" grandRow="1" outline="0" fieldPosition="0"/>
    </format>
    <format dxfId="492">
      <pivotArea dataOnly="0" labelOnly="1" outline="0" fieldPosition="0">
        <references count="1">
          <reference field="2" count="0"/>
        </references>
      </pivotArea>
    </format>
    <format dxfId="491">
      <pivotArea grandRow="1" outline="0" collapsedLevelsAreSubtotals="1" fieldPosition="0"/>
    </format>
    <format dxfId="490">
      <pivotArea dataOnly="0" labelOnly="1" grandRow="1" outline="0" fieldPosition="0"/>
    </format>
    <format dxfId="489">
      <pivotArea field="2" grandRow="1" outline="0" collapsedLevelsAreSubtotals="1" axis="axisCol" fieldPosition="0">
        <references count="1">
          <reference field="2" count="1" selected="0">
            <x v="24"/>
          </reference>
        </references>
      </pivotArea>
    </format>
    <format dxfId="488">
      <pivotArea type="all" dataOnly="0" outline="0" fieldPosition="0"/>
    </format>
    <format dxfId="487">
      <pivotArea outline="0" collapsedLevelsAreSubtotals="1" fieldPosition="0"/>
    </format>
    <format dxfId="486">
      <pivotArea dataOnly="0" labelOnly="1" grandRow="1" outline="0" fieldPosition="0"/>
    </format>
    <format dxfId="485">
      <pivotArea dataOnly="0" labelOnly="1" outline="0" fieldPosition="0">
        <references count="1">
          <reference field="2" count="0"/>
        </references>
      </pivotArea>
    </format>
    <format dxfId="484">
      <pivotArea grandRow="1" outline="0" collapsedLevelsAreSubtotals="1" fieldPosition="0"/>
    </format>
    <format dxfId="483">
      <pivotArea dataOnly="0" labelOnly="1" grandRow="1" outline="0" fieldPosition="0"/>
    </format>
    <format dxfId="482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481">
      <pivotArea type="all" dataOnly="0" outline="0" fieldPosition="0"/>
    </format>
    <format dxfId="480">
      <pivotArea outline="0" collapsedLevelsAreSubtotals="1" fieldPosition="0"/>
    </format>
    <format dxfId="479">
      <pivotArea dataOnly="0" labelOnly="1" grandRow="1" outline="0" fieldPosition="0"/>
    </format>
    <format dxfId="478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ГодСводная" cacheId="3" applyNumberFormats="0" applyBorderFormats="0" applyFontFormats="0" applyPatternFormats="0" applyAlignmentFormats="0" applyWidthHeightFormats="1" dataCaption="Значения" missingCaption="0" updatedVersion="5" minRefreshableVersion="3" showDataTips="0" useAutoFormatting="1" colGrandTotals="0" itemPrintTitles="1" createdVersion="5" indent="0" compact="0" compactData="0" gridDropZones="1" multipleFieldFilters="0">
  <location ref="A11:AN14" firstHeaderRow="1" firstDataRow="2" firstDataCol="2"/>
  <pivotFields count="4">
    <pivotField axis="axisRow" compact="0" outline="0" showAll="0">
      <items count="2">
        <item sd="0" x="0"/>
        <item t="default" sd="0"/>
      </items>
    </pivotField>
    <pivotField axis="axisRow" compact="0" outline="0" showAll="0">
      <items count="2">
        <item x="0"/>
        <item t="default"/>
      </items>
    </pivotField>
    <pivotField axis="axisCol" compact="0" outline="0" showAll="0">
      <items count="39">
        <item x="37"/>
        <item x="0"/>
        <item x="3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dataField="1" compact="0" outline="0" showAll="0"/>
  </pivotFields>
  <rowFields count="2">
    <field x="0"/>
    <field x="1"/>
  </rowFields>
  <rowItems count="2">
    <i>
      <x/>
    </i>
    <i t="grand">
      <x/>
    </i>
  </rowItems>
  <colFields count="1">
    <field x="2"/>
  </colFields>
  <colItems count="3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</colItems>
  <dataFields count="1">
    <dataField name=" Значения услуг" fld="3" baseField="1" baseItem="0"/>
  </dataFields>
  <formats count="431">
    <format dxfId="451">
      <pivotArea type="all" dataOnly="0" outline="0" fieldPosition="0"/>
    </format>
    <format dxfId="450">
      <pivotArea type="all" dataOnly="0" outline="0" fieldPosition="0"/>
    </format>
    <format dxfId="449">
      <pivotArea outline="0" collapsedLevelsAreSubtotals="1" fieldPosition="0"/>
    </format>
    <format dxfId="448">
      <pivotArea dataOnly="0" labelOnly="1" outline="0" fieldPosition="0">
        <references count="1">
          <reference field="0" count="0"/>
        </references>
      </pivotArea>
    </format>
    <format dxfId="447">
      <pivotArea dataOnly="0" labelOnly="1" outline="0" fieldPosition="0">
        <references count="1">
          <reference field="0" count="0" defaultSubtotal="1"/>
        </references>
      </pivotArea>
    </format>
    <format dxfId="446">
      <pivotArea dataOnly="0" labelOnly="1" grandRow="1" outline="0" fieldPosition="0"/>
    </format>
    <format dxfId="445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444">
      <pivotArea dataOnly="0" labelOnly="1" outline="0" fieldPosition="0">
        <references count="1">
          <reference field="2" count="0"/>
        </references>
      </pivotArea>
    </format>
    <format dxfId="443">
      <pivotArea type="all" dataOnly="0" outline="0" fieldPosition="0"/>
    </format>
    <format dxfId="442">
      <pivotArea type="all" dataOnly="0" outline="0" fieldPosition="0"/>
    </format>
    <format dxfId="441">
      <pivotArea type="origin" dataOnly="0" labelOnly="1" outline="0" fieldPosition="0"/>
    </format>
    <format dxfId="440">
      <pivotArea field="0" type="button" dataOnly="0" labelOnly="1" outline="0" axis="axisRow" fieldPosition="0"/>
    </format>
    <format dxfId="439">
      <pivotArea field="0" type="button" dataOnly="0" labelOnly="1" outline="0" axis="axisRow" fieldPosition="0"/>
    </format>
    <format dxfId="438">
      <pivotArea field="1" type="button" dataOnly="0" labelOnly="1" outline="0" axis="axisRow" fieldPosition="1"/>
    </format>
    <format dxfId="437">
      <pivotArea field="1" type="button" dataOnly="0" labelOnly="1" outline="0" axis="axisRow" fieldPosition="1"/>
    </format>
    <format dxfId="436">
      <pivotArea dataOnly="0" labelOnly="1" outline="0" fieldPosition="0">
        <references count="1">
          <reference field="0" count="0"/>
        </references>
      </pivotArea>
    </format>
    <format dxfId="435">
      <pivotArea dataOnly="0" labelOnly="1" outline="0" fieldPosition="0">
        <references count="1">
          <reference field="0" count="0" defaultSubtotal="1"/>
        </references>
      </pivotArea>
    </format>
    <format dxfId="434">
      <pivotArea dataOnly="0" labelOnly="1" grandRow="1" outline="0" fieldPosition="0"/>
    </format>
    <format dxfId="433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432">
      <pivotArea dataOnly="0" labelOnly="1" outline="0" fieldPosition="0">
        <references count="1">
          <reference field="0" count="0"/>
        </references>
      </pivotArea>
    </format>
    <format dxfId="431">
      <pivotArea dataOnly="0" labelOnly="1" outline="0" fieldPosition="0">
        <references count="1">
          <reference field="0" count="0" defaultSubtotal="1"/>
        </references>
      </pivotArea>
    </format>
    <format dxfId="430">
      <pivotArea dataOnly="0" labelOnly="1" grandRow="1" outline="0" fieldPosition="0"/>
    </format>
    <format dxfId="429">
      <pivotArea dataOnly="0" labelOnly="1" outline="0" fieldPosition="0">
        <references count="2">
          <reference field="0" count="0" selected="0"/>
          <reference field="1" count="0"/>
        </references>
      </pivotArea>
    </format>
    <format dxfId="428">
      <pivotArea type="all" dataOnly="0" outline="0" fieldPosition="0"/>
    </format>
    <format dxfId="427">
      <pivotArea dataOnly="0" labelOnly="1" outline="0" fieldPosition="0">
        <references count="1">
          <reference field="2" count="0"/>
        </references>
      </pivotArea>
    </format>
    <format dxfId="426">
      <pivotArea dataOnly="0" outline="0" fieldPosition="0">
        <references count="1">
          <reference field="2" count="1">
            <x v="2"/>
          </reference>
        </references>
      </pivotArea>
    </format>
    <format dxfId="425">
      <pivotArea dataOnly="0" labelOnly="1" outline="0" fieldPosition="0">
        <references count="1">
          <reference field="2" count="0"/>
        </references>
      </pivotArea>
    </format>
    <format dxfId="424">
      <pivotArea dataOnly="0" labelOnly="1" outline="0" fieldPosition="0">
        <references count="1">
          <reference field="2" count="1">
            <x v="1"/>
          </reference>
        </references>
      </pivotArea>
    </format>
    <format dxfId="423">
      <pivotArea dataOnly="0" labelOnly="1" outline="0" fieldPosition="0">
        <references count="1">
          <reference field="2" count="1">
            <x v="1"/>
          </reference>
        </references>
      </pivotArea>
    </format>
    <format dxfId="422">
      <pivotArea type="all" dataOnly="0" outline="0" fieldPosition="0"/>
    </format>
    <format dxfId="421">
      <pivotArea outline="0" collapsedLevelsAreSubtotals="1" fieldPosition="0"/>
    </format>
    <format dxfId="420">
      <pivotArea dataOnly="0" labelOnly="1" outline="0" fieldPosition="0">
        <references count="1">
          <reference field="0" count="0"/>
        </references>
      </pivotArea>
    </format>
    <format dxfId="419">
      <pivotArea dataOnly="0" labelOnly="1" grandRow="1" outline="0" fieldPosition="0"/>
    </format>
    <format dxfId="418">
      <pivotArea dataOnly="0" labelOnly="1" outline="0" fieldPosition="0">
        <references count="1">
          <reference field="2" count="0"/>
        </references>
      </pivotArea>
    </format>
    <format dxfId="417">
      <pivotArea type="all" dataOnly="0" outline="0" fieldPosition="0"/>
    </format>
    <format dxfId="416">
      <pivotArea outline="0" collapsedLevelsAreSubtotals="1" fieldPosition="0"/>
    </format>
    <format dxfId="415">
      <pivotArea dataOnly="0" labelOnly="1" outline="0" fieldPosition="0">
        <references count="1">
          <reference field="0" count="0"/>
        </references>
      </pivotArea>
    </format>
    <format dxfId="414">
      <pivotArea dataOnly="0" labelOnly="1" grandRow="1" outline="0" fieldPosition="0"/>
    </format>
    <format dxfId="413">
      <pivotArea dataOnly="0" labelOnly="1" outline="0" fieldPosition="0">
        <references count="1">
          <reference field="2" count="0"/>
        </references>
      </pivotArea>
    </format>
    <format dxfId="412">
      <pivotArea type="all" dataOnly="0" outline="0" fieldPosition="0"/>
    </format>
    <format dxfId="411">
      <pivotArea outline="0" collapsedLevelsAreSubtotals="1" fieldPosition="0"/>
    </format>
    <format dxfId="410">
      <pivotArea dataOnly="0" labelOnly="1" outline="0" fieldPosition="0">
        <references count="1">
          <reference field="0" count="0"/>
        </references>
      </pivotArea>
    </format>
    <format dxfId="409">
      <pivotArea dataOnly="0" labelOnly="1" grandRow="1" outline="0" fieldPosition="0"/>
    </format>
    <format dxfId="408">
      <pivotArea dataOnly="0" labelOnly="1" outline="0" fieldPosition="0">
        <references count="1">
          <reference field="2" count="0"/>
        </references>
      </pivotArea>
    </format>
    <format dxfId="407">
      <pivotArea type="all" dataOnly="0" outline="0" fieldPosition="0"/>
    </format>
    <format dxfId="406">
      <pivotArea outline="0" collapsedLevelsAreSubtotals="1" fieldPosition="0"/>
    </format>
    <format dxfId="405">
      <pivotArea dataOnly="0" labelOnly="1" grandRow="1" outline="0" fieldPosition="0"/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grandRow="1" outline="0" collapsedLevelsAreSubtotals="1" fieldPosition="0"/>
    </format>
    <format dxfId="402">
      <pivotArea dataOnly="0" labelOnly="1" grandRow="1" outline="0" fieldPosition="0"/>
    </format>
    <format dxfId="401">
      <pivotArea dataOnly="0" labelOnly="1" grandRow="1" outline="0" offset="IV256" fieldPosition="0"/>
    </format>
    <format dxfId="400">
      <pivotArea type="all" dataOnly="0" outline="0" fieldPosition="0"/>
    </format>
    <format dxfId="399">
      <pivotArea outline="0" collapsedLevelsAreSubtotals="1" fieldPosition="0"/>
    </format>
    <format dxfId="398">
      <pivotArea dataOnly="0" labelOnly="1" outline="0" fieldPosition="0">
        <references count="1">
          <reference field="0" count="0"/>
        </references>
      </pivotArea>
    </format>
    <format dxfId="397">
      <pivotArea dataOnly="0" labelOnly="1" grandRow="1" outline="0" fieldPosition="0"/>
    </format>
    <format dxfId="396">
      <pivotArea dataOnly="0" labelOnly="1" outline="0" fieldPosition="0">
        <references count="1">
          <reference field="2" count="0"/>
        </references>
      </pivotArea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dataOnly="0" labelOnly="1" grandRow="1" outline="0" fieldPosition="0"/>
    </format>
    <format dxfId="392">
      <pivotArea dataOnly="0" labelOnly="1" outline="0" fieldPosition="0">
        <references count="1">
          <reference field="2" count="0"/>
        </references>
      </pivotArea>
    </format>
    <format dxfId="391">
      <pivotArea grandRow="1" outline="0" collapsedLevelsAreSubtotals="1" fieldPosition="0"/>
    </format>
    <format dxfId="390">
      <pivotArea dataOnly="0" labelOnly="1" grandRow="1" outline="0" fieldPosition="0"/>
    </format>
    <format dxfId="389">
      <pivotArea field="2" grandRow="1" outline="0" collapsedLevelsAreSubtotals="1" axis="axisCol" fieldPosition="0">
        <references count="1">
          <reference field="2" count="1" selected="0">
            <x v="3"/>
          </reference>
        </references>
      </pivotArea>
    </format>
    <format dxfId="388">
      <pivotArea type="all" dataOnly="0" outline="0" fieldPosition="0"/>
    </format>
    <format dxfId="387">
      <pivotArea outline="0" collapsedLevelsAreSubtotals="1" fieldPosition="0"/>
    </format>
    <format dxfId="386">
      <pivotArea dataOnly="0" labelOnly="1" grandRow="1" outline="0" fieldPosition="0"/>
    </format>
    <format dxfId="385">
      <pivotArea dataOnly="0" labelOnly="1" outline="0" fieldPosition="0">
        <references count="1">
          <reference field="2" count="0"/>
        </references>
      </pivotArea>
    </format>
    <format dxfId="384">
      <pivotArea grandRow="1" outline="0" collapsedLevelsAreSubtotals="1" fieldPosition="0"/>
    </format>
    <format dxfId="383">
      <pivotArea dataOnly="0" labelOnly="1" grandRow="1" outline="0" fieldPosition="0"/>
    </format>
    <format dxfId="382">
      <pivotArea field="2" grandRow="1" outline="0" collapsedLevelsAreSubtotals="1" axis="axisCol" fieldPosition="0">
        <references count="1">
          <reference field="2" count="1" selected="0">
            <x v="4"/>
          </reference>
        </references>
      </pivotArea>
    </format>
    <format dxfId="381">
      <pivotArea type="all" dataOnly="0" outline="0" fieldPosition="0"/>
    </format>
    <format dxfId="380">
      <pivotArea outline="0" collapsedLevelsAreSubtotals="1" fieldPosition="0"/>
    </format>
    <format dxfId="379">
      <pivotArea dataOnly="0" labelOnly="1" grandRow="1" outline="0" fieldPosition="0"/>
    </format>
    <format dxfId="378">
      <pivotArea dataOnly="0" labelOnly="1" outline="0" fieldPosition="0">
        <references count="1">
          <reference field="2" count="0"/>
        </references>
      </pivotArea>
    </format>
    <format dxfId="377">
      <pivotArea grandRow="1" outline="0" collapsedLevelsAreSubtotals="1" fieldPosition="0"/>
    </format>
    <format dxfId="376">
      <pivotArea dataOnly="0" labelOnly="1" grandRow="1" outline="0" fieldPosition="0"/>
    </format>
    <format dxfId="375">
      <pivotArea field="2" grandRow="1" outline="0" collapsedLevelsAreSubtotals="1" axis="axisCol" fieldPosition="0">
        <references count="1">
          <reference field="2" count="1" selected="0">
            <x v="5"/>
          </reference>
        </references>
      </pivotArea>
    </format>
    <format dxfId="374">
      <pivotArea type="all" dataOnly="0" outline="0" fieldPosition="0"/>
    </format>
    <format dxfId="373">
      <pivotArea outline="0" collapsedLevelsAreSubtotals="1" fieldPosition="0"/>
    </format>
    <format dxfId="372">
      <pivotArea dataOnly="0" labelOnly="1" grandRow="1" outline="0" fieldPosition="0"/>
    </format>
    <format dxfId="371">
      <pivotArea dataOnly="0" labelOnly="1" outline="0" fieldPosition="0">
        <references count="1">
          <reference field="2" count="0"/>
        </references>
      </pivotArea>
    </format>
    <format dxfId="370">
      <pivotArea grandRow="1" outline="0" collapsedLevelsAreSubtotals="1" fieldPosition="0"/>
    </format>
    <format dxfId="369">
      <pivotArea dataOnly="0" labelOnly="1" grandRow="1" outline="0" fieldPosition="0"/>
    </format>
    <format dxfId="368">
      <pivotArea field="2" grandRow="1" outline="0" collapsedLevelsAreSubtotals="1" axis="axisCol" fieldPosition="0">
        <references count="1">
          <reference field="2" count="1" selected="0">
            <x v="6"/>
          </reference>
        </references>
      </pivotArea>
    </format>
    <format dxfId="367">
      <pivotArea type="all" dataOnly="0" outline="0" fieldPosition="0"/>
    </format>
    <format dxfId="366">
      <pivotArea outline="0" collapsedLevelsAreSubtotals="1" fieldPosition="0"/>
    </format>
    <format dxfId="365">
      <pivotArea dataOnly="0" labelOnly="1" grandRow="1" outline="0" fieldPosition="0"/>
    </format>
    <format dxfId="364">
      <pivotArea dataOnly="0" labelOnly="1" outline="0" fieldPosition="0">
        <references count="1">
          <reference field="2" count="0"/>
        </references>
      </pivotArea>
    </format>
    <format dxfId="363">
      <pivotArea grandRow="1" outline="0" collapsedLevelsAreSubtotals="1" fieldPosition="0"/>
    </format>
    <format dxfId="362">
      <pivotArea dataOnly="0" labelOnly="1" grandRow="1" outline="0" fieldPosition="0"/>
    </format>
    <format dxfId="361">
      <pivotArea field="2" grandRow="1" outline="0" collapsedLevelsAreSubtotals="1" axis="axisCol" fieldPosition="0">
        <references count="1">
          <reference field="2" count="1" selected="0">
            <x v="7"/>
          </reference>
        </references>
      </pivotArea>
    </format>
    <format dxfId="360">
      <pivotArea type="all" dataOnly="0" outline="0" fieldPosition="0"/>
    </format>
    <format dxfId="359">
      <pivotArea outline="0" collapsedLevelsAreSubtotals="1" fieldPosition="0"/>
    </format>
    <format dxfId="358">
      <pivotArea dataOnly="0" labelOnly="1" grandRow="1" outline="0" fieldPosition="0"/>
    </format>
    <format dxfId="357">
      <pivotArea dataOnly="0" labelOnly="1" outline="0" fieldPosition="0">
        <references count="1">
          <reference field="2" count="0"/>
        </references>
      </pivotArea>
    </format>
    <format dxfId="356">
      <pivotArea grandRow="1" outline="0" collapsedLevelsAreSubtotals="1" fieldPosition="0"/>
    </format>
    <format dxfId="355">
      <pivotArea dataOnly="0" labelOnly="1" grandRow="1" outline="0" fieldPosition="0"/>
    </format>
    <format dxfId="354">
      <pivotArea field="2" grandRow="1" outline="0" collapsedLevelsAreSubtotals="1" axis="axisCol" fieldPosition="0">
        <references count="1">
          <reference field="2" count="1" selected="0">
            <x v="8"/>
          </reference>
        </references>
      </pivotArea>
    </format>
    <format dxfId="353">
      <pivotArea type="all" dataOnly="0" outline="0" fieldPosition="0"/>
    </format>
    <format dxfId="352">
      <pivotArea outline="0" collapsedLevelsAreSubtotals="1" fieldPosition="0"/>
    </format>
    <format dxfId="351">
      <pivotArea dataOnly="0" labelOnly="1" grandRow="1" outline="0" fieldPosition="0"/>
    </format>
    <format dxfId="350">
      <pivotArea dataOnly="0" labelOnly="1" outline="0" fieldPosition="0">
        <references count="1">
          <reference field="2" count="0"/>
        </references>
      </pivotArea>
    </format>
    <format dxfId="349">
      <pivotArea grandRow="1" outline="0" collapsedLevelsAreSubtotals="1" fieldPosition="0"/>
    </format>
    <format dxfId="348">
      <pivotArea dataOnly="0" labelOnly="1" grandRow="1" outline="0" fieldPosition="0"/>
    </format>
    <format dxfId="347">
      <pivotArea field="2" grandRow="1" outline="0" collapsedLevelsAreSubtotals="1" axis="axisCol" fieldPosition="0">
        <references count="1">
          <reference field="2" count="1" selected="0">
            <x v="9"/>
          </reference>
        </references>
      </pivotArea>
    </format>
    <format dxfId="346">
      <pivotArea type="all" dataOnly="0" outline="0" fieldPosition="0"/>
    </format>
    <format dxfId="345">
      <pivotArea outline="0" collapsedLevelsAreSubtotals="1" fieldPosition="0"/>
    </format>
    <format dxfId="344">
      <pivotArea dataOnly="0" labelOnly="1" grandRow="1" outline="0" fieldPosition="0"/>
    </format>
    <format dxfId="343">
      <pivotArea dataOnly="0" labelOnly="1" outline="0" fieldPosition="0">
        <references count="1">
          <reference field="2" count="0"/>
        </references>
      </pivotArea>
    </format>
    <format dxfId="342">
      <pivotArea grandRow="1" outline="0" collapsedLevelsAreSubtotals="1" fieldPosition="0"/>
    </format>
    <format dxfId="341">
      <pivotArea dataOnly="0" labelOnly="1" grandRow="1" outline="0" fieldPosition="0"/>
    </format>
    <format dxfId="340">
      <pivotArea field="2" grandRow="1" outline="0" collapsedLevelsAreSubtotals="1" axis="axisCol" fieldPosition="0">
        <references count="1">
          <reference field="2" count="1" selected="0">
            <x v="10"/>
          </reference>
        </references>
      </pivotArea>
    </format>
    <format dxfId="339">
      <pivotArea type="all" dataOnly="0" outline="0" fieldPosition="0"/>
    </format>
    <format dxfId="338">
      <pivotArea outline="0" collapsedLevelsAreSubtotals="1" fieldPosition="0"/>
    </format>
    <format dxfId="337">
      <pivotArea dataOnly="0" labelOnly="1" grandRow="1" outline="0" fieldPosition="0"/>
    </format>
    <format dxfId="336">
      <pivotArea dataOnly="0" labelOnly="1" outline="0" fieldPosition="0">
        <references count="1">
          <reference field="2" count="0"/>
        </references>
      </pivotArea>
    </format>
    <format dxfId="335">
      <pivotArea grandRow="1" outline="0" collapsedLevelsAreSubtotals="1" fieldPosition="0"/>
    </format>
    <format dxfId="334">
      <pivotArea dataOnly="0" labelOnly="1" grandRow="1" outline="0" fieldPosition="0"/>
    </format>
    <format dxfId="333">
      <pivotArea field="2" grandRow="1" outline="0" collapsedLevelsAreSubtotals="1" axis="axisCol" fieldPosition="0">
        <references count="1">
          <reference field="2" count="1" selected="0">
            <x v="11"/>
          </reference>
        </references>
      </pivotArea>
    </format>
    <format dxfId="332">
      <pivotArea type="all" dataOnly="0" outline="0" fieldPosition="0"/>
    </format>
    <format dxfId="331">
      <pivotArea outline="0" collapsedLevelsAreSubtotals="1" fieldPosition="0"/>
    </format>
    <format dxfId="330">
      <pivotArea dataOnly="0" labelOnly="1" grandRow="1" outline="0" fieldPosition="0"/>
    </format>
    <format dxfId="329">
      <pivotArea dataOnly="0" labelOnly="1" outline="0" fieldPosition="0">
        <references count="1">
          <reference field="2" count="0"/>
        </references>
      </pivotArea>
    </format>
    <format dxfId="328">
      <pivotArea grandRow="1" outline="0" collapsedLevelsAreSubtotals="1" fieldPosition="0"/>
    </format>
    <format dxfId="327">
      <pivotArea dataOnly="0" labelOnly="1" grandRow="1" outline="0" fieldPosition="0"/>
    </format>
    <format dxfId="326">
      <pivotArea field="2" grandRow="1" outline="0" collapsedLevelsAreSubtotals="1" axis="axisCol" fieldPosition="0">
        <references count="1">
          <reference field="2" count="1" selected="0">
            <x v="12"/>
          </reference>
        </references>
      </pivotArea>
    </format>
    <format dxfId="325">
      <pivotArea type="all" dataOnly="0" outline="0" fieldPosition="0"/>
    </format>
    <format dxfId="324">
      <pivotArea outline="0" collapsedLevelsAreSubtotals="1" fieldPosition="0"/>
    </format>
    <format dxfId="323">
      <pivotArea dataOnly="0" labelOnly="1" grandRow="1" outline="0" fieldPosition="0"/>
    </format>
    <format dxfId="322">
      <pivotArea dataOnly="0" labelOnly="1" outline="0" fieldPosition="0">
        <references count="1">
          <reference field="2" count="0"/>
        </references>
      </pivotArea>
    </format>
    <format dxfId="321">
      <pivotArea grandRow="1" outline="0" collapsedLevelsAreSubtotals="1" fieldPosition="0"/>
    </format>
    <format dxfId="320">
      <pivotArea dataOnly="0" labelOnly="1" grandRow="1" outline="0" fieldPosition="0"/>
    </format>
    <format dxfId="319">
      <pivotArea field="2" grandRow="1" outline="0" collapsedLevelsAreSubtotals="1" axis="axisCol" fieldPosition="0">
        <references count="1">
          <reference field="2" count="1" selected="0">
            <x v="13"/>
          </reference>
        </references>
      </pivotArea>
    </format>
    <format dxfId="318">
      <pivotArea type="all" dataOnly="0" outline="0" fieldPosition="0"/>
    </format>
    <format dxfId="317">
      <pivotArea outline="0" collapsedLevelsAreSubtotals="1" fieldPosition="0"/>
    </format>
    <format dxfId="316">
      <pivotArea dataOnly="0" labelOnly="1" grandRow="1" outline="0" fieldPosition="0"/>
    </format>
    <format dxfId="315">
      <pivotArea dataOnly="0" labelOnly="1" outline="0" fieldPosition="0">
        <references count="1">
          <reference field="2" count="0"/>
        </references>
      </pivotArea>
    </format>
    <format dxfId="314">
      <pivotArea grandRow="1" outline="0" collapsedLevelsAreSubtotals="1" fieldPosition="0"/>
    </format>
    <format dxfId="313">
      <pivotArea dataOnly="0" labelOnly="1" grandRow="1" outline="0" fieldPosition="0"/>
    </format>
    <format dxfId="312">
      <pivotArea field="2" grandRow="1" outline="0" collapsedLevelsAreSubtotals="1" axis="axisCol" fieldPosition="0">
        <references count="1">
          <reference field="2" count="1" selected="0">
            <x v="14"/>
          </reference>
        </references>
      </pivotArea>
    </format>
    <format dxfId="311">
      <pivotArea type="all" dataOnly="0" outline="0" fieldPosition="0"/>
    </format>
    <format dxfId="310">
      <pivotArea outline="0" collapsedLevelsAreSubtotals="1" fieldPosition="0"/>
    </format>
    <format dxfId="309">
      <pivotArea dataOnly="0" labelOnly="1" grandRow="1" outline="0" fieldPosition="0"/>
    </format>
    <format dxfId="308">
      <pivotArea dataOnly="0" labelOnly="1" outline="0" fieldPosition="0">
        <references count="1">
          <reference field="2" count="0"/>
        </references>
      </pivotArea>
    </format>
    <format dxfId="307">
      <pivotArea grandRow="1" outline="0" collapsedLevelsAreSubtotals="1" fieldPosition="0"/>
    </format>
    <format dxfId="306">
      <pivotArea dataOnly="0" labelOnly="1" grandRow="1" outline="0" fieldPosition="0"/>
    </format>
    <format dxfId="305">
      <pivotArea field="2" grandRow="1" outline="0" collapsedLevelsAreSubtotals="1" axis="axisCol" fieldPosition="0">
        <references count="1">
          <reference field="2" count="1" selected="0">
            <x v="15"/>
          </reference>
        </references>
      </pivotArea>
    </format>
    <format dxfId="304">
      <pivotArea type="all" dataOnly="0" outline="0" fieldPosition="0"/>
    </format>
    <format dxfId="303">
      <pivotArea outline="0" collapsedLevelsAreSubtotals="1" fieldPosition="0"/>
    </format>
    <format dxfId="302">
      <pivotArea dataOnly="0" labelOnly="1" grandRow="1" outline="0" fieldPosition="0"/>
    </format>
    <format dxfId="301">
      <pivotArea dataOnly="0" labelOnly="1" outline="0" fieldPosition="0">
        <references count="1">
          <reference field="2" count="0"/>
        </references>
      </pivotArea>
    </format>
    <format dxfId="300">
      <pivotArea grandRow="1" outline="0" collapsedLevelsAreSubtotals="1" fieldPosition="0"/>
    </format>
    <format dxfId="299">
      <pivotArea dataOnly="0" labelOnly="1" grandRow="1" outline="0" fieldPosition="0"/>
    </format>
    <format dxfId="298">
      <pivotArea field="2" grandRow="1" outline="0" collapsedLevelsAreSubtotals="1" axis="axisCol" fieldPosition="0">
        <references count="1">
          <reference field="2" count="1" selected="0">
            <x v="16"/>
          </reference>
        </references>
      </pivotArea>
    </format>
    <format dxfId="297">
      <pivotArea type="all" dataOnly="0" outline="0" fieldPosition="0"/>
    </format>
    <format dxfId="296">
      <pivotArea outline="0" collapsedLevelsAreSubtotals="1" fieldPosition="0"/>
    </format>
    <format dxfId="295">
      <pivotArea dataOnly="0" labelOnly="1" grandRow="1" outline="0" fieldPosition="0"/>
    </format>
    <format dxfId="294">
      <pivotArea dataOnly="0" labelOnly="1" outline="0" fieldPosition="0">
        <references count="1">
          <reference field="2" count="0"/>
        </references>
      </pivotArea>
    </format>
    <format dxfId="293">
      <pivotArea grandRow="1" outline="0" collapsedLevelsAreSubtotals="1" fieldPosition="0"/>
    </format>
    <format dxfId="292">
      <pivotArea dataOnly="0" labelOnly="1" grandRow="1" outline="0" fieldPosition="0"/>
    </format>
    <format dxfId="291">
      <pivotArea field="2" grandRow="1" outline="0" collapsedLevelsAreSubtotals="1" axis="axisCol" fieldPosition="0">
        <references count="1">
          <reference field="2" count="1" selected="0">
            <x v="17"/>
          </reference>
        </references>
      </pivotArea>
    </format>
    <format dxfId="290">
      <pivotArea type="all" dataOnly="0" outline="0" fieldPosition="0"/>
    </format>
    <format dxfId="289">
      <pivotArea outline="0" collapsedLevelsAreSubtotals="1" fieldPosition="0"/>
    </format>
    <format dxfId="288">
      <pivotArea dataOnly="0" labelOnly="1" grandRow="1" outline="0" fieldPosition="0"/>
    </format>
    <format dxfId="287">
      <pivotArea dataOnly="0" labelOnly="1" outline="0" fieldPosition="0">
        <references count="1">
          <reference field="2" count="0"/>
        </references>
      </pivotArea>
    </format>
    <format dxfId="286">
      <pivotArea grandRow="1" outline="0" collapsedLevelsAreSubtotals="1" fieldPosition="0"/>
    </format>
    <format dxfId="285">
      <pivotArea dataOnly="0" labelOnly="1" grandRow="1" outline="0" fieldPosition="0"/>
    </format>
    <format dxfId="284">
      <pivotArea field="2" grandRow="1" outline="0" collapsedLevelsAreSubtotals="1" axis="axisCol" fieldPosition="0">
        <references count="1">
          <reference field="2" count="1" selected="0">
            <x v="18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dataOnly="0" labelOnly="1" grandRow="1" outline="0" fieldPosition="0"/>
    </format>
    <format dxfId="280">
      <pivotArea dataOnly="0" labelOnly="1" outline="0" fieldPosition="0">
        <references count="1">
          <reference field="2" count="0"/>
        </references>
      </pivotArea>
    </format>
    <format dxfId="279">
      <pivotArea grandRow="1" outline="0" collapsedLevelsAreSubtotals="1" fieldPosition="0"/>
    </format>
    <format dxfId="278">
      <pivotArea dataOnly="0" labelOnly="1" grandRow="1" outline="0" fieldPosition="0"/>
    </format>
    <format dxfId="277">
      <pivotArea field="2" grandRow="1" outline="0" collapsedLevelsAreSubtotals="1" axis="axisCol" fieldPosition="0">
        <references count="1">
          <reference field="2" count="1" selected="0">
            <x v="19"/>
          </reference>
        </references>
      </pivotArea>
    </format>
    <format dxfId="276">
      <pivotArea type="all" dataOnly="0" outline="0" fieldPosition="0"/>
    </format>
    <format dxfId="275">
      <pivotArea outline="0" collapsedLevelsAreSubtotals="1" fieldPosition="0"/>
    </format>
    <format dxfId="274">
      <pivotArea dataOnly="0" labelOnly="1" grandRow="1" outline="0" fieldPosition="0"/>
    </format>
    <format dxfId="273">
      <pivotArea dataOnly="0" labelOnly="1" outline="0" fieldPosition="0">
        <references count="1">
          <reference field="2" count="0"/>
        </references>
      </pivotArea>
    </format>
    <format dxfId="272">
      <pivotArea grandRow="1" outline="0" collapsedLevelsAreSubtotals="1" fieldPosition="0"/>
    </format>
    <format dxfId="271">
      <pivotArea dataOnly="0" labelOnly="1" grandRow="1" outline="0" fieldPosition="0"/>
    </format>
    <format dxfId="270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269">
      <pivotArea type="all" dataOnly="0" outline="0" fieldPosition="0"/>
    </format>
    <format dxfId="268">
      <pivotArea outline="0" collapsedLevelsAreSubtotals="1" fieldPosition="0"/>
    </format>
    <format dxfId="267">
      <pivotArea dataOnly="0" labelOnly="1" grandRow="1" outline="0" fieldPosition="0"/>
    </format>
    <format dxfId="266">
      <pivotArea dataOnly="0" labelOnly="1" outline="0" fieldPosition="0">
        <references count="1">
          <reference field="2" count="0"/>
        </references>
      </pivotArea>
    </format>
    <format dxfId="265">
      <pivotArea type="all" dataOnly="0" outline="0" fieldPosition="0"/>
    </format>
    <format dxfId="264">
      <pivotArea outline="0" collapsedLevelsAreSubtotals="1" fieldPosition="0"/>
    </format>
    <format dxfId="263">
      <pivotArea dataOnly="0" labelOnly="1" grandRow="1" outline="0" fieldPosition="0"/>
    </format>
    <format dxfId="262">
      <pivotArea dataOnly="0" labelOnly="1" outline="0" fieldPosition="0">
        <references count="1">
          <reference field="2" count="0"/>
        </references>
      </pivotArea>
    </format>
    <format dxfId="261">
      <pivotArea type="all" dataOnly="0" outline="0" fieldPosition="0"/>
    </format>
    <format dxfId="260">
      <pivotArea outline="0" collapsedLevelsAreSubtotals="1" fieldPosition="0"/>
    </format>
    <format dxfId="259">
      <pivotArea dataOnly="0" labelOnly="1" grandRow="1" outline="0" fieldPosition="0"/>
    </format>
    <format dxfId="258">
      <pivotArea dataOnly="0" labelOnly="1" outline="0" fieldPosition="0">
        <references count="1">
          <reference field="2" count="0"/>
        </references>
      </pivotArea>
    </format>
    <format dxfId="257">
      <pivotArea type="all" dataOnly="0" outline="0" fieldPosition="0"/>
    </format>
    <format dxfId="256">
      <pivotArea outline="0" collapsedLevelsAreSubtotals="1" fieldPosition="0"/>
    </format>
    <format dxfId="255">
      <pivotArea dataOnly="0" labelOnly="1" grandRow="1" outline="0" fieldPosition="0"/>
    </format>
    <format dxfId="254">
      <pivotArea dataOnly="0" labelOnly="1" outline="0" fieldPosition="0">
        <references count="1">
          <reference field="2" count="0"/>
        </references>
      </pivotArea>
    </format>
    <format dxfId="253">
      <pivotArea type="all" dataOnly="0" outline="0" fieldPosition="0"/>
    </format>
    <format dxfId="252">
      <pivotArea outline="0" collapsedLevelsAreSubtotals="1" fieldPosition="0"/>
    </format>
    <format dxfId="251">
      <pivotArea dataOnly="0" labelOnly="1" grandRow="1" outline="0" fieldPosition="0"/>
    </format>
    <format dxfId="250">
      <pivotArea dataOnly="0" labelOnly="1" outline="0" fieldPosition="0">
        <references count="1">
          <reference field="2" count="0"/>
        </references>
      </pivotArea>
    </format>
    <format dxfId="249">
      <pivotArea type="all" dataOnly="0" outline="0" fieldPosition="0"/>
    </format>
    <format dxfId="248">
      <pivotArea outline="0" collapsedLevelsAreSubtotals="1" fieldPosition="0"/>
    </format>
    <format dxfId="247">
      <pivotArea dataOnly="0" labelOnly="1" grandRow="1" outline="0" fieldPosition="0"/>
    </format>
    <format dxfId="246">
      <pivotArea dataOnly="0" labelOnly="1" outline="0" fieldPosition="0">
        <references count="1">
          <reference field="2" count="0"/>
        </references>
      </pivotArea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dataOnly="0" labelOnly="1" grandRow="1" outline="0" fieldPosition="0"/>
    </format>
    <format dxfId="242">
      <pivotArea dataOnly="0" labelOnly="1" outline="0" fieldPosition="0">
        <references count="1">
          <reference field="2" count="0"/>
        </references>
      </pivotArea>
    </format>
    <format dxfId="241">
      <pivotArea type="all" dataOnly="0" outline="0" fieldPosition="0"/>
    </format>
    <format dxfId="240">
      <pivotArea outline="0" collapsedLevelsAreSubtotals="1" fieldPosition="0"/>
    </format>
    <format dxfId="239">
      <pivotArea dataOnly="0" labelOnly="1" grandRow="1" outline="0" fieldPosition="0"/>
    </format>
    <format dxfId="238">
      <pivotArea dataOnly="0" labelOnly="1" outline="0" fieldPosition="0">
        <references count="1">
          <reference field="2" count="0"/>
        </references>
      </pivotArea>
    </format>
    <format dxfId="237">
      <pivotArea type="all" dataOnly="0" outline="0" fieldPosition="0"/>
    </format>
    <format dxfId="236">
      <pivotArea outline="0" collapsedLevelsAreSubtotals="1" fieldPosition="0"/>
    </format>
    <format dxfId="235">
      <pivotArea dataOnly="0" labelOnly="1" grandRow="1" outline="0" fieldPosition="0"/>
    </format>
    <format dxfId="234">
      <pivotArea dataOnly="0" labelOnly="1" outline="0" fieldPosition="0">
        <references count="1">
          <reference field="2" count="0"/>
        </references>
      </pivotArea>
    </format>
    <format dxfId="233">
      <pivotArea type="all" dataOnly="0" outline="0" fieldPosition="0"/>
    </format>
    <format dxfId="232">
      <pivotArea outline="0" collapsedLevelsAreSubtotals="1" fieldPosition="0"/>
    </format>
    <format dxfId="231">
      <pivotArea dataOnly="0" labelOnly="1" grandRow="1" outline="0" fieldPosition="0"/>
    </format>
    <format dxfId="230">
      <pivotArea dataOnly="0" labelOnly="1" outline="0" fieldPosition="0">
        <references count="1">
          <reference field="2" count="0"/>
        </references>
      </pivotArea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dataOnly="0" labelOnly="1" grandRow="1" outline="0" fieldPosition="0"/>
    </format>
    <format dxfId="226">
      <pivotArea dataOnly="0" labelOnly="1" outline="0" fieldPosition="0">
        <references count="1">
          <reference field="2" count="0"/>
        </references>
      </pivotArea>
    </format>
    <format dxfId="225">
      <pivotArea type="all" dataOnly="0" outline="0" fieldPosition="0"/>
    </format>
    <format dxfId="224">
      <pivotArea outline="0" collapsedLevelsAreSubtotals="1" fieldPosition="0"/>
    </format>
    <format dxfId="223">
      <pivotArea dataOnly="0" labelOnly="1" grandRow="1" outline="0" fieldPosition="0"/>
    </format>
    <format dxfId="222">
      <pivotArea dataOnly="0" labelOnly="1" outline="0" fieldPosition="0">
        <references count="1">
          <reference field="2" count="0"/>
        </references>
      </pivotArea>
    </format>
    <format dxfId="221">
      <pivotArea type="all" dataOnly="0" outline="0" fieldPosition="0"/>
    </format>
    <format dxfId="220">
      <pivotArea outline="0" collapsedLevelsAreSubtotals="1" fieldPosition="0"/>
    </format>
    <format dxfId="219">
      <pivotArea dataOnly="0" labelOnly="1" grandRow="1" outline="0" fieldPosition="0"/>
    </format>
    <format dxfId="218">
      <pivotArea dataOnly="0" labelOnly="1" outline="0" fieldPosition="0">
        <references count="1">
          <reference field="2" count="0"/>
        </references>
      </pivotArea>
    </format>
    <format dxfId="217">
      <pivotArea type="all" dataOnly="0" outline="0" fieldPosition="0"/>
    </format>
    <format dxfId="216">
      <pivotArea outline="0" collapsedLevelsAreSubtotals="1" fieldPosition="0"/>
    </format>
    <format dxfId="215">
      <pivotArea dataOnly="0" labelOnly="1" grandRow="1" outline="0" fieldPosition="0"/>
    </format>
    <format dxfId="214">
      <pivotArea dataOnly="0" labelOnly="1" outline="0" fieldPosition="0">
        <references count="1">
          <reference field="2" count="0"/>
        </references>
      </pivotArea>
    </format>
    <format dxfId="213">
      <pivotArea type="all" dataOnly="0" outline="0" fieldPosition="0"/>
    </format>
    <format dxfId="212">
      <pivotArea outline="0" collapsedLevelsAreSubtotals="1" fieldPosition="0"/>
    </format>
    <format dxfId="211">
      <pivotArea dataOnly="0" labelOnly="1" grandRow="1" outline="0" fieldPosition="0"/>
    </format>
    <format dxfId="210">
      <pivotArea dataOnly="0" labelOnly="1" outline="0" fieldPosition="0">
        <references count="1">
          <reference field="2" count="0"/>
        </references>
      </pivotArea>
    </format>
    <format dxfId="209">
      <pivotArea type="all" dataOnly="0" outline="0" fieldPosition="0"/>
    </format>
    <format dxfId="208">
      <pivotArea outline="0" collapsedLevelsAreSubtotals="1" fieldPosition="0"/>
    </format>
    <format dxfId="207">
      <pivotArea dataOnly="0" labelOnly="1" grandRow="1" outline="0" fieldPosition="0"/>
    </format>
    <format dxfId="206">
      <pivotArea dataOnly="0" labelOnly="1" outline="0" fieldPosition="0">
        <references count="1">
          <reference field="2" count="0"/>
        </references>
      </pivotArea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dataOnly="0" labelOnly="1" grandRow="1" outline="0" fieldPosition="0"/>
    </format>
    <format dxfId="202">
      <pivotArea dataOnly="0" labelOnly="1" outline="0" fieldPosition="0">
        <references count="1">
          <reference field="2" count="0"/>
        </references>
      </pivotArea>
    </format>
    <format dxfId="201">
      <pivotArea type="all" dataOnly="0" outline="0" fieldPosition="0"/>
    </format>
    <format dxfId="200">
      <pivotArea outline="0" collapsedLevelsAreSubtotals="1" fieldPosition="0"/>
    </format>
    <format dxfId="199">
      <pivotArea dataOnly="0" labelOnly="1" grandRow="1" outline="0" fieldPosition="0"/>
    </format>
    <format dxfId="198">
      <pivotArea dataOnly="0" labelOnly="1" outline="0" fieldPosition="0">
        <references count="1">
          <reference field="2" count="0"/>
        </references>
      </pivotArea>
    </format>
    <format dxfId="197">
      <pivotArea type="all" dataOnly="0" outline="0" fieldPosition="0"/>
    </format>
    <format dxfId="196">
      <pivotArea outline="0" collapsedLevelsAreSubtotals="1" fieldPosition="0"/>
    </format>
    <format dxfId="195">
      <pivotArea dataOnly="0" labelOnly="1" grandRow="1" outline="0" fieldPosition="0"/>
    </format>
    <format dxfId="194">
      <pivotArea dataOnly="0" labelOnly="1" outline="0" fieldPosition="0">
        <references count="1">
          <reference field="2" count="0"/>
        </references>
      </pivotArea>
    </format>
    <format dxfId="193">
      <pivotArea type="all" dataOnly="0" outline="0" fieldPosition="0"/>
    </format>
    <format dxfId="192">
      <pivotArea outline="0" collapsedLevelsAreSubtotals="1" fieldPosition="0"/>
    </format>
    <format dxfId="191">
      <pivotArea dataOnly="0" labelOnly="1" grandRow="1" outline="0" fieldPosition="0"/>
    </format>
    <format dxfId="190">
      <pivotArea dataOnly="0" labelOnly="1" outline="0" fieldPosition="0">
        <references count="1">
          <reference field="2" count="0"/>
        </references>
      </pivotArea>
    </format>
    <format dxfId="189">
      <pivotArea type="all" dataOnly="0" outline="0" fieldPosition="0"/>
    </format>
    <format dxfId="188">
      <pivotArea outline="0" collapsedLevelsAreSubtotals="1" fieldPosition="0"/>
    </format>
    <format dxfId="187">
      <pivotArea dataOnly="0" labelOnly="1" grandRow="1" outline="0" fieldPosition="0"/>
    </format>
    <format dxfId="186">
      <pivotArea dataOnly="0" labelOnly="1" outline="0" fieldPosition="0">
        <references count="1">
          <reference field="2" count="0"/>
        </references>
      </pivotArea>
    </format>
    <format dxfId="185">
      <pivotArea type="all" dataOnly="0" outline="0" fieldPosition="0"/>
    </format>
    <format dxfId="184">
      <pivotArea outline="0" collapsedLevelsAreSubtotals="1" fieldPosition="0"/>
    </format>
    <format dxfId="183">
      <pivotArea dataOnly="0" labelOnly="1" grandRow="1" outline="0" fieldPosition="0"/>
    </format>
    <format dxfId="182">
      <pivotArea dataOnly="0" labelOnly="1" outline="0" fieldPosition="0">
        <references count="1">
          <reference field="2" count="0"/>
        </references>
      </pivotArea>
    </format>
    <format dxfId="181">
      <pivotArea type="all" dataOnly="0" outline="0" fieldPosition="0"/>
    </format>
    <format dxfId="180">
      <pivotArea outline="0" collapsedLevelsAreSubtotals="1" fieldPosition="0"/>
    </format>
    <format dxfId="179">
      <pivotArea dataOnly="0" labelOnly="1" grandRow="1" outline="0" fieldPosition="0"/>
    </format>
    <format dxfId="178">
      <pivotArea dataOnly="0" labelOnly="1" outline="0" fieldPosition="0">
        <references count="1">
          <reference field="2" count="0"/>
        </references>
      </pivotArea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dataOnly="0" labelOnly="1" grandRow="1" outline="0" fieldPosition="0"/>
    </format>
    <format dxfId="174">
      <pivotArea dataOnly="0" labelOnly="1" outline="0" fieldPosition="0">
        <references count="1">
          <reference field="2" count="0"/>
        </references>
      </pivotArea>
    </format>
    <format dxfId="173">
      <pivotArea type="all" dataOnly="0" outline="0" fieldPosition="0"/>
    </format>
    <format dxfId="172">
      <pivotArea outline="0" collapsedLevelsAreSubtotals="1" fieldPosition="0"/>
    </format>
    <format dxfId="171">
      <pivotArea dataOnly="0" labelOnly="1" grandRow="1" outline="0" fieldPosition="0"/>
    </format>
    <format dxfId="170">
      <pivotArea dataOnly="0" labelOnly="1" outline="0" fieldPosition="0">
        <references count="1">
          <reference field="2" count="0"/>
        </references>
      </pivotArea>
    </format>
    <format dxfId="169">
      <pivotArea type="all" dataOnly="0" outline="0" fieldPosition="0"/>
    </format>
    <format dxfId="168">
      <pivotArea outline="0" collapsedLevelsAreSubtotals="1" fieldPosition="0"/>
    </format>
    <format dxfId="167">
      <pivotArea dataOnly="0" labelOnly="1" grandRow="1" outline="0" fieldPosition="0"/>
    </format>
    <format dxfId="166">
      <pivotArea dataOnly="0" labelOnly="1" outline="0" fieldPosition="0">
        <references count="1">
          <reference field="2" count="0"/>
        </references>
      </pivotArea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dataOnly="0" labelOnly="1" grandRow="1" outline="0" fieldPosition="0"/>
    </format>
    <format dxfId="162">
      <pivotArea dataOnly="0" labelOnly="1" outline="0" fieldPosition="0">
        <references count="1">
          <reference field="2" count="0"/>
        </references>
      </pivotArea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dataOnly="0" labelOnly="1" grandRow="1" outline="0" fieldPosition="0"/>
    </format>
    <format dxfId="158">
      <pivotArea dataOnly="0" labelOnly="1" outline="0" fieldPosition="0">
        <references count="1">
          <reference field="2" count="0"/>
        </references>
      </pivotArea>
    </format>
    <format dxfId="157">
      <pivotArea type="all" dataOnly="0" outline="0" fieldPosition="0"/>
    </format>
    <format dxfId="156">
      <pivotArea outline="0" collapsedLevelsAreSubtotals="1" fieldPosition="0"/>
    </format>
    <format dxfId="155">
      <pivotArea dataOnly="0" labelOnly="1" grandRow="1" outline="0" fieldPosition="0"/>
    </format>
    <format dxfId="154">
      <pivotArea dataOnly="0" labelOnly="1" outline="0" fieldPosition="0">
        <references count="1">
          <reference field="2" count="0"/>
        </references>
      </pivotArea>
    </format>
    <format dxfId="153">
      <pivotArea grandRow="1" outline="0" collapsedLevelsAreSubtotals="1" fieldPosition="0"/>
    </format>
    <format dxfId="152">
      <pivotArea dataOnly="0" labelOnly="1" grandRow="1" outline="0" fieldPosition="0"/>
    </format>
    <format dxfId="151">
      <pivotArea field="2" grandRow="1" outline="0" collapsedLevelsAreSubtotals="1" axis="axisCol" fieldPosition="0">
        <references count="1">
          <reference field="2" count="1" selected="0">
            <x v="20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47">
      <pivotArea dataOnly="0" labelOnly="1" outline="0" fieldPosition="0">
        <references count="1">
          <reference field="2" count="0"/>
        </references>
      </pivotArea>
    </format>
    <format dxfId="146">
      <pivotArea grandRow="1" outline="0" collapsedLevelsAreSubtotals="1" fieldPosition="0"/>
    </format>
    <format dxfId="145">
      <pivotArea dataOnly="0" labelOnly="1" grandRow="1" outline="0" fieldPosition="0"/>
    </format>
    <format dxfId="144">
      <pivotArea field="2" grandRow="1" outline="0" collapsedLevelsAreSubtotals="1" axis="axisCol" fieldPosition="0">
        <references count="1">
          <reference field="2" count="1" selected="0">
            <x v="21"/>
          </reference>
        </references>
      </pivotArea>
    </format>
    <format dxfId="143">
      <pivotArea type="all" dataOnly="0" outline="0" fieldPosition="0"/>
    </format>
    <format dxfId="142">
      <pivotArea outline="0" collapsedLevelsAreSubtotals="1" fieldPosition="0"/>
    </format>
    <format dxfId="141">
      <pivotArea dataOnly="0" labelOnly="1" grandRow="1" outline="0" fieldPosition="0"/>
    </format>
    <format dxfId="140">
      <pivotArea dataOnly="0" labelOnly="1" outline="0" fieldPosition="0">
        <references count="1">
          <reference field="2" count="0"/>
        </references>
      </pivotArea>
    </format>
    <format dxfId="139">
      <pivotArea grandRow="1" outline="0" collapsedLevelsAreSubtotals="1" fieldPosition="0"/>
    </format>
    <format dxfId="138">
      <pivotArea dataOnly="0" labelOnly="1" grandRow="1" outline="0" fieldPosition="0"/>
    </format>
    <format dxfId="137">
      <pivotArea field="2" grandRow="1" outline="0" collapsedLevelsAreSubtotals="1" axis="axisCol" fieldPosition="0">
        <references count="1">
          <reference field="2" count="1" selected="0">
            <x v="22"/>
          </reference>
        </references>
      </pivotArea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2" count="0"/>
        </references>
      </pivotArea>
    </format>
    <format dxfId="132">
      <pivotArea grandRow="1" outline="0" collapsedLevelsAreSubtotals="1" fieldPosition="0"/>
    </format>
    <format dxfId="131">
      <pivotArea dataOnly="0" labelOnly="1" grandRow="1" outline="0" fieldPosition="0"/>
    </format>
    <format dxfId="130">
      <pivotArea field="2" grandRow="1" outline="0" collapsedLevelsAreSubtotals="1" axis="axisCol" fieldPosition="0">
        <references count="1">
          <reference field="2" count="1" selected="0">
            <x v="23"/>
          </reference>
        </references>
      </pivotArea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dataOnly="0" labelOnly="1" grandRow="1" outline="0" fieldPosition="0"/>
    </format>
    <format dxfId="126">
      <pivotArea dataOnly="0" labelOnly="1" outline="0" fieldPosition="0">
        <references count="1">
          <reference field="2" count="0"/>
        </references>
      </pivotArea>
    </format>
    <format dxfId="125">
      <pivotArea grandRow="1" outline="0" collapsedLevelsAreSubtotals="1" fieldPosition="0"/>
    </format>
    <format dxfId="124">
      <pivotArea dataOnly="0" labelOnly="1" grandRow="1" outline="0" fieldPosition="0"/>
    </format>
    <format dxfId="123">
      <pivotArea field="2" grandRow="1" outline="0" collapsedLevelsAreSubtotals="1" axis="axisCol" fieldPosition="0">
        <references count="1">
          <reference field="2" count="1" selected="0">
            <x v="24"/>
          </reference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2" count="0"/>
        </references>
      </pivotArea>
    </format>
    <format dxfId="118">
      <pivotArea grandRow="1" outline="0" collapsedLevelsAreSubtotals="1" fieldPosition="0"/>
    </format>
    <format dxfId="117">
      <pivotArea dataOnly="0" labelOnly="1" grandRow="1" outline="0" fieldPosition="0"/>
    </format>
    <format dxfId="116">
      <pivotArea field="2" grandRow="1" outline="0" collapsedLevelsAreSubtotals="1" axis="axisCol" fieldPosition="0">
        <references count="1">
          <reference field="2" count="1" selected="0">
            <x v="25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labelOnly="1" grandRow="1" outline="0" fieldPosition="0"/>
    </format>
    <format dxfId="112">
      <pivotArea dataOnly="0" labelOnly="1" outline="0" fieldPosition="0">
        <references count="1">
          <reference field="2" count="0"/>
        </references>
      </pivotArea>
    </format>
    <format dxfId="111">
      <pivotArea grandRow="1" outline="0" collapsedLevelsAreSubtotals="1" fieldPosition="0"/>
    </format>
    <format dxfId="110">
      <pivotArea dataOnly="0" labelOnly="1" grandRow="1" outline="0" fieldPosition="0"/>
    </format>
    <format dxfId="109">
      <pivotArea field="2" grandRow="1" outline="0" collapsedLevelsAreSubtotals="1" axis="axisCol" fieldPosition="0">
        <references count="1">
          <reference field="2" count="1" selected="0">
            <x v="26"/>
          </reference>
        </references>
      </pivotArea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labelOnly="1" grandRow="1" outline="0" fieldPosition="0"/>
    </format>
    <format dxfId="105">
      <pivotArea dataOnly="0" labelOnly="1" outline="0" fieldPosition="0">
        <references count="1">
          <reference field="2" count="0"/>
        </references>
      </pivotArea>
    </format>
    <format dxfId="104">
      <pivotArea grandRow="1" outline="0" collapsedLevelsAreSubtotals="1" fieldPosition="0"/>
    </format>
    <format dxfId="103">
      <pivotArea dataOnly="0" labelOnly="1" grandRow="1" outline="0" fieldPosition="0"/>
    </format>
    <format dxfId="102">
      <pivotArea field="2" grandRow="1" outline="0" collapsedLevelsAreSubtotals="1" axis="axisCol" fieldPosition="0">
        <references count="1">
          <reference field="2" count="1" selected="0">
            <x v="27"/>
          </reference>
        </references>
      </pivotArea>
    </format>
    <format dxfId="101">
      <pivotArea type="all" dataOnly="0" outline="0" fieldPosition="0"/>
    </format>
    <format dxfId="100">
      <pivotArea outline="0" collapsedLevelsAreSubtotals="1" fieldPosition="0"/>
    </format>
    <format dxfId="99">
      <pivotArea dataOnly="0" labelOnly="1" grandRow="1" outline="0" fieldPosition="0"/>
    </format>
    <format dxfId="98">
      <pivotArea dataOnly="0" labelOnly="1" outline="0" fieldPosition="0">
        <references count="1">
          <reference field="2" count="0"/>
        </references>
      </pivotArea>
    </format>
    <format dxfId="97">
      <pivotArea grandRow="1" outline="0" collapsedLevelsAreSubtotals="1" fieldPosition="0"/>
    </format>
    <format dxfId="96">
      <pivotArea dataOnly="0" labelOnly="1" grandRow="1" outline="0" fieldPosition="0"/>
    </format>
    <format dxfId="95">
      <pivotArea field="2" grandRow="1" outline="0" collapsedLevelsAreSubtotals="1" axis="axisCol" fieldPosition="0">
        <references count="1">
          <reference field="2" count="1" selected="0">
            <x v="28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2" count="0"/>
        </references>
      </pivotArea>
    </format>
    <format dxfId="90">
      <pivotArea grandRow="1" outline="0" collapsedLevelsAreSubtotals="1" fieldPosition="0"/>
    </format>
    <format dxfId="89">
      <pivotArea dataOnly="0" labelOnly="1" grandRow="1" outline="0" fieldPosition="0"/>
    </format>
    <format dxfId="88">
      <pivotArea field="2" grandRow="1" outline="0" collapsedLevelsAreSubtotals="1" axis="axisCol" fieldPosition="0">
        <references count="1">
          <reference field="2" count="1" selected="0">
            <x v="29"/>
          </reference>
        </references>
      </pivotArea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dataOnly="0" labelOnly="1" grandRow="1" outline="0" fieldPosition="0"/>
    </format>
    <format dxfId="84">
      <pivotArea dataOnly="0" labelOnly="1" outline="0" fieldPosition="0">
        <references count="1">
          <reference field="2" count="0"/>
        </references>
      </pivotArea>
    </format>
    <format dxfId="83">
      <pivotArea grandRow="1" outline="0" collapsedLevelsAreSubtotals="1" fieldPosition="0"/>
    </format>
    <format dxfId="82">
      <pivotArea dataOnly="0" labelOnly="1" grandRow="1" outline="0" fieldPosition="0"/>
    </format>
    <format dxfId="81">
      <pivotArea field="2" grandRow="1" outline="0" collapsedLevelsAreSubtotals="1" axis="axisCol" fieldPosition="0">
        <references count="1">
          <reference field="2" count="1" selected="0">
            <x v="30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labelOnly="1" grandRow="1" outline="0" fieldPosition="0"/>
    </format>
    <format dxfId="77">
      <pivotArea dataOnly="0" labelOnly="1" outline="0" fieldPosition="0">
        <references count="1">
          <reference field="2" count="0"/>
        </references>
      </pivotArea>
    </format>
    <format dxfId="76">
      <pivotArea grandRow="1" outline="0" collapsedLevelsAreSubtotals="1" fieldPosition="0"/>
    </format>
    <format dxfId="75">
      <pivotArea dataOnly="0" labelOnly="1" grandRow="1" outline="0" fieldPosition="0"/>
    </format>
    <format dxfId="74">
      <pivotArea field="2" grandRow="1" outline="0" collapsedLevelsAreSubtotals="1" axis="axisCol" fieldPosition="0">
        <references count="1">
          <reference field="2" count="1" selected="0">
            <x v="31"/>
          </reference>
        </references>
      </pivotArea>
    </format>
    <format dxfId="73">
      <pivotArea type="all" dataOnly="0" outline="0" fieldPosition="0"/>
    </format>
    <format dxfId="72">
      <pivotArea outline="0" collapsedLevelsAreSubtotals="1" fieldPosition="0"/>
    </format>
    <format dxfId="71">
      <pivotArea dataOnly="0" labelOnly="1" grandRow="1" outline="0" fieldPosition="0"/>
    </format>
    <format dxfId="70">
      <pivotArea dataOnly="0" labelOnly="1" outline="0" fieldPosition="0">
        <references count="1">
          <reference field="2" count="0"/>
        </references>
      </pivotArea>
    </format>
    <format dxfId="69">
      <pivotArea grandRow="1" outline="0" collapsedLevelsAreSubtotals="1" fieldPosition="0"/>
    </format>
    <format dxfId="68">
      <pivotArea dataOnly="0" labelOnly="1" grandRow="1" outline="0" fieldPosition="0"/>
    </format>
    <format dxfId="67">
      <pivotArea field="2" grandRow="1" outline="0" collapsedLevelsAreSubtotals="1" axis="axisCol" fieldPosition="0">
        <references count="1">
          <reference field="2" count="1" selected="0">
            <x v="30"/>
          </reference>
        </references>
      </pivotArea>
    </format>
    <format dxfId="66">
      <pivotArea type="all" dataOnly="0" outline="0" fieldPosition="0"/>
    </format>
    <format dxfId="65">
      <pivotArea outline="0" collapsedLevelsAreSubtotals="1" fieldPosition="0"/>
    </format>
    <format dxfId="64">
      <pivotArea dataOnly="0" labelOnly="1" grandRow="1" outline="0" fieldPosition="0"/>
    </format>
    <format dxfId="63">
      <pivotArea dataOnly="0" labelOnly="1" outline="0" fieldPosition="0">
        <references count="1">
          <reference field="2" count="0"/>
        </references>
      </pivotArea>
    </format>
    <format dxfId="62">
      <pivotArea grandRow="1" outline="0" collapsedLevelsAreSubtotals="1" fieldPosition="0"/>
    </format>
    <format dxfId="61">
      <pivotArea dataOnly="0" labelOnly="1" grandRow="1" outline="0" fieldPosition="0"/>
    </format>
    <format dxfId="60">
      <pivotArea field="2" grandRow="1" outline="0" collapsedLevelsAreSubtotals="1" axis="axisCol" fieldPosition="0">
        <references count="1">
          <reference field="2" count="1" selected="0">
            <x v="31"/>
          </reference>
        </references>
      </pivotArea>
    </format>
    <format dxfId="59">
      <pivotArea type="all" dataOnly="0" outline="0" fieldPosition="0"/>
    </format>
    <format dxfId="58">
      <pivotArea outline="0" collapsedLevelsAreSubtotals="1" fieldPosition="0"/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2" count="0"/>
        </references>
      </pivotArea>
    </format>
    <format dxfId="55">
      <pivotArea grandRow="1" outline="0" collapsedLevelsAreSubtotals="1" fieldPosition="0"/>
    </format>
    <format dxfId="54">
      <pivotArea dataOnly="0" labelOnly="1" grandRow="1" outline="0" fieldPosition="0"/>
    </format>
    <format dxfId="53">
      <pivotArea field="2" grandRow="1" outline="0" collapsedLevelsAreSubtotals="1" axis="axisCol" fieldPosition="0">
        <references count="1">
          <reference field="2" count="1" selected="0">
            <x v="32"/>
          </reference>
        </references>
      </pivotArea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dataOnly="0" labelOnly="1" grandRow="1" outline="0" fieldPosition="0"/>
    </format>
    <format dxfId="49">
      <pivotArea dataOnly="0" labelOnly="1" outline="0" fieldPosition="0">
        <references count="1">
          <reference field="2" count="0"/>
        </references>
      </pivotArea>
    </format>
    <format dxfId="48">
      <pivotArea grandRow="1" outline="0" collapsedLevelsAreSubtotals="1" fieldPosition="0"/>
    </format>
    <format dxfId="47">
      <pivotArea dataOnly="0" labelOnly="1" grandRow="1" outline="0" fieldPosition="0"/>
    </format>
    <format dxfId="46">
      <pivotArea field="2" grandRow="1" outline="0" collapsedLevelsAreSubtotals="1" axis="axisCol" fieldPosition="0">
        <references count="1">
          <reference field="2" count="1" selected="0">
            <x v="33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dataOnly="0" labelOnly="1" grandRow="1" outline="0" fieldPosition="0"/>
    </format>
    <format dxfId="42">
      <pivotArea dataOnly="0" labelOnly="1" outline="0" fieldPosition="0">
        <references count="1">
          <reference field="2" count="0"/>
        </references>
      </pivotArea>
    </format>
    <format dxfId="41">
      <pivotArea grandRow="1" outline="0" collapsedLevelsAreSubtotals="1" fieldPosition="0"/>
    </format>
    <format dxfId="40">
      <pivotArea dataOnly="0" labelOnly="1" grandRow="1" outline="0" fieldPosition="0"/>
    </format>
    <format dxfId="39">
      <pivotArea field="2" grandRow="1" outline="0" collapsedLevelsAreSubtotals="1" axis="axisCol" fieldPosition="0">
        <references count="1">
          <reference field="2" count="1" selected="0">
            <x v="34"/>
          </reference>
        </references>
      </pivotArea>
    </format>
    <format dxfId="38">
      <pivotArea type="all" dataOnly="0" outline="0" fieldPosition="0"/>
    </format>
    <format dxfId="37">
      <pivotArea outline="0" collapsedLevelsAreSubtotals="1" fieldPosition="0"/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2" count="0"/>
        </references>
      </pivotArea>
    </format>
    <format dxfId="34">
      <pivotArea grandRow="1" outline="0" collapsedLevelsAreSubtotals="1" fieldPosition="0"/>
    </format>
    <format dxfId="33">
      <pivotArea dataOnly="0" labelOnly="1" grandRow="1" outline="0" fieldPosition="0"/>
    </format>
    <format dxfId="32">
      <pivotArea field="2" grandRow="1" outline="0" collapsedLevelsAreSubtotals="1" axis="axisCol" fieldPosition="0">
        <references count="1">
          <reference field="2" count="1" selected="0">
            <x v="35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2" count="0"/>
        </references>
      </pivotArea>
    </format>
    <format dxfId="27">
      <pivotArea grandRow="1" outline="0" collapsedLevelsAreSubtotals="1" fieldPosition="0"/>
    </format>
    <format dxfId="26">
      <pivotArea dataOnly="0" labelOnly="1" grandRow="1" outline="0" fieldPosition="0"/>
    </format>
    <format dxfId="25">
      <pivotArea field="2" grandRow="1" outline="0" collapsedLevelsAreSubtotals="1" axis="axisCol" fieldPosition="0">
        <references count="1">
          <reference field="2" count="1" selected="0">
            <x v="36"/>
          </reference>
        </references>
      </pivotArea>
    </format>
    <format dxfId="24">
      <pivotArea type="all" dataOnly="0" outline="0" fieldPosition="0"/>
    </format>
    <format dxfId="23">
      <pivotArea outline="0" collapsedLevelsAreSubtotals="1" fieldPosition="0"/>
    </format>
    <format dxfId="22">
      <pivotArea dataOnly="0" labelOnly="1" grandRow="1" outline="0" fieldPosition="0"/>
    </format>
    <format dxfId="21">
      <pivotArea dataOnly="0" labelOnly="1" outline="0" fieldPosition="0">
        <references count="1">
          <reference field="2" count="0"/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5"/>
      <queryTableField id="2" name="Всего" tableColumnId="6"/>
      <queryTableField id="3" name="б/пл." tableColumnId="7"/>
      <queryTableField id="4" name="пл." tableColumnId="8"/>
    </queryTableFields>
  </queryTableRefresh>
</queryTable>
</file>

<file path=xl/queryTables/queryTable2.xml><?xml version="1.0" encoding="utf-8"?>
<queryTable xmlns="http://schemas.openxmlformats.org/spreadsheetml/2006/main" name="ExternalData_2" connectionId="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Сиделка" tableColumnId="2"/>
    </queryTableFields>
  </queryTableRefresh>
</queryTable>
</file>

<file path=xl/queryTables/queryTable3.xml><?xml version="1.0" encoding="utf-8"?>
<queryTable xmlns="http://schemas.openxmlformats.org/spreadsheetml/2006/main" name="ExternalData_1" connectionId="10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4.xml><?xml version="1.0" encoding="utf-8"?>
<queryTable xmlns="http://schemas.openxmlformats.org/spreadsheetml/2006/main" name="ExternalData_2" connectionId="1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Сиделка" tableColumnId="1"/>
    </queryTableFields>
  </queryTableRefresh>
</queryTable>
</file>

<file path=xl/queryTables/queryTable5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Услуги" tableColumnId="1"/>
      <queryTableField id="2" name="Всего" tableColumnId="2"/>
      <queryTableField id="3" name="б/пл." tableColumnId="3"/>
      <queryTableField id="4" name="пл." tableColumnId="4"/>
    </queryTableFields>
  </queryTableRefresh>
</queryTable>
</file>

<file path=xl/queryTables/queryTable6.xml><?xml version="1.0" encoding="utf-8"?>
<queryTable xmlns="http://schemas.openxmlformats.org/spreadsheetml/2006/main" name="ExternalData_2" connectionId="5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Сиделка" tableColumnId="1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" sourceName="Соц. Работник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5" sourceName="Соц. Работник">
  <pivotTables>
    <pivotTable tabId="8" name="ГодСводная"/>
  </pivotTables>
  <data>
    <tabular pivotCacheId="6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Признак_учета" sourceName="Признак учета">
  <pivotTables>
    <pivotTable tabId="1" name="МесяцыСводная"/>
  </pivotTables>
  <data>
    <tabular pivotCacheId="1">
      <items count="1"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Срез_Соц._Работник1" sourceName="Соц. Работник">
  <pivotTables>
    <pivotTable tabId="9" name="ПериодСводная"/>
  </pivotTables>
  <data>
    <tabular pivotCacheId="7">
      <items count="1"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" cache="Срез_Соц._Работник" caption="Соц. Работник" rowHeight="241300"/>
  <slicer name="Признак учета" cache="Срез_Признак_учета" caption="Признак учета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1" cache="Срез_Соц._Работник1" caption="Соц. Работник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Соц. Работник 5" cache="Срез_Соц._Работник5" caption="Соц. Работник" rowHeight="24130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Параметры" displayName="Параметры" ref="A4:A5" totalsRowShown="0" headerRowDxfId="1787" dataDxfId="1786">
  <autoFilter ref="A4:A5">
    <filterColumn colId="0" hiddenButton="1"/>
  </autoFilter>
  <tableColumns count="1">
    <tableColumn id="1" name="Путь к исходным данным" dataDxfId="1785">
      <calculatedColumnFormula>A2&amp;C5&amp;C2</calculatedColumnFormula>
    </tableColumn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id="2" name="Месяцы" displayName="Месяцы" ref="G1:H13" totalsRowShown="0" headerRowDxfId="1784" dataDxfId="1783">
  <autoFilter ref="G1:H13">
    <filterColumn colId="0" hiddenButton="1"/>
    <filterColumn colId="1" hiddenButton="1"/>
  </autoFilter>
  <tableColumns count="2">
    <tableColumn id="1" name="Месяцы" dataDxfId="1782"/>
    <tableColumn id="2" name="Число" dataDxfId="178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ВыборДанных" displayName="ВыборДанных" ref="B1:B2" totalsRowShown="0" headerRowDxfId="989" dataDxfId="987" headerRowBorderDxfId="988" tableBorderDxfId="986" totalsRowBorderDxfId="985">
  <autoFilter ref="B1:B2">
    <filterColumn colId="0" hiddenButton="1"/>
  </autoFilter>
  <tableColumns count="1">
    <tableColumn id="1" name="Месяц" dataDxfId="98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5" name="МесяцыИтоги" displayName="МесяцыИтоги" ref="A4:D9" tableType="queryTable" totalsRowShown="0" headerRowDxfId="983" dataDxfId="982">
  <autoFilter ref="A4:D9"/>
  <tableColumns count="4">
    <tableColumn id="5" uniqueName="5" name="Услуги" queryTableFieldId="1" dataDxfId="981"/>
    <tableColumn id="6" uniqueName="6" name="Всего" queryTableFieldId="2" dataDxfId="980"/>
    <tableColumn id="7" uniqueName="7" name="б/пл." queryTableFieldId="3" dataDxfId="979"/>
    <tableColumn id="8" uniqueName="8" name="пл." queryTableFieldId="4" dataDxfId="978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id="8" name="МесяцыВсего" displayName="МесяцыВсего" ref="F4:L5" totalsRowShown="0" headerRowDxfId="977" dataDxfId="976">
  <autoFilter ref="F4:L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5" name="Всего 1" dataDxfId="975">
      <calculatedColumnFormula>SUM(МесяцыИтоги[Всего])</calculatedColumnFormula>
    </tableColumn>
    <tableColumn id="1" name="Всего 2" dataDxfId="974">
      <calculatedColumnFormula>GETPIVOTDATA("Значения услуг",$A$11,"Услуги","Итого")</calculatedColumnFormula>
    </tableColumn>
    <tableColumn id="4" name="Сумма" dataDxfId="973">
      <calculatedColumnFormula>МесяцыВсего[б/пл.]+МесяцыВсего[пл.]+МесяцыСиделка[Сиделка]</calculatedColumnFormula>
    </tableColumn>
    <tableColumn id="7" name="Всего-БПЛ" dataDxfId="972">
      <calculatedColumnFormula>МесяцыВсего[Сумма]-МесяцыВсего[Б+ПЛ]</calculatedColumnFormula>
    </tableColumn>
    <tableColumn id="6" name="Б+ПЛ" dataDxfId="971">
      <calculatedColumnFormula>SUM(МесяцыВсего[[б/пл.]:[пл.]])</calculatedColumnFormula>
    </tableColumn>
    <tableColumn id="2" name="б/пл." dataDxfId="970">
      <calculatedColumnFormula>SUM(МесяцыИтоги[б/пл.])</calculatedColumnFormula>
    </tableColumn>
    <tableColumn id="3" name="пл." dataDxfId="969">
      <calculatedColumnFormula>SUM(МесяцыИтоги[пл.])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12" name="МесяцыСиделка" displayName="МесяцыСиделка" ref="F7:F8" tableType="queryTable" totalsRowShown="0" headerRowDxfId="968" dataDxfId="967">
  <autoFilter ref="F7:F8"/>
  <tableColumns count="1">
    <tableColumn id="2" uniqueName="2" name="Сиделка" queryTableFieldId="1" dataDxfId="966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13" name="МесяцыСоцМед" displayName="МесяцыСоцМед" ref="I7:I8" totalsRowShown="0" headerRowDxfId="965" dataDxfId="964">
  <autoFilter ref="I7:I8">
    <filterColumn colId="0" hiddenButton="1"/>
  </autoFilter>
  <tableColumns count="1">
    <tableColumn id="1" name="Соц-Мед Всего" dataDxfId="963">
      <calculatedColumnFormula>C6+D6</calculatedColumnFormula>
    </tableColumn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3" name="Диапазон" displayName="Диапазон" ref="B1:C2" totalsRowShown="0" headerRowDxfId="477" dataDxfId="476" tableBorderDxfId="475">
  <autoFilter ref="B1:C2">
    <filterColumn colId="0" hiddenButton="1"/>
    <filterColumn colId="1" hiddenButton="1"/>
  </autoFilter>
  <tableColumns count="2">
    <tableColumn id="1" name="Начало" dataDxfId="474"/>
    <tableColumn id="2" name="Конец" dataDxfId="47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6" name="ПериодИтоги" displayName="ПериодИтоги" ref="A4:D9" tableType="queryTable" totalsRowShown="0" headerRowDxfId="472" dataDxfId="471">
  <autoFilter ref="A4:D9"/>
  <tableColumns count="4">
    <tableColumn id="1" uniqueName="1" name="Услуги" queryTableFieldId="1" dataDxfId="470"/>
    <tableColumn id="2" uniqueName="2" name="Всего" queryTableFieldId="2" dataDxfId="469"/>
    <tableColumn id="3" uniqueName="3" name="б/пл." queryTableFieldId="3" dataDxfId="468"/>
    <tableColumn id="4" uniqueName="4" name="пл." queryTableFieldId="4" dataDxfId="467"/>
  </tableColumns>
  <tableStyleInfo name="TableStyleLight15" showFirstColumn="0" showLastColumn="0" showRowStripes="1" showColumnStripes="0"/>
</table>
</file>

<file path=xl/tables/table10.xml><?xml version="1.0" encoding="utf-8"?>
<table xmlns="http://schemas.openxmlformats.org/spreadsheetml/2006/main" id="7" name="ПериодВсего" displayName="ПериодВсего" ref="F4:L5" totalsRowShown="0" headerRowDxfId="466" dataDxfId="465">
  <autoFilter ref="F4:L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5" name="Всего 1" dataDxfId="464">
      <calculatedColumnFormula>SUM(ПериодИтоги[Всего])</calculatedColumnFormula>
    </tableColumn>
    <tableColumn id="2" name="Всего 2" dataDxfId="463">
      <calculatedColumnFormula>GETPIVOTDATA("Значения услуг",$A$11,"Услуги","Итого")</calculatedColumnFormula>
    </tableColumn>
    <tableColumn id="1" name="Сумма" dataDxfId="462">
      <calculatedColumnFormula>ПериодВсего[б/пл.]+ПериодВсего[пл.]+ПериодСиделка[Сиделка]</calculatedColumnFormula>
    </tableColumn>
    <tableColumn id="7" name="ВСЕГО-БПЛ" dataDxfId="461">
      <calculatedColumnFormula>ПериодВсего[Сумма]-ПериодВсего[Б+ПЛ]</calculatedColumnFormula>
    </tableColumn>
    <tableColumn id="6" name="Б+ПЛ" dataDxfId="460">
      <calculatedColumnFormula>SUM(ПериодВсего[[б/пл.]:[пл.]])</calculatedColumnFormula>
    </tableColumn>
    <tableColumn id="3" name="б/пл." dataDxfId="459">
      <calculatedColumnFormula>SUM(ПериодИтоги[б/пл.])</calculatedColumnFormula>
    </tableColumn>
    <tableColumn id="4" name="пл." dataDxfId="458">
      <calculatedColumnFormula>SUM(ПериодИтоги[пл.])</calculatedColumnFormula>
    </tableColumn>
  </tableColumns>
  <tableStyleInfo name="TableStyleLight15" showFirstColumn="0" showLastColumn="0" showRowStripes="1" showColumnStripes="0"/>
</table>
</file>

<file path=xl/tables/table11.xml><?xml version="1.0" encoding="utf-8"?>
<table xmlns="http://schemas.openxmlformats.org/spreadsheetml/2006/main" id="10" name="ПериодСиделка" displayName="ПериодСиделка" ref="F7:F8" tableType="queryTable" totalsRowShown="0" headerRowDxfId="457" dataDxfId="456">
  <autoFilter ref="F7:F8"/>
  <tableColumns count="1">
    <tableColumn id="1" uniqueName="1" name="Сиделка" queryTableFieldId="1" dataDxfId="455"/>
  </tableColumns>
  <tableStyleInfo name="TableStyleLight15" showFirstColumn="0" showLastColumn="0" showRowStripes="1" showColumnStripes="0"/>
</table>
</file>

<file path=xl/tables/table12.xml><?xml version="1.0" encoding="utf-8"?>
<table xmlns="http://schemas.openxmlformats.org/spreadsheetml/2006/main" id="14" name="ПериодСоцМед" displayName="ПериодСоцМед" ref="I7:I8" totalsRowShown="0" headerRowDxfId="454" dataDxfId="453">
  <autoFilter ref="I7:I8">
    <filterColumn colId="0" hiddenButton="1"/>
  </autoFilter>
  <tableColumns count="1">
    <tableColumn id="1" name="Соц-Мед Всего" dataDxfId="452">
      <calculatedColumnFormula>C6+D6</calculatedColumnFormula>
    </tableColumn>
  </tableColumns>
  <tableStyleInfo name="TableStyleLight15" showFirstColumn="0" showLastColumn="0" showRowStripes="1" showColumnStripes="0"/>
</table>
</file>

<file path=xl/tables/table13.xml><?xml version="1.0" encoding="utf-8"?>
<table xmlns="http://schemas.openxmlformats.org/spreadsheetml/2006/main" id="16" name="ГодИтоги" displayName="ГодИтоги" ref="A4:D9" tableType="queryTable" totalsRowShown="0" headerRowDxfId="20" dataDxfId="19">
  <autoFilter ref="A4:D9"/>
  <tableColumns count="4">
    <tableColumn id="1" uniqueName="1" name="Услуги" queryTableFieldId="1" dataDxfId="18"/>
    <tableColumn id="2" uniqueName="2" name="Всего" queryTableFieldId="2" dataDxfId="17"/>
    <tableColumn id="3" uniqueName="3" name="б/пл." queryTableFieldId="3" dataDxfId="16"/>
    <tableColumn id="4" uniqueName="4" name="пл." queryTableFieldId="4" dataDxfId="15"/>
  </tableColumns>
  <tableStyleInfo name="TableStyleLight15" showFirstColumn="0" showLastColumn="0" showRowStripes="1" showColumnStripes="0"/>
</table>
</file>

<file path=xl/tables/table14.xml><?xml version="1.0" encoding="utf-8"?>
<table xmlns="http://schemas.openxmlformats.org/spreadsheetml/2006/main" id="9" name="ГодВсего" displayName="ГодВсего" ref="F4:L5" totalsRowShown="0" headerRowDxfId="14" dataDxfId="13">
  <autoFilter ref="F4:L5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5" name="Всего 1" dataDxfId="12">
      <calculatedColumnFormula>SUM(ГодИтоги[Всего])</calculatedColumnFormula>
    </tableColumn>
    <tableColumn id="1" name="Всего 2" dataDxfId="11">
      <calculatedColumnFormula>GETPIVOTDATA("Значения услуг",$A$11,"Услуги","Итого")</calculatedColumnFormula>
    </tableColumn>
    <tableColumn id="4" name="Сумма" dataDxfId="10">
      <calculatedColumnFormula>ГодВсего[б/пл.]+ГодВсего[пл.]+ГодСиделка[Сиделка]</calculatedColumnFormula>
    </tableColumn>
    <tableColumn id="7" name="Всего-БПЛ" dataDxfId="9">
      <calculatedColumnFormula>ГодВсего[Сумма]-ГодВсего[Б+ПЛ]</calculatedColumnFormula>
    </tableColumn>
    <tableColumn id="6" name="Б+ПЛ" dataDxfId="8">
      <calculatedColumnFormula>SUM(ГодВсего[[б/пл.]:[пл.]])</calculatedColumnFormula>
    </tableColumn>
    <tableColumn id="2" name="б/пл." dataDxfId="7">
      <calculatedColumnFormula>SUM(ГодИтоги[б/пл.])</calculatedColumnFormula>
    </tableColumn>
    <tableColumn id="3" name="пл." dataDxfId="6">
      <calculatedColumnFormula>SUM(ГодИтоги[пл.])</calculatedColumnFormula>
    </tableColumn>
  </tableColumns>
  <tableStyleInfo name="TableStyleLight15" showFirstColumn="0" showLastColumn="0" showRowStripes="1" showColumnStripes="0"/>
</table>
</file>

<file path=xl/tables/table15.xml><?xml version="1.0" encoding="utf-8"?>
<table xmlns="http://schemas.openxmlformats.org/spreadsheetml/2006/main" id="11" name="ГодСиделка" displayName="ГодСиделка" ref="F7:F8" tableType="queryTable" totalsRowShown="0" headerRowDxfId="5" dataDxfId="4">
  <autoFilter ref="F7:F8"/>
  <tableColumns count="1">
    <tableColumn id="1" uniqueName="1" name="Сиделка" queryTableFieldId="1" dataDxfId="3"/>
  </tableColumns>
  <tableStyleInfo name="TableStyleLight15" showFirstColumn="0" showLastColumn="0" showRowStripes="1" showColumnStripes="0"/>
</table>
</file>

<file path=xl/tables/table16.xml><?xml version="1.0" encoding="utf-8"?>
<table xmlns="http://schemas.openxmlformats.org/spreadsheetml/2006/main" id="15" name="ГодСоцМед" displayName="ГодСоцМед" ref="I7:I8" totalsRowShown="0" headerRowDxfId="2" dataDxfId="1">
  <autoFilter ref="I7:I8">
    <filterColumn colId="0" hiddenButton="1"/>
  </autoFilter>
  <tableColumns count="1">
    <tableColumn id="1" name="Соц-Мед Всего" dataDxfId="0">
      <calculatedColumnFormula>C6+D6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2026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1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drawing" Target="../drawings/drawing2.xml"/><Relationship Id="rId7" Type="http://schemas.openxmlformats.org/officeDocument/2006/relationships/table" Target="../tables/table11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Relationship Id="rId9" Type="http://schemas.microsoft.com/office/2007/relationships/slicer" Target="../slicers/slicer2.xml"/></Relationships>
</file>

<file path=xl/worksheets/_rels/sheet5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drawing" Target="../drawings/drawing3.xml"/><Relationship Id="rId7" Type="http://schemas.openxmlformats.org/officeDocument/2006/relationships/table" Target="../tables/table16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13"/>
  <sheetViews>
    <sheetView workbookViewId="0">
      <selection activeCell="E4" sqref="E4"/>
    </sheetView>
  </sheetViews>
  <sheetFormatPr defaultColWidth="9.140625" defaultRowHeight="15.75" x14ac:dyDescent="0.25"/>
  <cols>
    <col min="1" max="1" width="46.5703125" style="5" bestFit="1" customWidth="1"/>
    <col min="2" max="2" width="9.140625" style="1" customWidth="1"/>
    <col min="3" max="3" width="33" style="1" bestFit="1" customWidth="1"/>
    <col min="4" max="4" width="9.140625" style="1"/>
    <col min="5" max="5" width="30.28515625" style="8" bestFit="1" customWidth="1"/>
    <col min="6" max="6" width="9.140625" style="1"/>
    <col min="7" max="7" width="11" style="1" customWidth="1"/>
    <col min="8" max="16384" width="9.140625" style="1"/>
  </cols>
  <sheetData>
    <row r="1" spans="1:8" s="4" customFormat="1" ht="31.5" x14ac:dyDescent="0.25">
      <c r="A1" s="9" t="s">
        <v>1</v>
      </c>
      <c r="C1" s="10" t="s">
        <v>5</v>
      </c>
      <c r="E1" s="6" t="s">
        <v>21</v>
      </c>
      <c r="G1" s="4" t="s">
        <v>23</v>
      </c>
      <c r="H1" s="25" t="s">
        <v>76</v>
      </c>
    </row>
    <row r="2" spans="1:8" ht="30.75" thickBot="1" x14ac:dyDescent="0.3">
      <c r="A2" s="31" t="s">
        <v>88</v>
      </c>
      <c r="C2" s="3" t="s">
        <v>6</v>
      </c>
      <c r="E2" s="7" t="s">
        <v>90</v>
      </c>
      <c r="G2" s="1" t="s">
        <v>4</v>
      </c>
      <c r="H2" s="24">
        <v>1</v>
      </c>
    </row>
    <row r="3" spans="1:8" ht="16.5" thickBot="1" x14ac:dyDescent="0.3">
      <c r="E3" s="7"/>
      <c r="G3" s="1" t="s">
        <v>9</v>
      </c>
      <c r="H3" s="24">
        <v>2</v>
      </c>
    </row>
    <row r="4" spans="1:8" x14ac:dyDescent="0.25">
      <c r="A4" s="5" t="s">
        <v>0</v>
      </c>
      <c r="C4" s="2" t="s">
        <v>22</v>
      </c>
      <c r="E4" s="7"/>
      <c r="G4" s="1" t="s">
        <v>10</v>
      </c>
      <c r="H4" s="24">
        <v>3</v>
      </c>
    </row>
    <row r="5" spans="1:8" ht="32.25" thickBot="1" x14ac:dyDescent="0.3">
      <c r="A5" s="5" t="str">
        <f>A2&amp;C5&amp;C2</f>
        <v>D:\Загрузки\Разработка\Social_Develop\social-services-2026\Услуги-Сиделка.xlsm</v>
      </c>
      <c r="C5" s="3" t="s">
        <v>90</v>
      </c>
      <c r="G5" s="1" t="s">
        <v>11</v>
      </c>
      <c r="H5" s="24">
        <v>4</v>
      </c>
    </row>
    <row r="6" spans="1:8" x14ac:dyDescent="0.25">
      <c r="G6" s="1" t="s">
        <v>12</v>
      </c>
      <c r="H6" s="24">
        <v>5</v>
      </c>
    </row>
    <row r="7" spans="1:8" x14ac:dyDescent="0.25">
      <c r="G7" s="1" t="s">
        <v>13</v>
      </c>
      <c r="H7" s="24">
        <v>6</v>
      </c>
    </row>
    <row r="8" spans="1:8" x14ac:dyDescent="0.25">
      <c r="A8" s="11"/>
      <c r="B8" s="12"/>
      <c r="C8" s="12"/>
      <c r="G8" s="1" t="s">
        <v>14</v>
      </c>
      <c r="H8" s="24">
        <v>7</v>
      </c>
    </row>
    <row r="9" spans="1:8" x14ac:dyDescent="0.25">
      <c r="A9" s="13"/>
      <c r="B9" s="12"/>
      <c r="C9" s="12"/>
      <c r="G9" s="1" t="s">
        <v>15</v>
      </c>
      <c r="H9" s="24">
        <v>8</v>
      </c>
    </row>
    <row r="10" spans="1:8" x14ac:dyDescent="0.25">
      <c r="A10" s="13"/>
      <c r="B10" s="12"/>
      <c r="C10" s="12"/>
      <c r="G10" s="1" t="s">
        <v>16</v>
      </c>
      <c r="H10" s="24">
        <v>9</v>
      </c>
    </row>
    <row r="11" spans="1:8" x14ac:dyDescent="0.25">
      <c r="A11" s="13"/>
      <c r="B11" s="12"/>
      <c r="C11" s="12"/>
      <c r="G11" s="1" t="s">
        <v>17</v>
      </c>
      <c r="H11" s="24">
        <v>10</v>
      </c>
    </row>
    <row r="12" spans="1:8" x14ac:dyDescent="0.25">
      <c r="A12" s="13"/>
      <c r="B12" s="12"/>
      <c r="C12" s="12"/>
      <c r="G12" s="1" t="s">
        <v>18</v>
      </c>
      <c r="H12" s="24">
        <v>11</v>
      </c>
    </row>
    <row r="13" spans="1:8" x14ac:dyDescent="0.25">
      <c r="A13" s="13"/>
      <c r="B13" s="12"/>
      <c r="C13" s="12"/>
      <c r="G13" s="1" t="s">
        <v>19</v>
      </c>
      <c r="H13" s="24">
        <v>12</v>
      </c>
    </row>
  </sheetData>
  <dataValidations count="1">
    <dataValidation type="list" allowBlank="1" showInputMessage="1" showErrorMessage="1" sqref="C5">
      <formula1>СписокФайлов</formula1>
    </dataValidation>
  </dataValidations>
  <hyperlinks>
    <hyperlink ref="A2" r:id="rId1" display="\\Oso02\документы\СВОДНАЯ ТАБЛИЦА\2026"/>
  </hyperlinks>
  <pageMargins left="0.7" right="0.7" top="0.75" bottom="0.75" header="0.3" footer="0.3"/>
  <pageSetup paperSize="9" orientation="portrait" horizontalDpi="300" verticalDpi="300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1:E8"/>
  <sheetViews>
    <sheetView tabSelected="1" zoomScale="90" zoomScaleNormal="90" workbookViewId="0">
      <selection activeCell="C8" sqref="C8"/>
    </sheetView>
  </sheetViews>
  <sheetFormatPr defaultColWidth="9.140625" defaultRowHeight="15.75" x14ac:dyDescent="0.25"/>
  <cols>
    <col min="1" max="1" width="9.140625" style="1"/>
    <col min="2" max="4" width="28.5703125" style="1" customWidth="1"/>
    <col min="5" max="5" width="28.7109375" style="1" customWidth="1"/>
    <col min="6" max="16384" width="9.140625" style="1"/>
  </cols>
  <sheetData>
    <row r="1" spans="2:5" ht="25.5" x14ac:dyDescent="0.25">
      <c r="B1" s="47" t="s">
        <v>7</v>
      </c>
      <c r="C1" s="47"/>
      <c r="D1" s="47"/>
      <c r="E1" s="47"/>
    </row>
    <row r="2" spans="2:5" ht="18.75" x14ac:dyDescent="0.25">
      <c r="B2" s="48" t="s">
        <v>8</v>
      </c>
      <c r="C2" s="48"/>
      <c r="D2" s="48"/>
      <c r="E2" s="48"/>
    </row>
    <row r="3" spans="2:5" ht="16.5" thickBot="1" x14ac:dyDescent="0.3"/>
    <row r="4" spans="2:5" ht="18.75" x14ac:dyDescent="0.25">
      <c r="B4" s="49" t="s">
        <v>23</v>
      </c>
      <c r="C4" s="50"/>
      <c r="D4" s="50"/>
      <c r="E4" s="51"/>
    </row>
    <row r="5" spans="2:5" ht="18.75" x14ac:dyDescent="0.25">
      <c r="B5" s="55" t="s">
        <v>80</v>
      </c>
      <c r="C5" s="56"/>
      <c r="D5" s="56"/>
      <c r="E5" s="57"/>
    </row>
    <row r="6" spans="2:5" ht="19.5" thickBot="1" x14ac:dyDescent="0.3">
      <c r="B6" s="52" t="s">
        <v>75</v>
      </c>
      <c r="C6" s="53"/>
      <c r="D6" s="53"/>
      <c r="E6" s="54"/>
    </row>
    <row r="8" spans="2:5" ht="18.75" x14ac:dyDescent="0.25">
      <c r="B8" s="14" t="s">
        <v>20</v>
      </c>
    </row>
  </sheetData>
  <mergeCells count="5">
    <mergeCell ref="B1:E1"/>
    <mergeCell ref="B2:E2"/>
    <mergeCell ref="B4:E4"/>
    <mergeCell ref="B6:E6"/>
    <mergeCell ref="B5:E5"/>
  </mergeCells>
  <hyperlinks>
    <hyperlink ref="B8" location="Настройки!A1" display="Настройки"/>
    <hyperlink ref="B4:E4" location="Месяцы!A1" display="Месяцы"/>
    <hyperlink ref="B6:E6" location="Год!A1" display="Год"/>
    <hyperlink ref="B5:E5" location="Период!A1" display="Период"/>
  </hyperlinks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O374"/>
  <sheetViews>
    <sheetView zoomScale="70" zoomScaleNormal="70" workbookViewId="0">
      <pane ySplit="12" topLeftCell="A13" activePane="bottomLeft" state="frozen"/>
      <selection pane="bottomLeft" activeCell="D2" sqref="D2"/>
    </sheetView>
  </sheetViews>
  <sheetFormatPr defaultColWidth="9.140625" defaultRowHeight="15.75" x14ac:dyDescent="0.25"/>
  <cols>
    <col min="1" max="1" width="23.5703125" style="17" customWidth="1"/>
    <col min="2" max="2" width="21.42578125" style="17" bestFit="1" customWidth="1"/>
    <col min="3" max="3" width="15.42578125" style="17" bestFit="1" customWidth="1"/>
    <col min="4" max="4" width="7.85546875" style="17" bestFit="1" customWidth="1"/>
    <col min="5" max="5" width="10.28515625" style="17" bestFit="1" customWidth="1"/>
    <col min="6" max="6" width="12.140625" style="17" bestFit="1" customWidth="1"/>
    <col min="7" max="7" width="9.28515625" style="17" bestFit="1" customWidth="1"/>
    <col min="8" max="8" width="10.28515625" style="17" customWidth="1"/>
    <col min="9" max="9" width="18.140625" style="17" bestFit="1" customWidth="1"/>
    <col min="10" max="10" width="7.7109375" style="17" bestFit="1" customWidth="1"/>
    <col min="11" max="11" width="6.42578125" style="17" bestFit="1" customWidth="1"/>
    <col min="12" max="12" width="4.5703125" style="17" bestFit="1" customWidth="1"/>
    <col min="13" max="14" width="7.28515625" style="17" bestFit="1" customWidth="1"/>
    <col min="15" max="15" width="4.28515625" style="17" customWidth="1"/>
    <col min="16" max="16" width="7.28515625" style="17" bestFit="1" customWidth="1"/>
    <col min="17" max="18" width="4.28515625" style="17" customWidth="1"/>
    <col min="19" max="19" width="7.28515625" style="17" bestFit="1" customWidth="1"/>
    <col min="20" max="21" width="4.28515625" style="17" customWidth="1"/>
    <col min="22" max="22" width="13.42578125" style="17" bestFit="1" customWidth="1"/>
    <col min="23" max="23" width="7.28515625" style="17" bestFit="1" customWidth="1"/>
    <col min="24" max="24" width="4.28515625" style="17" customWidth="1"/>
    <col min="25" max="25" width="7.28515625" style="17" bestFit="1" customWidth="1"/>
    <col min="26" max="27" width="7.28515625" style="17" customWidth="1"/>
    <col min="28" max="28" width="7.28515625" style="17" bestFit="1" customWidth="1"/>
    <col min="29" max="31" width="4.28515625" style="17" customWidth="1"/>
    <col min="32" max="32" width="10.28515625" style="17" bestFit="1" customWidth="1"/>
    <col min="33" max="33" width="7.28515625" style="17" bestFit="1" customWidth="1"/>
    <col min="34" max="34" width="4.28515625" style="17" customWidth="1"/>
    <col min="35" max="36" width="7.28515625" style="17" bestFit="1" customWidth="1"/>
    <col min="37" max="37" width="7.28515625" style="17" customWidth="1"/>
    <col min="38" max="38" width="4.28515625" style="17" customWidth="1"/>
    <col min="39" max="39" width="10.28515625" style="17" bestFit="1" customWidth="1"/>
    <col min="40" max="40" width="7.28515625" style="17" bestFit="1" customWidth="1"/>
    <col min="41" max="41" width="4" style="17" customWidth="1"/>
    <col min="42" max="63" width="10.28515625" style="17" customWidth="1"/>
    <col min="64" max="64" width="10.85546875" style="17" customWidth="1"/>
    <col min="65" max="68" width="10.28515625" style="17" customWidth="1"/>
    <col min="69" max="69" width="13" style="17" customWidth="1"/>
    <col min="70" max="80" width="10.28515625" style="17" customWidth="1"/>
    <col min="81" max="81" width="10.85546875" style="17" customWidth="1"/>
    <col min="82" max="82" width="10.28515625" style="17" customWidth="1"/>
    <col min="83" max="83" width="3.85546875" style="17" customWidth="1"/>
    <col min="84" max="84" width="18.140625" style="17" customWidth="1"/>
    <col min="85" max="85" width="15.7109375" style="17" customWidth="1"/>
    <col min="86" max="87" width="14.140625" style="17" customWidth="1"/>
    <col min="88" max="88" width="23.140625" style="17" customWidth="1"/>
    <col min="89" max="89" width="30.140625" style="17" customWidth="1"/>
    <col min="90" max="90" width="29.140625" style="17" customWidth="1"/>
    <col min="91" max="91" width="21.5703125" style="17" customWidth="1"/>
    <col min="92" max="92" width="41.28515625" style="17" customWidth="1"/>
    <col min="93" max="93" width="18" style="17" customWidth="1"/>
    <col min="94" max="94" width="19.28515625" style="17" customWidth="1"/>
    <col min="95" max="95" width="35.5703125" style="17" customWidth="1"/>
    <col min="96" max="96" width="50.42578125" style="17" customWidth="1"/>
    <col min="97" max="97" width="44.140625" style="17" customWidth="1"/>
    <col min="98" max="98" width="24.42578125" style="17" customWidth="1"/>
    <col min="99" max="99" width="11.5703125" style="17" customWidth="1"/>
    <col min="100" max="100" width="8.5703125" style="17" customWidth="1"/>
    <col min="101" max="101" width="57.28515625" style="17" customWidth="1"/>
    <col min="102" max="102" width="43.28515625" style="17" customWidth="1"/>
    <col min="103" max="103" width="12.28515625" style="17" customWidth="1"/>
    <col min="104" max="104" width="28.140625" style="17" customWidth="1"/>
    <col min="105" max="105" width="27.140625" style="17" customWidth="1"/>
    <col min="106" max="106" width="37.85546875" style="17" customWidth="1"/>
    <col min="107" max="107" width="41.7109375" style="17" customWidth="1"/>
    <col min="108" max="108" width="45.42578125" style="17" customWidth="1"/>
    <col min="109" max="109" width="31.42578125" style="17" customWidth="1"/>
    <col min="110" max="110" width="38.140625" style="17" customWidth="1"/>
    <col min="111" max="111" width="10.7109375" style="17" customWidth="1"/>
    <col min="112" max="112" width="19.28515625" style="17" customWidth="1"/>
    <col min="113" max="113" width="50.85546875" style="17" customWidth="1"/>
    <col min="114" max="114" width="35.5703125" style="17" customWidth="1"/>
    <col min="115" max="115" width="16.28515625" style="17" customWidth="1"/>
    <col min="116" max="116" width="10" style="17" bestFit="1" customWidth="1"/>
    <col min="117" max="117" width="43.5703125" style="17" bestFit="1" customWidth="1"/>
    <col min="118" max="118" width="23.5703125" style="17" bestFit="1" customWidth="1"/>
    <col min="119" max="119" width="36.5703125" style="17" bestFit="1" customWidth="1"/>
    <col min="120" max="120" width="15" style="17" bestFit="1" customWidth="1"/>
    <col min="121" max="121" width="43.42578125" style="17" bestFit="1" customWidth="1"/>
    <col min="122" max="122" width="18.140625" style="17" bestFit="1" customWidth="1"/>
    <col min="123" max="123" width="15.7109375" style="17" bestFit="1" customWidth="1"/>
    <col min="124" max="125" width="14.140625" style="17" bestFit="1" customWidth="1"/>
    <col min="126" max="126" width="23.140625" style="17" bestFit="1" customWidth="1"/>
    <col min="127" max="127" width="30.140625" style="17" bestFit="1" customWidth="1"/>
    <col min="128" max="128" width="29.140625" style="17" bestFit="1" customWidth="1"/>
    <col min="129" max="129" width="21.5703125" style="17" bestFit="1" customWidth="1"/>
    <col min="130" max="130" width="41.28515625" style="17" bestFit="1" customWidth="1"/>
    <col min="131" max="131" width="18" style="17" bestFit="1" customWidth="1"/>
    <col min="132" max="132" width="19.28515625" style="17" bestFit="1" customWidth="1"/>
    <col min="133" max="133" width="35.5703125" style="17" bestFit="1" customWidth="1"/>
    <col min="134" max="134" width="50.42578125" style="17" customWidth="1"/>
    <col min="135" max="135" width="44.140625" style="17" bestFit="1" customWidth="1"/>
    <col min="136" max="136" width="24.42578125" style="17" bestFit="1" customWidth="1"/>
    <col min="137" max="137" width="11.5703125" style="17" bestFit="1" customWidth="1"/>
    <col min="138" max="138" width="8.5703125" style="17" customWidth="1"/>
    <col min="139" max="139" width="57.28515625" style="17" bestFit="1" customWidth="1"/>
    <col min="140" max="140" width="43.28515625" style="17" bestFit="1" customWidth="1"/>
    <col min="141" max="141" width="12.28515625" style="17" customWidth="1"/>
    <col min="142" max="142" width="28.140625" style="17" bestFit="1" customWidth="1"/>
    <col min="143" max="143" width="27.140625" style="17" bestFit="1" customWidth="1"/>
    <col min="144" max="144" width="37.85546875" style="17" bestFit="1" customWidth="1"/>
    <col min="145" max="145" width="41.7109375" style="17" customWidth="1"/>
    <col min="146" max="146" width="45.42578125" style="17" bestFit="1" customWidth="1"/>
    <col min="147" max="147" width="31.42578125" style="17" bestFit="1" customWidth="1"/>
    <col min="148" max="148" width="38.140625" style="17" bestFit="1" customWidth="1"/>
    <col min="149" max="149" width="10.7109375" style="17" bestFit="1" customWidth="1"/>
    <col min="150" max="150" width="19.28515625" style="17" bestFit="1" customWidth="1"/>
    <col min="151" max="151" width="50.85546875" style="17" bestFit="1" customWidth="1"/>
    <col min="152" max="152" width="35.5703125" style="17" bestFit="1" customWidth="1"/>
    <col min="153" max="153" width="16.28515625" style="17" bestFit="1" customWidth="1"/>
    <col min="154" max="16384" width="9.140625" style="17"/>
  </cols>
  <sheetData>
    <row r="1" spans="1:41" ht="22.5" x14ac:dyDescent="0.3">
      <c r="A1" s="15" t="s">
        <v>2</v>
      </c>
      <c r="B1" s="16" t="s">
        <v>32</v>
      </c>
    </row>
    <row r="2" spans="1:41" ht="22.5" x14ac:dyDescent="0.3">
      <c r="A2" s="15" t="s">
        <v>3</v>
      </c>
      <c r="B2" s="18" t="s">
        <v>4</v>
      </c>
    </row>
    <row r="4" spans="1:41" x14ac:dyDescent="0.25">
      <c r="A4" s="19" t="s">
        <v>2</v>
      </c>
      <c r="B4" s="19" t="s">
        <v>24</v>
      </c>
      <c r="C4" s="19" t="s">
        <v>25</v>
      </c>
      <c r="D4" s="20" t="s">
        <v>26</v>
      </c>
      <c r="F4" s="30" t="s">
        <v>82</v>
      </c>
      <c r="G4" s="17" t="s">
        <v>81</v>
      </c>
      <c r="H4" s="17" t="s">
        <v>79</v>
      </c>
      <c r="I4" s="17" t="s">
        <v>85</v>
      </c>
      <c r="J4" s="17" t="s">
        <v>84</v>
      </c>
      <c r="K4" s="17" t="s">
        <v>25</v>
      </c>
      <c r="L4" s="17" t="s">
        <v>26</v>
      </c>
    </row>
    <row r="5" spans="1:41" x14ac:dyDescent="0.25">
      <c r="A5" s="19" t="s">
        <v>27</v>
      </c>
      <c r="B5" s="19">
        <v>0</v>
      </c>
      <c r="C5" s="19">
        <v>0</v>
      </c>
      <c r="D5" s="20">
        <v>0</v>
      </c>
      <c r="F5" s="30">
        <f>SUM(МесяцыИтоги[Всего])</f>
        <v>0</v>
      </c>
      <c r="G5" s="17">
        <f>GETPIVOTDATA("Значения услуг",$A$11,"Услуги","Итого")</f>
        <v>0</v>
      </c>
      <c r="H5" s="17">
        <f>МесяцыВсего[б/пл.]+МесяцыВсего[пл.]+МесяцыСиделка[Сиделка]</f>
        <v>0</v>
      </c>
      <c r="I5" s="17">
        <f>МесяцыВсего[Сумма]-МесяцыВсего[Б+ПЛ]</f>
        <v>0</v>
      </c>
      <c r="J5" s="17">
        <f>SUM(МесяцыВсего[[б/пл.]:[пл.]])</f>
        <v>0</v>
      </c>
      <c r="K5" s="17">
        <f>SUM(МесяцыИтоги[б/пл.])</f>
        <v>0</v>
      </c>
      <c r="L5" s="17">
        <f>SUM(МесяцыИтоги[пл.])</f>
        <v>0</v>
      </c>
    </row>
    <row r="6" spans="1:41" x14ac:dyDescent="0.25">
      <c r="A6" s="19" t="s">
        <v>28</v>
      </c>
      <c r="B6" s="19">
        <v>0</v>
      </c>
      <c r="C6" s="19">
        <v>0</v>
      </c>
      <c r="D6" s="20">
        <v>0</v>
      </c>
    </row>
    <row r="7" spans="1:41" x14ac:dyDescent="0.25">
      <c r="A7" s="19" t="s">
        <v>29</v>
      </c>
      <c r="B7" s="19">
        <v>0</v>
      </c>
      <c r="C7" s="19">
        <v>0</v>
      </c>
      <c r="D7" s="20">
        <v>0</v>
      </c>
      <c r="F7" s="39" t="s">
        <v>83</v>
      </c>
      <c r="I7" s="17" t="s">
        <v>87</v>
      </c>
    </row>
    <row r="8" spans="1:41" x14ac:dyDescent="0.25">
      <c r="A8" s="19" t="s">
        <v>30</v>
      </c>
      <c r="B8" s="19">
        <v>0</v>
      </c>
      <c r="C8" s="19">
        <v>0</v>
      </c>
      <c r="D8" s="20">
        <v>0</v>
      </c>
      <c r="F8" s="40">
        <v>0</v>
      </c>
      <c r="I8" s="17">
        <f>C6+D6</f>
        <v>0</v>
      </c>
    </row>
    <row r="9" spans="1:41" x14ac:dyDescent="0.25">
      <c r="A9" s="19" t="s">
        <v>31</v>
      </c>
      <c r="B9" s="19">
        <v>0</v>
      </c>
      <c r="C9" s="19">
        <v>0</v>
      </c>
      <c r="D9" s="20">
        <v>0</v>
      </c>
    </row>
    <row r="11" spans="1:41" x14ac:dyDescent="0.25">
      <c r="A11" s="38" t="s">
        <v>74</v>
      </c>
      <c r="B11" s="38"/>
      <c r="C11" s="32" t="s">
        <v>2</v>
      </c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21"/>
    </row>
    <row r="12" spans="1:41" ht="127.5" customHeight="1" x14ac:dyDescent="0.25">
      <c r="A12" s="32" t="s">
        <v>33</v>
      </c>
      <c r="B12" s="32" t="s">
        <v>35</v>
      </c>
      <c r="C12" s="33" t="s">
        <v>42</v>
      </c>
      <c r="D12" s="32" t="s">
        <v>41</v>
      </c>
      <c r="E12" s="34" t="s">
        <v>70</v>
      </c>
      <c r="F12" s="33" t="s">
        <v>51</v>
      </c>
      <c r="G12" s="33" t="s">
        <v>54</v>
      </c>
      <c r="H12" s="33" t="s">
        <v>48</v>
      </c>
      <c r="I12" s="33" t="s">
        <v>38</v>
      </c>
      <c r="J12" s="33" t="s">
        <v>72</v>
      </c>
      <c r="K12" s="33" t="s">
        <v>73</v>
      </c>
      <c r="L12" s="33" t="s">
        <v>55</v>
      </c>
      <c r="M12" s="33" t="s">
        <v>59</v>
      </c>
      <c r="N12" s="33" t="s">
        <v>58</v>
      </c>
      <c r="O12" s="33" t="s">
        <v>45</v>
      </c>
      <c r="P12" s="33" t="s">
        <v>47</v>
      </c>
      <c r="Q12" s="33" t="s">
        <v>71</v>
      </c>
      <c r="R12" s="33" t="s">
        <v>40</v>
      </c>
      <c r="S12" s="33" t="s">
        <v>52</v>
      </c>
      <c r="T12" s="33" t="s">
        <v>49</v>
      </c>
      <c r="U12" s="33" t="s">
        <v>61</v>
      </c>
      <c r="V12" s="33" t="s">
        <v>39</v>
      </c>
      <c r="W12" s="33" t="s">
        <v>50</v>
      </c>
      <c r="X12" s="33" t="s">
        <v>57</v>
      </c>
      <c r="Y12" s="33" t="s">
        <v>62</v>
      </c>
      <c r="Z12" s="33" t="s">
        <v>68</v>
      </c>
      <c r="AA12" s="33" t="s">
        <v>65</v>
      </c>
      <c r="AB12" s="33" t="s">
        <v>37</v>
      </c>
      <c r="AC12" s="33" t="s">
        <v>36</v>
      </c>
      <c r="AD12" s="33" t="s">
        <v>44</v>
      </c>
      <c r="AE12" s="33" t="s">
        <v>60</v>
      </c>
      <c r="AF12" s="33" t="s">
        <v>64</v>
      </c>
      <c r="AG12" s="33" t="s">
        <v>63</v>
      </c>
      <c r="AH12" s="33" t="s">
        <v>56</v>
      </c>
      <c r="AI12" s="33" t="s">
        <v>67</v>
      </c>
      <c r="AJ12" s="33" t="s">
        <v>43</v>
      </c>
      <c r="AK12" s="33" t="s">
        <v>66</v>
      </c>
      <c r="AL12" s="33" t="s">
        <v>69</v>
      </c>
      <c r="AM12" s="33" t="s">
        <v>46</v>
      </c>
      <c r="AN12" s="33" t="s">
        <v>53</v>
      </c>
      <c r="AO12" s="21"/>
    </row>
    <row r="13" spans="1:41" x14ac:dyDescent="0.25">
      <c r="A13" s="38" t="s">
        <v>89</v>
      </c>
      <c r="B13" s="32"/>
      <c r="C13" s="36">
        <v>1</v>
      </c>
      <c r="D13" s="36">
        <v>0</v>
      </c>
      <c r="E13" s="37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  <c r="AO13" s="21"/>
    </row>
    <row r="14" spans="1:41" x14ac:dyDescent="0.25">
      <c r="A14" s="35" t="s">
        <v>34</v>
      </c>
      <c r="B14" s="35"/>
      <c r="C14" s="36">
        <v>1</v>
      </c>
      <c r="D14" s="36">
        <v>0</v>
      </c>
      <c r="E14" s="37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  <c r="AO14" s="21"/>
    </row>
    <row r="15" spans="1:41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</row>
    <row r="16" spans="1:41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</row>
    <row r="17" spans="1:4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</row>
    <row r="18" spans="1:4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</row>
    <row r="19" spans="1:4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</row>
    <row r="20" spans="1:4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</row>
    <row r="21" spans="1:4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</row>
    <row r="22" spans="1:4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</row>
    <row r="23" spans="1:4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</row>
    <row r="24" spans="1:4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</row>
    <row r="25" spans="1:4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</row>
    <row r="26" spans="1:4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</row>
    <row r="27" spans="1:4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</row>
    <row r="28" spans="1:4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</row>
    <row r="29" spans="1:4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</row>
    <row r="30" spans="1:4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</row>
    <row r="31" spans="1:4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</row>
    <row r="32" spans="1:4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</row>
    <row r="33" spans="1:4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</row>
    <row r="34" spans="1:4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</row>
    <row r="35" spans="1:4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</row>
    <row r="36" spans="1:4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</row>
    <row r="37" spans="1:4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</row>
    <row r="38" spans="1:4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</row>
    <row r="39" spans="1:4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</row>
    <row r="40" spans="1:4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</row>
    <row r="41" spans="1:4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</row>
    <row r="42" spans="1:4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</row>
    <row r="43" spans="1:4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</row>
    <row r="44" spans="1:4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</row>
    <row r="45" spans="1:4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</row>
    <row r="46" spans="1:4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</row>
    <row r="47" spans="1:4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</row>
    <row r="48" spans="1:4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</row>
    <row r="49" spans="1:4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</row>
    <row r="50" spans="1:4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</row>
    <row r="51" spans="1:41" x14ac:dyDescent="0.2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</row>
    <row r="52" spans="1:41" x14ac:dyDescent="0.2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</row>
    <row r="53" spans="1:41" x14ac:dyDescent="0.2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</row>
    <row r="54" spans="1:41" x14ac:dyDescent="0.2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</row>
    <row r="55" spans="1:41" x14ac:dyDescent="0.2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</row>
    <row r="56" spans="1:41" x14ac:dyDescent="0.2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</row>
    <row r="57" spans="1:41" x14ac:dyDescent="0.2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</row>
    <row r="58" spans="1:41" x14ac:dyDescent="0.2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</row>
    <row r="59" spans="1:41" x14ac:dyDescent="0.2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</row>
    <row r="60" spans="1:41" x14ac:dyDescent="0.2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</row>
    <row r="61" spans="1:41" x14ac:dyDescent="0.2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</row>
    <row r="62" spans="1:41" x14ac:dyDescent="0.2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</row>
    <row r="63" spans="1:41" x14ac:dyDescent="0.2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</row>
    <row r="64" spans="1:41" x14ac:dyDescent="0.2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</row>
    <row r="65" spans="1:41" x14ac:dyDescent="0.2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</row>
    <row r="66" spans="1:41" x14ac:dyDescent="0.2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</row>
    <row r="67" spans="1:41" x14ac:dyDescent="0.2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</row>
    <row r="68" spans="1:41" x14ac:dyDescent="0.2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</row>
    <row r="69" spans="1:41" x14ac:dyDescent="0.2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</row>
    <row r="70" spans="1:41" x14ac:dyDescent="0.2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</row>
    <row r="71" spans="1:41" x14ac:dyDescent="0.2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</row>
    <row r="72" spans="1:41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</row>
    <row r="73" spans="1:41" x14ac:dyDescent="0.2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</row>
    <row r="74" spans="1:41" x14ac:dyDescent="0.2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</row>
    <row r="75" spans="1:41" x14ac:dyDescent="0.2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</row>
    <row r="76" spans="1:41" x14ac:dyDescent="0.2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</row>
    <row r="77" spans="1:41" x14ac:dyDescent="0.2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</row>
    <row r="78" spans="1:41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</row>
    <row r="79" spans="1:41" x14ac:dyDescent="0.2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</row>
    <row r="80" spans="1:41" x14ac:dyDescent="0.2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</row>
    <row r="81" spans="1:41" x14ac:dyDescent="0.2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</row>
    <row r="82" spans="1:41" x14ac:dyDescent="0.2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</row>
    <row r="83" spans="1:41" x14ac:dyDescent="0.2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</row>
    <row r="84" spans="1:41" x14ac:dyDescent="0.2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</row>
    <row r="85" spans="1:41" x14ac:dyDescent="0.2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</row>
    <row r="86" spans="1:41" x14ac:dyDescent="0.2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</row>
    <row r="87" spans="1:41" x14ac:dyDescent="0.2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</row>
    <row r="88" spans="1:41" x14ac:dyDescent="0.2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</row>
    <row r="89" spans="1:41" x14ac:dyDescent="0.2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</row>
    <row r="90" spans="1:41" x14ac:dyDescent="0.2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</row>
    <row r="91" spans="1:41" x14ac:dyDescent="0.2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</row>
    <row r="92" spans="1:41" x14ac:dyDescent="0.2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</row>
    <row r="93" spans="1:41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</row>
    <row r="94" spans="1:41" x14ac:dyDescent="0.2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</row>
    <row r="95" spans="1:41" x14ac:dyDescent="0.2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</row>
    <row r="96" spans="1:41" x14ac:dyDescent="0.2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</row>
    <row r="97" spans="1:41" x14ac:dyDescent="0.2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</row>
    <row r="98" spans="1:41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</row>
    <row r="99" spans="1:41" x14ac:dyDescent="0.2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</row>
    <row r="100" spans="1:41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</row>
    <row r="101" spans="1:41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</row>
    <row r="102" spans="1:41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</row>
    <row r="103" spans="1:41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</row>
    <row r="104" spans="1:41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</row>
    <row r="105" spans="1:41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</row>
    <row r="106" spans="1:41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</row>
    <row r="107" spans="1:41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</row>
    <row r="108" spans="1:41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</row>
    <row r="109" spans="1:41" x14ac:dyDescent="0.2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</row>
    <row r="110" spans="1:41" x14ac:dyDescent="0.2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</row>
    <row r="111" spans="1:41" x14ac:dyDescent="0.2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</row>
    <row r="112" spans="1:41" x14ac:dyDescent="0.2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</row>
    <row r="113" spans="1:40" x14ac:dyDescent="0.2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</row>
    <row r="114" spans="1:40" x14ac:dyDescent="0.2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</row>
    <row r="115" spans="1:40" x14ac:dyDescent="0.2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</row>
    <row r="116" spans="1:40" x14ac:dyDescent="0.2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</row>
    <row r="117" spans="1:40" x14ac:dyDescent="0.2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</row>
    <row r="118" spans="1:40" x14ac:dyDescent="0.2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</row>
    <row r="119" spans="1:40" x14ac:dyDescent="0.2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</row>
    <row r="120" spans="1:40" x14ac:dyDescent="0.2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</row>
    <row r="121" spans="1:40" x14ac:dyDescent="0.2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</row>
    <row r="122" spans="1:40" x14ac:dyDescent="0.2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</row>
    <row r="123" spans="1:40" x14ac:dyDescent="0.2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</row>
    <row r="124" spans="1:40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</row>
    <row r="125" spans="1:40" x14ac:dyDescent="0.2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</row>
    <row r="126" spans="1:40" x14ac:dyDescent="0.2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</row>
    <row r="127" spans="1:40" x14ac:dyDescent="0.2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</row>
    <row r="128" spans="1:40" x14ac:dyDescent="0.2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</row>
    <row r="129" spans="1:40" x14ac:dyDescent="0.2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</row>
    <row r="130" spans="1:40" x14ac:dyDescent="0.2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</row>
    <row r="131" spans="1:40" x14ac:dyDescent="0.2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5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5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5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5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5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5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5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5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5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5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5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5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5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5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5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5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5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5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5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5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5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5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5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5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5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5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5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5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5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  <row r="256" spans="1:40" x14ac:dyDescent="0.2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</row>
    <row r="257" spans="1:40" x14ac:dyDescent="0.25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</row>
    <row r="258" spans="1:40" x14ac:dyDescent="0.25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</row>
    <row r="259" spans="1:40" x14ac:dyDescent="0.25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</row>
    <row r="260" spans="1:40" x14ac:dyDescent="0.25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</row>
    <row r="261" spans="1:40" x14ac:dyDescent="0.25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</row>
    <row r="262" spans="1:40" x14ac:dyDescent="0.25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</row>
    <row r="263" spans="1:40" x14ac:dyDescent="0.25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</row>
    <row r="264" spans="1:40" x14ac:dyDescent="0.25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</row>
    <row r="265" spans="1:40" x14ac:dyDescent="0.25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</row>
    <row r="266" spans="1:40" x14ac:dyDescent="0.25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</row>
    <row r="267" spans="1:40" x14ac:dyDescent="0.25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</row>
    <row r="268" spans="1:40" x14ac:dyDescent="0.25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</row>
    <row r="269" spans="1:40" x14ac:dyDescent="0.2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</row>
    <row r="270" spans="1:40" x14ac:dyDescent="0.25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</row>
    <row r="271" spans="1:40" x14ac:dyDescent="0.25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</row>
    <row r="272" spans="1:40" x14ac:dyDescent="0.25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</row>
    <row r="273" spans="1:40" x14ac:dyDescent="0.25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</row>
    <row r="274" spans="1:40" x14ac:dyDescent="0.25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</row>
    <row r="275" spans="1:40" x14ac:dyDescent="0.25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</row>
    <row r="276" spans="1:40" x14ac:dyDescent="0.25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</row>
    <row r="277" spans="1:40" x14ac:dyDescent="0.25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</row>
    <row r="278" spans="1:40" x14ac:dyDescent="0.25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</row>
    <row r="279" spans="1:40" x14ac:dyDescent="0.25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</row>
    <row r="280" spans="1:40" x14ac:dyDescent="0.25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</row>
    <row r="281" spans="1:40" x14ac:dyDescent="0.2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</row>
    <row r="282" spans="1:40" x14ac:dyDescent="0.25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</row>
    <row r="283" spans="1:40" x14ac:dyDescent="0.25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</row>
    <row r="284" spans="1:40" x14ac:dyDescent="0.25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</row>
    <row r="285" spans="1:40" x14ac:dyDescent="0.25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</row>
    <row r="286" spans="1:40" x14ac:dyDescent="0.25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</row>
    <row r="287" spans="1:40" x14ac:dyDescent="0.25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</row>
    <row r="288" spans="1:40" x14ac:dyDescent="0.25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</row>
    <row r="289" spans="1:40" x14ac:dyDescent="0.25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</row>
    <row r="290" spans="1:40" x14ac:dyDescent="0.25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</row>
    <row r="291" spans="1:40" x14ac:dyDescent="0.25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</row>
    <row r="292" spans="1:40" x14ac:dyDescent="0.25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</row>
    <row r="293" spans="1:40" x14ac:dyDescent="0.25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</row>
    <row r="294" spans="1:40" x14ac:dyDescent="0.25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</row>
    <row r="295" spans="1:40" x14ac:dyDescent="0.25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</row>
    <row r="296" spans="1:40" x14ac:dyDescent="0.25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</row>
    <row r="297" spans="1:40" x14ac:dyDescent="0.2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</row>
    <row r="298" spans="1:40" x14ac:dyDescent="0.2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</row>
    <row r="299" spans="1:40" x14ac:dyDescent="0.2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</row>
    <row r="300" spans="1:40" x14ac:dyDescent="0.2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</row>
    <row r="301" spans="1:40" x14ac:dyDescent="0.2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</row>
    <row r="302" spans="1:40" x14ac:dyDescent="0.2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</row>
    <row r="303" spans="1:40" x14ac:dyDescent="0.25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</row>
    <row r="304" spans="1:40" x14ac:dyDescent="0.25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</row>
    <row r="305" spans="1:40" x14ac:dyDescent="0.25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</row>
    <row r="306" spans="1:40" x14ac:dyDescent="0.25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</row>
    <row r="307" spans="1:40" x14ac:dyDescent="0.25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</row>
    <row r="308" spans="1:40" x14ac:dyDescent="0.25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</row>
    <row r="309" spans="1:40" x14ac:dyDescent="0.25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</row>
    <row r="310" spans="1:40" x14ac:dyDescent="0.25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</row>
    <row r="311" spans="1:40" x14ac:dyDescent="0.25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</row>
    <row r="312" spans="1:40" x14ac:dyDescent="0.25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</row>
    <row r="313" spans="1:40" x14ac:dyDescent="0.25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</row>
    <row r="314" spans="1:40" x14ac:dyDescent="0.25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</row>
    <row r="315" spans="1:40" x14ac:dyDescent="0.25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</row>
    <row r="316" spans="1:40" x14ac:dyDescent="0.25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</row>
    <row r="317" spans="1:40" x14ac:dyDescent="0.25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</row>
    <row r="318" spans="1:40" x14ac:dyDescent="0.25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</row>
    <row r="319" spans="1:40" x14ac:dyDescent="0.25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</row>
    <row r="320" spans="1:40" x14ac:dyDescent="0.25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</row>
    <row r="321" spans="1:40" x14ac:dyDescent="0.25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</row>
    <row r="322" spans="1:40" x14ac:dyDescent="0.25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</row>
    <row r="323" spans="1:40" x14ac:dyDescent="0.25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</row>
    <row r="324" spans="1:40" x14ac:dyDescent="0.25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</row>
    <row r="325" spans="1:40" x14ac:dyDescent="0.25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</row>
    <row r="326" spans="1:40" x14ac:dyDescent="0.25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</row>
    <row r="327" spans="1:40" x14ac:dyDescent="0.25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</row>
    <row r="328" spans="1:40" x14ac:dyDescent="0.25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</row>
    <row r="329" spans="1:40" x14ac:dyDescent="0.25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</row>
    <row r="330" spans="1:40" x14ac:dyDescent="0.25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</row>
    <row r="331" spans="1:40" x14ac:dyDescent="0.25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</row>
    <row r="332" spans="1:40" x14ac:dyDescent="0.25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</row>
    <row r="333" spans="1:40" x14ac:dyDescent="0.25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</row>
    <row r="334" spans="1:40" x14ac:dyDescent="0.25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</row>
    <row r="335" spans="1:40" x14ac:dyDescent="0.25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</row>
    <row r="336" spans="1:40" x14ac:dyDescent="0.25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</row>
    <row r="337" spans="1:40" x14ac:dyDescent="0.25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</row>
    <row r="338" spans="1:40" x14ac:dyDescent="0.25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</row>
    <row r="339" spans="1:40" x14ac:dyDescent="0.25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</row>
    <row r="340" spans="1:40" x14ac:dyDescent="0.25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</row>
    <row r="341" spans="1:40" x14ac:dyDescent="0.25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</row>
    <row r="342" spans="1:40" x14ac:dyDescent="0.25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</row>
    <row r="343" spans="1:40" x14ac:dyDescent="0.25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</row>
    <row r="344" spans="1:40" x14ac:dyDescent="0.25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</row>
    <row r="345" spans="1:40" x14ac:dyDescent="0.25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</row>
    <row r="346" spans="1:40" x14ac:dyDescent="0.25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</row>
    <row r="347" spans="1:40" x14ac:dyDescent="0.25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</row>
    <row r="348" spans="1:40" x14ac:dyDescent="0.25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</row>
    <row r="349" spans="1:40" x14ac:dyDescent="0.25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</row>
    <row r="350" spans="1:40" x14ac:dyDescent="0.25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</row>
    <row r="351" spans="1:40" x14ac:dyDescent="0.25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</row>
    <row r="352" spans="1:40" x14ac:dyDescent="0.25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</row>
    <row r="353" spans="1:40" x14ac:dyDescent="0.25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</row>
    <row r="354" spans="1:40" x14ac:dyDescent="0.25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</row>
    <row r="355" spans="1:40" x14ac:dyDescent="0.25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</row>
    <row r="356" spans="1:40" x14ac:dyDescent="0.25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</row>
    <row r="357" spans="1:40" x14ac:dyDescent="0.25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</row>
    <row r="358" spans="1:40" x14ac:dyDescent="0.25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</row>
    <row r="359" spans="1:40" x14ac:dyDescent="0.25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</row>
    <row r="360" spans="1:40" x14ac:dyDescent="0.25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</row>
    <row r="361" spans="1:40" x14ac:dyDescent="0.25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</row>
    <row r="362" spans="1:40" x14ac:dyDescent="0.25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</row>
    <row r="363" spans="1:40" x14ac:dyDescent="0.25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</row>
    <row r="364" spans="1:40" x14ac:dyDescent="0.25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</row>
    <row r="365" spans="1:40" x14ac:dyDescent="0.25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</row>
    <row r="366" spans="1:40" x14ac:dyDescent="0.25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</row>
    <row r="367" spans="1:40" x14ac:dyDescent="0.25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</row>
    <row r="368" spans="1:40" x14ac:dyDescent="0.25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</row>
    <row r="369" spans="1:40" x14ac:dyDescent="0.25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</row>
    <row r="370" spans="1:40" x14ac:dyDescent="0.25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</row>
    <row r="371" spans="1:40" x14ac:dyDescent="0.25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</row>
    <row r="372" spans="1:40" x14ac:dyDescent="0.25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</row>
    <row r="373" spans="1:40" x14ac:dyDescent="0.25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</row>
    <row r="374" spans="1:40" x14ac:dyDescent="0.25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</row>
  </sheetData>
  <dataValidations count="1">
    <dataValidation type="list" allowBlank="1" showInputMessage="1" showErrorMessage="1" sqref="B2">
      <formula1>INDIRECT("Месяцы[Месяцы]")</formula1>
    </dataValidation>
  </dataValidations>
  <pageMargins left="0.7" right="0.7" top="0.75" bottom="0.75" header="0.3" footer="0.3"/>
  <pageSetup paperSize="9" orientation="portrait" horizontalDpi="300" verticalDpi="30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N376"/>
  <sheetViews>
    <sheetView zoomScale="70" zoomScaleNormal="70" workbookViewId="0">
      <pane ySplit="12" topLeftCell="A13" activePane="bottomLeft" state="frozen"/>
      <selection pane="bottomLeft" activeCell="E2" sqref="E2"/>
    </sheetView>
  </sheetViews>
  <sheetFormatPr defaultColWidth="9.140625" defaultRowHeight="15.75" x14ac:dyDescent="0.25"/>
  <cols>
    <col min="1" max="1" width="23.5703125" style="17" customWidth="1"/>
    <col min="2" max="2" width="28.140625" style="17" customWidth="1"/>
    <col min="3" max="3" width="12.140625" style="17" customWidth="1"/>
    <col min="4" max="4" width="7.85546875" style="17" bestFit="1" customWidth="1"/>
    <col min="5" max="5" width="10.28515625" style="17" customWidth="1"/>
    <col min="6" max="6" width="14" style="17" bestFit="1" customWidth="1"/>
    <col min="7" max="7" width="9.28515625" style="17" bestFit="1" customWidth="1"/>
    <col min="8" max="8" width="8.85546875" style="17" bestFit="1" customWidth="1"/>
    <col min="9" max="9" width="18.140625" style="17" bestFit="1" customWidth="1"/>
    <col min="10" max="10" width="7.7109375" style="17" bestFit="1" customWidth="1"/>
    <col min="11" max="11" width="6.42578125" style="17" bestFit="1" customWidth="1"/>
    <col min="12" max="12" width="4.5703125" style="17" bestFit="1" customWidth="1"/>
    <col min="13" max="14" width="4.28515625" style="17" customWidth="1"/>
    <col min="15" max="16" width="7.28515625" style="17" bestFit="1" customWidth="1"/>
    <col min="17" max="17" width="4.28515625" style="17" customWidth="1"/>
    <col min="18" max="18" width="7.28515625" style="17" bestFit="1" customWidth="1"/>
    <col min="19" max="20" width="4.28515625" style="17" customWidth="1"/>
    <col min="21" max="21" width="7.28515625" style="17" bestFit="1" customWidth="1"/>
    <col min="22" max="22" width="10.28515625" style="17" bestFit="1" customWidth="1"/>
    <col min="23" max="23" width="7.28515625" style="17" bestFit="1" customWidth="1"/>
    <col min="24" max="25" width="4.28515625" style="17" bestFit="1" customWidth="1"/>
    <col min="26" max="26" width="4.28515625" style="17" customWidth="1"/>
    <col min="27" max="27" width="13.42578125" style="17" bestFit="1" customWidth="1"/>
    <col min="28" max="28" width="7.28515625" style="17" bestFit="1" customWidth="1"/>
    <col min="29" max="29" width="4.28515625" style="17" customWidth="1"/>
    <col min="30" max="36" width="7.28515625" style="17" bestFit="1" customWidth="1"/>
    <col min="37" max="37" width="4.28515625" style="17" customWidth="1"/>
    <col min="38" max="38" width="4.28515625" style="17" bestFit="1" customWidth="1"/>
    <col min="39" max="39" width="10.28515625" style="17" bestFit="1" customWidth="1"/>
    <col min="40" max="40" width="7.28515625" style="17" bestFit="1" customWidth="1"/>
    <col min="41" max="16384" width="9.140625" style="17"/>
  </cols>
  <sheetData>
    <row r="1" spans="1:40" ht="22.5" x14ac:dyDescent="0.3">
      <c r="A1" s="15" t="s">
        <v>2</v>
      </c>
      <c r="B1" s="26" t="s">
        <v>77</v>
      </c>
      <c r="C1" s="26" t="s">
        <v>78</v>
      </c>
    </row>
    <row r="2" spans="1:40" ht="22.5" x14ac:dyDescent="0.3">
      <c r="A2" s="15" t="s">
        <v>3</v>
      </c>
      <c r="B2" s="29" t="s">
        <v>4</v>
      </c>
      <c r="C2" s="29" t="s">
        <v>10</v>
      </c>
    </row>
    <row r="4" spans="1:40" x14ac:dyDescent="0.25">
      <c r="A4" s="19" t="s">
        <v>2</v>
      </c>
      <c r="B4" s="19" t="s">
        <v>24</v>
      </c>
      <c r="C4" s="19" t="s">
        <v>25</v>
      </c>
      <c r="D4" s="20" t="s">
        <v>26</v>
      </c>
      <c r="F4" s="30" t="s">
        <v>82</v>
      </c>
      <c r="G4" s="17" t="s">
        <v>81</v>
      </c>
      <c r="H4" s="17" t="s">
        <v>79</v>
      </c>
      <c r="I4" s="17" t="s">
        <v>86</v>
      </c>
      <c r="J4" s="17" t="s">
        <v>84</v>
      </c>
      <c r="K4" s="17" t="s">
        <v>25</v>
      </c>
      <c r="L4" s="17" t="s">
        <v>26</v>
      </c>
    </row>
    <row r="5" spans="1:40" x14ac:dyDescent="0.25">
      <c r="A5" s="19" t="s">
        <v>27</v>
      </c>
      <c r="B5" s="19">
        <v>0</v>
      </c>
      <c r="C5" s="19">
        <v>0</v>
      </c>
      <c r="D5" s="20">
        <v>0</v>
      </c>
      <c r="F5" s="30">
        <f>SUM(ПериодИтоги[Всего])</f>
        <v>0</v>
      </c>
      <c r="G5" s="17">
        <f>GETPIVOTDATA("Значения услуг",$A$11,"Услуги","Итого")</f>
        <v>0</v>
      </c>
      <c r="H5" s="17">
        <f>ПериодВсего[б/пл.]+ПериодВсего[пл.]+ПериодСиделка[Сиделка]</f>
        <v>0</v>
      </c>
      <c r="I5" s="17">
        <f>ПериодВсего[Сумма]-ПериодВсего[Б+ПЛ]</f>
        <v>0</v>
      </c>
      <c r="J5" s="17">
        <f>SUM(ПериодВсего[[б/пл.]:[пл.]])</f>
        <v>0</v>
      </c>
      <c r="K5" s="17">
        <f>SUM(ПериодИтоги[б/пл.])</f>
        <v>0</v>
      </c>
      <c r="L5" s="17">
        <f>SUM(ПериодИтоги[пл.])</f>
        <v>0</v>
      </c>
    </row>
    <row r="6" spans="1:40" x14ac:dyDescent="0.25">
      <c r="A6" s="19" t="s">
        <v>28</v>
      </c>
      <c r="B6" s="19">
        <v>0</v>
      </c>
      <c r="C6" s="19">
        <v>0</v>
      </c>
      <c r="D6" s="20">
        <v>0</v>
      </c>
    </row>
    <row r="7" spans="1:40" x14ac:dyDescent="0.25">
      <c r="A7" s="19" t="s">
        <v>29</v>
      </c>
      <c r="B7" s="19">
        <v>0</v>
      </c>
      <c r="C7" s="19">
        <v>0</v>
      </c>
      <c r="D7" s="20">
        <v>0</v>
      </c>
      <c r="F7" s="20" t="s">
        <v>83</v>
      </c>
      <c r="I7" s="17" t="s">
        <v>87</v>
      </c>
    </row>
    <row r="8" spans="1:40" x14ac:dyDescent="0.25">
      <c r="A8" s="19" t="s">
        <v>30</v>
      </c>
      <c r="B8" s="19">
        <v>0</v>
      </c>
      <c r="C8" s="19">
        <v>0</v>
      </c>
      <c r="D8" s="20">
        <v>0</v>
      </c>
      <c r="F8" s="19">
        <v>0</v>
      </c>
      <c r="I8" s="17">
        <f>C6+D6</f>
        <v>0</v>
      </c>
    </row>
    <row r="9" spans="1:40" x14ac:dyDescent="0.25">
      <c r="A9" s="19" t="s">
        <v>31</v>
      </c>
      <c r="B9" s="19">
        <v>0</v>
      </c>
      <c r="C9" s="19">
        <v>0</v>
      </c>
      <c r="D9" s="20">
        <v>0</v>
      </c>
    </row>
    <row r="11" spans="1:40" s="27" customFormat="1" x14ac:dyDescent="0.25">
      <c r="A11" s="41" t="s">
        <v>74</v>
      </c>
      <c r="B11" s="41"/>
      <c r="C11" s="42" t="s">
        <v>2</v>
      </c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</row>
    <row r="12" spans="1:40" s="28" customFormat="1" ht="127.5" customHeight="1" x14ac:dyDescent="0.25">
      <c r="A12" s="32" t="s">
        <v>33</v>
      </c>
      <c r="B12" s="43" t="s">
        <v>35</v>
      </c>
      <c r="C12" s="44" t="s">
        <v>42</v>
      </c>
      <c r="D12" s="45" t="s">
        <v>41</v>
      </c>
      <c r="E12" s="44" t="s">
        <v>70</v>
      </c>
      <c r="F12" s="33" t="s">
        <v>51</v>
      </c>
      <c r="G12" s="33" t="s">
        <v>54</v>
      </c>
      <c r="H12" s="33" t="s">
        <v>44</v>
      </c>
      <c r="I12" s="33" t="s">
        <v>48</v>
      </c>
      <c r="J12" s="33" t="s">
        <v>38</v>
      </c>
      <c r="K12" s="33" t="s">
        <v>60</v>
      </c>
      <c r="L12" s="33" t="s">
        <v>72</v>
      </c>
      <c r="M12" s="33" t="s">
        <v>73</v>
      </c>
      <c r="N12" s="33" t="s">
        <v>55</v>
      </c>
      <c r="O12" s="33" t="s">
        <v>59</v>
      </c>
      <c r="P12" s="33" t="s">
        <v>58</v>
      </c>
      <c r="Q12" s="33" t="s">
        <v>45</v>
      </c>
      <c r="R12" s="33" t="s">
        <v>47</v>
      </c>
      <c r="S12" s="33" t="s">
        <v>71</v>
      </c>
      <c r="T12" s="33" t="s">
        <v>40</v>
      </c>
      <c r="U12" s="33" t="s">
        <v>52</v>
      </c>
      <c r="V12" s="33" t="s">
        <v>64</v>
      </c>
      <c r="W12" s="33" t="s">
        <v>63</v>
      </c>
      <c r="X12" s="33" t="s">
        <v>56</v>
      </c>
      <c r="Y12" s="33" t="s">
        <v>49</v>
      </c>
      <c r="Z12" s="33" t="s">
        <v>61</v>
      </c>
      <c r="AA12" s="33" t="s">
        <v>39</v>
      </c>
      <c r="AB12" s="33" t="s">
        <v>50</v>
      </c>
      <c r="AC12" s="33" t="s">
        <v>57</v>
      </c>
      <c r="AD12" s="33" t="s">
        <v>62</v>
      </c>
      <c r="AE12" s="33" t="s">
        <v>67</v>
      </c>
      <c r="AF12" s="33" t="s">
        <v>68</v>
      </c>
      <c r="AG12" s="33" t="s">
        <v>65</v>
      </c>
      <c r="AH12" s="33" t="s">
        <v>43</v>
      </c>
      <c r="AI12" s="33" t="s">
        <v>66</v>
      </c>
      <c r="AJ12" s="33" t="s">
        <v>37</v>
      </c>
      <c r="AK12" s="33" t="s">
        <v>36</v>
      </c>
      <c r="AL12" s="33" t="s">
        <v>69</v>
      </c>
      <c r="AM12" s="33" t="s">
        <v>46</v>
      </c>
      <c r="AN12" s="33" t="s">
        <v>53</v>
      </c>
    </row>
    <row r="13" spans="1:40" x14ac:dyDescent="0.25">
      <c r="A13" s="42" t="s">
        <v>89</v>
      </c>
      <c r="B13" s="42"/>
      <c r="C13" s="46">
        <v>1</v>
      </c>
      <c r="D13" s="46">
        <v>0</v>
      </c>
      <c r="E13" s="46">
        <v>0</v>
      </c>
      <c r="F13" s="46">
        <v>0</v>
      </c>
      <c r="G13" s="46">
        <v>0</v>
      </c>
      <c r="H13" s="46">
        <v>0</v>
      </c>
      <c r="I13" s="46">
        <v>0</v>
      </c>
      <c r="J13" s="46">
        <v>0</v>
      </c>
      <c r="K13" s="46">
        <v>0</v>
      </c>
      <c r="L13" s="46">
        <v>0</v>
      </c>
      <c r="M13" s="46">
        <v>0</v>
      </c>
      <c r="N13" s="46">
        <v>0</v>
      </c>
      <c r="O13" s="46">
        <v>0</v>
      </c>
      <c r="P13" s="46">
        <v>0</v>
      </c>
      <c r="Q13" s="46">
        <v>0</v>
      </c>
      <c r="R13" s="46">
        <v>0</v>
      </c>
      <c r="S13" s="46">
        <v>0</v>
      </c>
      <c r="T13" s="46">
        <v>0</v>
      </c>
      <c r="U13" s="46">
        <v>0</v>
      </c>
      <c r="V13" s="46">
        <v>0</v>
      </c>
      <c r="W13" s="46">
        <v>0</v>
      </c>
      <c r="X13" s="46">
        <v>0</v>
      </c>
      <c r="Y13" s="46">
        <v>0</v>
      </c>
      <c r="Z13" s="46">
        <v>0</v>
      </c>
      <c r="AA13" s="46">
        <v>0</v>
      </c>
      <c r="AB13" s="46">
        <v>0</v>
      </c>
      <c r="AC13" s="46">
        <v>0</v>
      </c>
      <c r="AD13" s="46">
        <v>0</v>
      </c>
      <c r="AE13" s="46">
        <v>0</v>
      </c>
      <c r="AF13" s="46">
        <v>0</v>
      </c>
      <c r="AG13" s="46">
        <v>0</v>
      </c>
      <c r="AH13" s="46">
        <v>0</v>
      </c>
      <c r="AI13" s="46">
        <v>0</v>
      </c>
      <c r="AJ13" s="46">
        <v>0</v>
      </c>
      <c r="AK13" s="46">
        <v>0</v>
      </c>
      <c r="AL13" s="46">
        <v>0</v>
      </c>
      <c r="AM13" s="46">
        <v>0</v>
      </c>
      <c r="AN13" s="46">
        <v>0</v>
      </c>
    </row>
    <row r="14" spans="1:40" x14ac:dyDescent="0.25">
      <c r="A14" s="42" t="s">
        <v>34</v>
      </c>
      <c r="B14" s="42"/>
      <c r="C14" s="46">
        <v>1</v>
      </c>
      <c r="D14" s="46">
        <v>0</v>
      </c>
      <c r="E14" s="46">
        <v>0</v>
      </c>
      <c r="F14" s="46">
        <v>0</v>
      </c>
      <c r="G14" s="46">
        <v>0</v>
      </c>
      <c r="H14" s="46">
        <v>0</v>
      </c>
      <c r="I14" s="46">
        <v>0</v>
      </c>
      <c r="J14" s="46">
        <v>0</v>
      </c>
      <c r="K14" s="46">
        <v>0</v>
      </c>
      <c r="L14" s="46">
        <v>0</v>
      </c>
      <c r="M14" s="46">
        <v>0</v>
      </c>
      <c r="N14" s="46">
        <v>0</v>
      </c>
      <c r="O14" s="46">
        <v>0</v>
      </c>
      <c r="P14" s="46">
        <v>0</v>
      </c>
      <c r="Q14" s="46">
        <v>0</v>
      </c>
      <c r="R14" s="46">
        <v>0</v>
      </c>
      <c r="S14" s="46">
        <v>0</v>
      </c>
      <c r="T14" s="46">
        <v>0</v>
      </c>
      <c r="U14" s="46">
        <v>0</v>
      </c>
      <c r="V14" s="46">
        <v>0</v>
      </c>
      <c r="W14" s="46">
        <v>0</v>
      </c>
      <c r="X14" s="46">
        <v>0</v>
      </c>
      <c r="Y14" s="46">
        <v>0</v>
      </c>
      <c r="Z14" s="46">
        <v>0</v>
      </c>
      <c r="AA14" s="46">
        <v>0</v>
      </c>
      <c r="AB14" s="46">
        <v>0</v>
      </c>
      <c r="AC14" s="46">
        <v>0</v>
      </c>
      <c r="AD14" s="46">
        <v>0</v>
      </c>
      <c r="AE14" s="46">
        <v>0</v>
      </c>
      <c r="AF14" s="46">
        <v>0</v>
      </c>
      <c r="AG14" s="46">
        <v>0</v>
      </c>
      <c r="AH14" s="46">
        <v>0</v>
      </c>
      <c r="AI14" s="46">
        <v>0</v>
      </c>
      <c r="AJ14" s="46">
        <v>0</v>
      </c>
      <c r="AK14" s="46">
        <v>0</v>
      </c>
      <c r="AL14" s="46">
        <v>0</v>
      </c>
      <c r="AM14" s="46">
        <v>0</v>
      </c>
      <c r="AN14" s="46">
        <v>0</v>
      </c>
    </row>
    <row r="15" spans="1:40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:40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:40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:40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:40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:40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</row>
    <row r="26" spans="1:40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</row>
    <row r="27" spans="1:40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</row>
    <row r="28" spans="1:40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</row>
    <row r="29" spans="1:40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</row>
    <row r="30" spans="1:40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</row>
    <row r="31" spans="1:40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</row>
    <row r="32" spans="1:40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</row>
    <row r="33" spans="1:40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</row>
    <row r="34" spans="1:40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</row>
    <row r="35" spans="1:40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</row>
    <row r="36" spans="1:40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</row>
    <row r="37" spans="1:40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</row>
    <row r="38" spans="1:40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</row>
    <row r="39" spans="1:40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</row>
    <row r="40" spans="1:40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</row>
    <row r="41" spans="1:40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</row>
    <row r="42" spans="1:40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</row>
    <row r="43" spans="1:40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</row>
    <row r="44" spans="1:40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</row>
    <row r="45" spans="1:40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</row>
    <row r="46" spans="1:40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</row>
    <row r="47" spans="1:40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</row>
    <row r="48" spans="1:40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</row>
    <row r="49" spans="1:40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</row>
    <row r="50" spans="1:40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</row>
    <row r="51" spans="1:40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</row>
    <row r="52" spans="1:40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</row>
    <row r="53" spans="1:40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</row>
    <row r="54" spans="1:40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</row>
    <row r="55" spans="1:40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</row>
    <row r="56" spans="1:40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</row>
    <row r="57" spans="1:40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</row>
    <row r="58" spans="1:40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</row>
    <row r="59" spans="1:40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</row>
    <row r="60" spans="1:40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</row>
    <row r="61" spans="1:40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</row>
    <row r="62" spans="1:40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</row>
    <row r="63" spans="1:40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</row>
    <row r="64" spans="1:40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</row>
    <row r="65" spans="1:40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</row>
    <row r="66" spans="1:40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</row>
    <row r="67" spans="1:40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</row>
    <row r="68" spans="1:40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</row>
    <row r="69" spans="1:40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</row>
    <row r="70" spans="1:40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</row>
    <row r="71" spans="1:40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</row>
    <row r="72" spans="1:40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</row>
    <row r="73" spans="1:40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</row>
    <row r="74" spans="1:40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</row>
    <row r="75" spans="1:40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</row>
    <row r="76" spans="1:40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</row>
    <row r="77" spans="1:40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</row>
    <row r="78" spans="1:40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</row>
    <row r="79" spans="1:40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</row>
    <row r="80" spans="1:40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</row>
    <row r="81" spans="1:40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</row>
    <row r="82" spans="1:40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</row>
    <row r="83" spans="1:40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</row>
    <row r="84" spans="1:40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</row>
    <row r="85" spans="1:40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</row>
    <row r="86" spans="1:40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</row>
    <row r="87" spans="1:40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</row>
    <row r="88" spans="1:40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</row>
    <row r="89" spans="1:40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</row>
    <row r="90" spans="1:40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</row>
    <row r="91" spans="1:40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</row>
    <row r="92" spans="1:40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</row>
    <row r="93" spans="1:40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</row>
    <row r="94" spans="1:40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</row>
    <row r="95" spans="1:40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</row>
    <row r="96" spans="1:40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</row>
    <row r="97" spans="1:40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</row>
    <row r="98" spans="1:40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</row>
    <row r="99" spans="1:40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</row>
    <row r="100" spans="1:40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</row>
    <row r="101" spans="1:40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</row>
    <row r="102" spans="1:40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</row>
    <row r="103" spans="1:40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</row>
    <row r="104" spans="1:40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</row>
    <row r="105" spans="1:40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</row>
    <row r="106" spans="1:40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</row>
    <row r="107" spans="1:40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</row>
    <row r="108" spans="1:40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</row>
    <row r="109" spans="1:40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</row>
    <row r="110" spans="1:40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</row>
    <row r="111" spans="1:40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</row>
    <row r="112" spans="1:40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</row>
    <row r="113" spans="1:40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</row>
    <row r="114" spans="1:40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</row>
    <row r="115" spans="1:40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</row>
    <row r="116" spans="1:40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</row>
    <row r="117" spans="1:40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</row>
    <row r="118" spans="1:40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</row>
    <row r="119" spans="1:40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</row>
    <row r="120" spans="1:40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</row>
    <row r="121" spans="1:40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</row>
    <row r="122" spans="1:40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</row>
    <row r="123" spans="1:40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</row>
    <row r="124" spans="1:40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</row>
    <row r="125" spans="1:40" x14ac:dyDescent="0.2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</row>
    <row r="126" spans="1:40" x14ac:dyDescent="0.2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</row>
    <row r="127" spans="1:40" x14ac:dyDescent="0.2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</row>
    <row r="128" spans="1:40" x14ac:dyDescent="0.2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</row>
    <row r="129" spans="1:40" x14ac:dyDescent="0.2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</row>
    <row r="130" spans="1:40" x14ac:dyDescent="0.2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</row>
    <row r="131" spans="1:40" x14ac:dyDescent="0.2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5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5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5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5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5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5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5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5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5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5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5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5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5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5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5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5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5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5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5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5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5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5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5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5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5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5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5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5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5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  <row r="256" spans="1:40" x14ac:dyDescent="0.2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</row>
    <row r="257" spans="1:40" x14ac:dyDescent="0.25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</row>
    <row r="258" spans="1:40" x14ac:dyDescent="0.25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</row>
    <row r="259" spans="1:40" x14ac:dyDescent="0.25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</row>
    <row r="260" spans="1:40" x14ac:dyDescent="0.25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</row>
    <row r="261" spans="1:40" x14ac:dyDescent="0.25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</row>
    <row r="262" spans="1:40" x14ac:dyDescent="0.25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</row>
    <row r="263" spans="1:40" x14ac:dyDescent="0.25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</row>
    <row r="264" spans="1:40" x14ac:dyDescent="0.25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</row>
    <row r="265" spans="1:40" x14ac:dyDescent="0.25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</row>
    <row r="266" spans="1:40" x14ac:dyDescent="0.25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</row>
    <row r="267" spans="1:40" x14ac:dyDescent="0.25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</row>
    <row r="268" spans="1:40" x14ac:dyDescent="0.25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</row>
    <row r="269" spans="1:40" x14ac:dyDescent="0.2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</row>
    <row r="270" spans="1:40" x14ac:dyDescent="0.25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</row>
    <row r="271" spans="1:40" x14ac:dyDescent="0.25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</row>
    <row r="272" spans="1:40" x14ac:dyDescent="0.25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</row>
    <row r="273" spans="1:40" x14ac:dyDescent="0.25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</row>
    <row r="274" spans="1:40" x14ac:dyDescent="0.25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</row>
    <row r="275" spans="1:40" x14ac:dyDescent="0.25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</row>
    <row r="276" spans="1:40" x14ac:dyDescent="0.25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</row>
    <row r="277" spans="1:40" x14ac:dyDescent="0.25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</row>
    <row r="278" spans="1:40" x14ac:dyDescent="0.25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</row>
    <row r="279" spans="1:40" x14ac:dyDescent="0.25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</row>
    <row r="280" spans="1:40" x14ac:dyDescent="0.25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</row>
    <row r="281" spans="1:40" x14ac:dyDescent="0.2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</row>
    <row r="282" spans="1:40" x14ac:dyDescent="0.25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</row>
    <row r="283" spans="1:40" x14ac:dyDescent="0.25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</row>
    <row r="284" spans="1:40" x14ac:dyDescent="0.25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</row>
    <row r="285" spans="1:40" x14ac:dyDescent="0.25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</row>
    <row r="286" spans="1:40" x14ac:dyDescent="0.25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</row>
    <row r="287" spans="1:40" x14ac:dyDescent="0.25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</row>
    <row r="288" spans="1:40" x14ac:dyDescent="0.25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</row>
    <row r="289" spans="1:40" x14ac:dyDescent="0.25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</row>
    <row r="290" spans="1:40" x14ac:dyDescent="0.25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</row>
    <row r="291" spans="1:40" x14ac:dyDescent="0.25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</row>
    <row r="292" spans="1:40" x14ac:dyDescent="0.25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</row>
    <row r="293" spans="1:40" x14ac:dyDescent="0.25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</row>
    <row r="294" spans="1:40" x14ac:dyDescent="0.25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</row>
    <row r="295" spans="1:40" x14ac:dyDescent="0.25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</row>
    <row r="296" spans="1:40" x14ac:dyDescent="0.25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</row>
    <row r="297" spans="1:40" x14ac:dyDescent="0.2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</row>
    <row r="298" spans="1:40" x14ac:dyDescent="0.2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</row>
    <row r="299" spans="1:40" x14ac:dyDescent="0.2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</row>
    <row r="300" spans="1:40" x14ac:dyDescent="0.2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</row>
    <row r="301" spans="1:40" x14ac:dyDescent="0.2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</row>
    <row r="302" spans="1:40" x14ac:dyDescent="0.2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</row>
    <row r="303" spans="1:40" x14ac:dyDescent="0.25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</row>
    <row r="304" spans="1:40" x14ac:dyDescent="0.25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</row>
    <row r="305" spans="1:40" x14ac:dyDescent="0.25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</row>
    <row r="306" spans="1:40" x14ac:dyDescent="0.25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</row>
    <row r="307" spans="1:40" x14ac:dyDescent="0.25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</row>
    <row r="308" spans="1:40" x14ac:dyDescent="0.25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</row>
    <row r="309" spans="1:40" x14ac:dyDescent="0.25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</row>
    <row r="310" spans="1:40" x14ac:dyDescent="0.25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</row>
    <row r="311" spans="1:40" x14ac:dyDescent="0.25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</row>
    <row r="312" spans="1:40" x14ac:dyDescent="0.25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</row>
    <row r="313" spans="1:40" x14ac:dyDescent="0.25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</row>
    <row r="314" spans="1:40" x14ac:dyDescent="0.25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</row>
    <row r="315" spans="1:40" x14ac:dyDescent="0.25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</row>
    <row r="316" spans="1:40" x14ac:dyDescent="0.25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</row>
    <row r="317" spans="1:40" x14ac:dyDescent="0.25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</row>
    <row r="318" spans="1:40" x14ac:dyDescent="0.25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</row>
    <row r="319" spans="1:40" x14ac:dyDescent="0.25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</row>
    <row r="320" spans="1:40" x14ac:dyDescent="0.25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</row>
    <row r="321" spans="1:40" x14ac:dyDescent="0.25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</row>
    <row r="322" spans="1:40" x14ac:dyDescent="0.25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</row>
    <row r="323" spans="1:40" x14ac:dyDescent="0.25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</row>
    <row r="324" spans="1:40" x14ac:dyDescent="0.25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</row>
    <row r="325" spans="1:40" x14ac:dyDescent="0.25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</row>
    <row r="326" spans="1:40" x14ac:dyDescent="0.25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</row>
    <row r="327" spans="1:40" x14ac:dyDescent="0.25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</row>
    <row r="328" spans="1:40" x14ac:dyDescent="0.25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</row>
    <row r="329" spans="1:40" x14ac:dyDescent="0.25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</row>
    <row r="330" spans="1:40" x14ac:dyDescent="0.25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</row>
    <row r="331" spans="1:40" x14ac:dyDescent="0.25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</row>
    <row r="332" spans="1:40" x14ac:dyDescent="0.25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</row>
    <row r="333" spans="1:40" x14ac:dyDescent="0.25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</row>
    <row r="334" spans="1:40" x14ac:dyDescent="0.25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</row>
    <row r="335" spans="1:40" x14ac:dyDescent="0.25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</row>
    <row r="336" spans="1:40" x14ac:dyDescent="0.25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</row>
    <row r="337" spans="1:40" x14ac:dyDescent="0.25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</row>
    <row r="338" spans="1:40" x14ac:dyDescent="0.25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</row>
    <row r="339" spans="1:40" x14ac:dyDescent="0.25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</row>
    <row r="340" spans="1:40" x14ac:dyDescent="0.25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</row>
    <row r="341" spans="1:40" x14ac:dyDescent="0.25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</row>
    <row r="342" spans="1:40" x14ac:dyDescent="0.25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</row>
    <row r="343" spans="1:40" x14ac:dyDescent="0.25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</row>
    <row r="344" spans="1:40" x14ac:dyDescent="0.25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</row>
    <row r="345" spans="1:40" x14ac:dyDescent="0.25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</row>
    <row r="346" spans="1:40" x14ac:dyDescent="0.25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</row>
    <row r="347" spans="1:40" x14ac:dyDescent="0.25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</row>
    <row r="348" spans="1:40" x14ac:dyDescent="0.25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</row>
    <row r="349" spans="1:40" x14ac:dyDescent="0.25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</row>
    <row r="350" spans="1:40" x14ac:dyDescent="0.25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</row>
    <row r="351" spans="1:40" x14ac:dyDescent="0.25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</row>
    <row r="352" spans="1:40" x14ac:dyDescent="0.25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</row>
    <row r="353" spans="1:40" x14ac:dyDescent="0.25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</row>
    <row r="354" spans="1:40" x14ac:dyDescent="0.25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</row>
    <row r="355" spans="1:40" x14ac:dyDescent="0.25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</row>
    <row r="356" spans="1:40" x14ac:dyDescent="0.25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</row>
    <row r="357" spans="1:40" x14ac:dyDescent="0.25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</row>
    <row r="358" spans="1:40" x14ac:dyDescent="0.25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</row>
    <row r="359" spans="1:40" x14ac:dyDescent="0.25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</row>
    <row r="360" spans="1:40" x14ac:dyDescent="0.25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</row>
    <row r="361" spans="1:40" x14ac:dyDescent="0.25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</row>
    <row r="362" spans="1:40" x14ac:dyDescent="0.25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</row>
    <row r="363" spans="1:40" x14ac:dyDescent="0.25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</row>
    <row r="364" spans="1:40" x14ac:dyDescent="0.25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</row>
    <row r="365" spans="1:40" x14ac:dyDescent="0.25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</row>
    <row r="366" spans="1:40" x14ac:dyDescent="0.25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</row>
    <row r="367" spans="1:40" x14ac:dyDescent="0.25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</row>
    <row r="368" spans="1:40" x14ac:dyDescent="0.25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</row>
    <row r="369" spans="1:40" x14ac:dyDescent="0.25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</row>
    <row r="370" spans="1:40" x14ac:dyDescent="0.25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</row>
    <row r="371" spans="1:40" x14ac:dyDescent="0.25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</row>
    <row r="372" spans="1:40" x14ac:dyDescent="0.25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</row>
    <row r="373" spans="1:40" x14ac:dyDescent="0.25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</row>
    <row r="374" spans="1:40" x14ac:dyDescent="0.25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</row>
    <row r="375" spans="1:40" x14ac:dyDescent="0.25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</row>
    <row r="376" spans="1:40" x14ac:dyDescent="0.25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</row>
  </sheetData>
  <dataValidations count="1">
    <dataValidation type="list" allowBlank="1" showInputMessage="1" showErrorMessage="1" sqref="B2:C2">
      <formula1>INDIRECT("Месяцы[Месяцы]")</formula1>
    </dataValidation>
  </dataValidations>
  <pageMargins left="0.7" right="0.7" top="0.75" bottom="0.75" header="0.3" footer="0.3"/>
  <pageSetup paperSize="9" orientation="portrait" horizontalDpi="0" verticalDpi="0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AN460"/>
  <sheetViews>
    <sheetView zoomScale="70" zoomScaleNormal="70" workbookViewId="0">
      <pane ySplit="12" topLeftCell="A13" activePane="bottomLeft" state="frozen"/>
      <selection pane="bottomLeft" activeCell="B2" sqref="B2"/>
    </sheetView>
  </sheetViews>
  <sheetFormatPr defaultColWidth="9.140625" defaultRowHeight="15.75" x14ac:dyDescent="0.25"/>
  <cols>
    <col min="1" max="1" width="23.5703125" style="17" customWidth="1"/>
    <col min="2" max="2" width="24.85546875" style="17" bestFit="1" customWidth="1"/>
    <col min="3" max="3" width="15.42578125" style="17" customWidth="1"/>
    <col min="4" max="4" width="7.85546875" style="17" bestFit="1" customWidth="1"/>
    <col min="5" max="5" width="10.28515625" style="17" bestFit="1" customWidth="1"/>
    <col min="6" max="6" width="12.140625" style="17" bestFit="1" customWidth="1"/>
    <col min="7" max="7" width="9.28515625" style="17" bestFit="1" customWidth="1"/>
    <col min="8" max="8" width="8.85546875" style="17" bestFit="1" customWidth="1"/>
    <col min="9" max="9" width="18.140625" style="17" bestFit="1" customWidth="1"/>
    <col min="10" max="10" width="7.7109375" style="17" bestFit="1" customWidth="1"/>
    <col min="11" max="11" width="6.42578125" style="17" bestFit="1" customWidth="1"/>
    <col min="12" max="12" width="4.5703125" style="17" bestFit="1" customWidth="1"/>
    <col min="13" max="14" width="4.28515625" style="17" customWidth="1"/>
    <col min="15" max="16" width="7.28515625" style="17" bestFit="1" customWidth="1"/>
    <col min="17" max="17" width="4.28515625" style="17" customWidth="1"/>
    <col min="18" max="18" width="7.28515625" style="17" bestFit="1" customWidth="1"/>
    <col min="19" max="20" width="4.28515625" style="17" customWidth="1"/>
    <col min="21" max="21" width="7.28515625" style="17" bestFit="1" customWidth="1"/>
    <col min="22" max="22" width="10.28515625" style="17" bestFit="1" customWidth="1"/>
    <col min="23" max="23" width="7.28515625" style="17" bestFit="1" customWidth="1"/>
    <col min="24" max="26" width="4.28515625" style="17" customWidth="1"/>
    <col min="27" max="27" width="13.42578125" style="17" bestFit="1" customWidth="1"/>
    <col min="28" max="28" width="7.28515625" style="17" bestFit="1" customWidth="1"/>
    <col min="29" max="29" width="4.28515625" style="17" customWidth="1"/>
    <col min="30" max="36" width="7.28515625" style="17" bestFit="1" customWidth="1"/>
    <col min="37" max="38" width="4.28515625" style="17" customWidth="1"/>
    <col min="39" max="39" width="10.28515625" style="17" bestFit="1" customWidth="1"/>
    <col min="40" max="40" width="7.28515625" style="17" bestFit="1" customWidth="1"/>
    <col min="41" max="16384" width="9.140625" style="17"/>
  </cols>
  <sheetData>
    <row r="1" spans="1:40" ht="22.5" x14ac:dyDescent="0.3">
      <c r="A1" s="15" t="s">
        <v>2</v>
      </c>
      <c r="B1" s="15" t="s">
        <v>75</v>
      </c>
      <c r="C1" s="22"/>
    </row>
    <row r="2" spans="1:40" ht="22.5" x14ac:dyDescent="0.3">
      <c r="A2" s="15" t="s">
        <v>3</v>
      </c>
      <c r="C2" s="23"/>
    </row>
    <row r="4" spans="1:40" x14ac:dyDescent="0.25">
      <c r="A4" s="19" t="s">
        <v>2</v>
      </c>
      <c r="B4" s="19" t="s">
        <v>24</v>
      </c>
      <c r="C4" s="19" t="s">
        <v>25</v>
      </c>
      <c r="D4" s="20" t="s">
        <v>26</v>
      </c>
      <c r="F4" s="30" t="s">
        <v>82</v>
      </c>
      <c r="G4" s="17" t="s">
        <v>81</v>
      </c>
      <c r="H4" s="17" t="s">
        <v>79</v>
      </c>
      <c r="I4" s="17" t="s">
        <v>85</v>
      </c>
      <c r="J4" s="17" t="s">
        <v>84</v>
      </c>
      <c r="K4" s="17" t="s">
        <v>25</v>
      </c>
      <c r="L4" s="17" t="s">
        <v>26</v>
      </c>
    </row>
    <row r="5" spans="1:40" x14ac:dyDescent="0.25">
      <c r="A5" s="19" t="s">
        <v>27</v>
      </c>
      <c r="B5" s="19">
        <v>0</v>
      </c>
      <c r="C5" s="19">
        <v>0</v>
      </c>
      <c r="D5" s="20">
        <v>0</v>
      </c>
      <c r="F5" s="30">
        <f>SUM(ГодИтоги[Всего])</f>
        <v>0</v>
      </c>
      <c r="G5" s="17">
        <f>GETPIVOTDATA("Значения услуг",$A$11,"Услуги","Итого")</f>
        <v>0</v>
      </c>
      <c r="H5" s="17">
        <f>ГодВсего[б/пл.]+ГодВсего[пл.]+ГодСиделка[Сиделка]</f>
        <v>0</v>
      </c>
      <c r="I5" s="17">
        <f>ГодВсего[Сумма]-ГодВсего[Б+ПЛ]</f>
        <v>0</v>
      </c>
      <c r="J5" s="17">
        <f>SUM(ГодВсего[[б/пл.]:[пл.]])</f>
        <v>0</v>
      </c>
      <c r="K5" s="17">
        <f>SUM(ГодИтоги[б/пл.])</f>
        <v>0</v>
      </c>
      <c r="L5" s="17">
        <f>SUM(ГодИтоги[пл.])</f>
        <v>0</v>
      </c>
    </row>
    <row r="6" spans="1:40" x14ac:dyDescent="0.25">
      <c r="A6" s="19" t="s">
        <v>28</v>
      </c>
      <c r="B6" s="19">
        <v>0</v>
      </c>
      <c r="C6" s="19">
        <v>0</v>
      </c>
      <c r="D6" s="20">
        <v>0</v>
      </c>
    </row>
    <row r="7" spans="1:40" x14ac:dyDescent="0.25">
      <c r="A7" s="19" t="s">
        <v>29</v>
      </c>
      <c r="B7" s="19">
        <v>0</v>
      </c>
      <c r="C7" s="19">
        <v>0</v>
      </c>
      <c r="D7" s="20">
        <v>0</v>
      </c>
      <c r="F7" s="39" t="s">
        <v>83</v>
      </c>
      <c r="I7" s="17" t="s">
        <v>87</v>
      </c>
    </row>
    <row r="8" spans="1:40" x14ac:dyDescent="0.25">
      <c r="A8" s="19" t="s">
        <v>30</v>
      </c>
      <c r="B8" s="19">
        <v>0</v>
      </c>
      <c r="C8" s="19">
        <v>0</v>
      </c>
      <c r="D8" s="20">
        <v>0</v>
      </c>
      <c r="F8" s="40">
        <v>0</v>
      </c>
      <c r="I8" s="17">
        <f>C6+D6</f>
        <v>0</v>
      </c>
    </row>
    <row r="9" spans="1:40" x14ac:dyDescent="0.25">
      <c r="A9" s="19" t="s">
        <v>31</v>
      </c>
      <c r="B9" s="19">
        <v>0</v>
      </c>
      <c r="C9" s="19">
        <v>0</v>
      </c>
      <c r="D9" s="20">
        <v>0</v>
      </c>
    </row>
    <row r="11" spans="1:40" x14ac:dyDescent="0.25">
      <c r="A11" s="38" t="s">
        <v>74</v>
      </c>
      <c r="B11" s="38"/>
      <c r="C11" s="32" t="s">
        <v>2</v>
      </c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</row>
    <row r="12" spans="1:40" ht="127.5" customHeight="1" x14ac:dyDescent="0.25">
      <c r="A12" s="35" t="s">
        <v>33</v>
      </c>
      <c r="B12" s="35" t="s">
        <v>35</v>
      </c>
      <c r="C12" s="33" t="s">
        <v>42</v>
      </c>
      <c r="D12" s="32" t="s">
        <v>41</v>
      </c>
      <c r="E12" s="34" t="s">
        <v>70</v>
      </c>
      <c r="F12" s="33" t="s">
        <v>51</v>
      </c>
      <c r="G12" s="33" t="s">
        <v>54</v>
      </c>
      <c r="H12" s="33" t="s">
        <v>44</v>
      </c>
      <c r="I12" s="33" t="s">
        <v>48</v>
      </c>
      <c r="J12" s="33" t="s">
        <v>38</v>
      </c>
      <c r="K12" s="33" t="s">
        <v>60</v>
      </c>
      <c r="L12" s="33" t="s">
        <v>72</v>
      </c>
      <c r="M12" s="33" t="s">
        <v>73</v>
      </c>
      <c r="N12" s="33" t="s">
        <v>55</v>
      </c>
      <c r="O12" s="33" t="s">
        <v>59</v>
      </c>
      <c r="P12" s="33" t="s">
        <v>58</v>
      </c>
      <c r="Q12" s="33" t="s">
        <v>45</v>
      </c>
      <c r="R12" s="33" t="s">
        <v>47</v>
      </c>
      <c r="S12" s="33" t="s">
        <v>71</v>
      </c>
      <c r="T12" s="33" t="s">
        <v>40</v>
      </c>
      <c r="U12" s="33" t="s">
        <v>52</v>
      </c>
      <c r="V12" s="33" t="s">
        <v>64</v>
      </c>
      <c r="W12" s="33" t="s">
        <v>63</v>
      </c>
      <c r="X12" s="33" t="s">
        <v>56</v>
      </c>
      <c r="Y12" s="33" t="s">
        <v>49</v>
      </c>
      <c r="Z12" s="33" t="s">
        <v>61</v>
      </c>
      <c r="AA12" s="33" t="s">
        <v>39</v>
      </c>
      <c r="AB12" s="33" t="s">
        <v>50</v>
      </c>
      <c r="AC12" s="33" t="s">
        <v>57</v>
      </c>
      <c r="AD12" s="33" t="s">
        <v>62</v>
      </c>
      <c r="AE12" s="33" t="s">
        <v>67</v>
      </c>
      <c r="AF12" s="33" t="s">
        <v>68</v>
      </c>
      <c r="AG12" s="33" t="s">
        <v>65</v>
      </c>
      <c r="AH12" s="33" t="s">
        <v>43</v>
      </c>
      <c r="AI12" s="33" t="s">
        <v>66</v>
      </c>
      <c r="AJ12" s="33" t="s">
        <v>37</v>
      </c>
      <c r="AK12" s="33" t="s">
        <v>36</v>
      </c>
      <c r="AL12" s="33" t="s">
        <v>69</v>
      </c>
      <c r="AM12" s="33" t="s">
        <v>46</v>
      </c>
      <c r="AN12" s="33" t="s">
        <v>53</v>
      </c>
    </row>
    <row r="13" spans="1:40" x14ac:dyDescent="0.25">
      <c r="A13" s="35" t="s">
        <v>89</v>
      </c>
      <c r="B13" s="32"/>
      <c r="C13" s="36">
        <v>1</v>
      </c>
      <c r="D13" s="36">
        <v>0</v>
      </c>
      <c r="E13" s="37">
        <v>0</v>
      </c>
      <c r="F13" s="36">
        <v>0</v>
      </c>
      <c r="G13" s="36">
        <v>0</v>
      </c>
      <c r="H13" s="36">
        <v>0</v>
      </c>
      <c r="I13" s="36">
        <v>0</v>
      </c>
      <c r="J13" s="36">
        <v>0</v>
      </c>
      <c r="K13" s="36">
        <v>0</v>
      </c>
      <c r="L13" s="36">
        <v>0</v>
      </c>
      <c r="M13" s="36">
        <v>0</v>
      </c>
      <c r="N13" s="36">
        <v>0</v>
      </c>
      <c r="O13" s="36">
        <v>0</v>
      </c>
      <c r="P13" s="36">
        <v>0</v>
      </c>
      <c r="Q13" s="36">
        <v>0</v>
      </c>
      <c r="R13" s="36">
        <v>0</v>
      </c>
      <c r="S13" s="36">
        <v>0</v>
      </c>
      <c r="T13" s="36">
        <v>0</v>
      </c>
      <c r="U13" s="36">
        <v>0</v>
      </c>
      <c r="V13" s="36">
        <v>0</v>
      </c>
      <c r="W13" s="36">
        <v>0</v>
      </c>
      <c r="X13" s="36">
        <v>0</v>
      </c>
      <c r="Y13" s="36">
        <v>0</v>
      </c>
      <c r="Z13" s="36">
        <v>0</v>
      </c>
      <c r="AA13" s="36">
        <v>0</v>
      </c>
      <c r="AB13" s="36">
        <v>0</v>
      </c>
      <c r="AC13" s="36">
        <v>0</v>
      </c>
      <c r="AD13" s="36">
        <v>0</v>
      </c>
      <c r="AE13" s="36">
        <v>0</v>
      </c>
      <c r="AF13" s="36">
        <v>0</v>
      </c>
      <c r="AG13" s="36">
        <v>0</v>
      </c>
      <c r="AH13" s="36">
        <v>0</v>
      </c>
      <c r="AI13" s="36">
        <v>0</v>
      </c>
      <c r="AJ13" s="36">
        <v>0</v>
      </c>
      <c r="AK13" s="36">
        <v>0</v>
      </c>
      <c r="AL13" s="36">
        <v>0</v>
      </c>
      <c r="AM13" s="36">
        <v>0</v>
      </c>
      <c r="AN13" s="36">
        <v>0</v>
      </c>
    </row>
    <row r="14" spans="1:40" x14ac:dyDescent="0.25">
      <c r="A14" s="35" t="s">
        <v>34</v>
      </c>
      <c r="B14" s="35"/>
      <c r="C14" s="36">
        <v>1</v>
      </c>
      <c r="D14" s="36">
        <v>0</v>
      </c>
      <c r="E14" s="37">
        <v>0</v>
      </c>
      <c r="F14" s="36">
        <v>0</v>
      </c>
      <c r="G14" s="36">
        <v>0</v>
      </c>
      <c r="H14" s="36">
        <v>0</v>
      </c>
      <c r="I14" s="36">
        <v>0</v>
      </c>
      <c r="J14" s="36">
        <v>0</v>
      </c>
      <c r="K14" s="36">
        <v>0</v>
      </c>
      <c r="L14" s="36">
        <v>0</v>
      </c>
      <c r="M14" s="36">
        <v>0</v>
      </c>
      <c r="N14" s="36">
        <v>0</v>
      </c>
      <c r="O14" s="36">
        <v>0</v>
      </c>
      <c r="P14" s="36">
        <v>0</v>
      </c>
      <c r="Q14" s="36">
        <v>0</v>
      </c>
      <c r="R14" s="36">
        <v>0</v>
      </c>
      <c r="S14" s="36">
        <v>0</v>
      </c>
      <c r="T14" s="36">
        <v>0</v>
      </c>
      <c r="U14" s="36">
        <v>0</v>
      </c>
      <c r="V14" s="36">
        <v>0</v>
      </c>
      <c r="W14" s="36">
        <v>0</v>
      </c>
      <c r="X14" s="36">
        <v>0</v>
      </c>
      <c r="Y14" s="36">
        <v>0</v>
      </c>
      <c r="Z14" s="36">
        <v>0</v>
      </c>
      <c r="AA14" s="36">
        <v>0</v>
      </c>
      <c r="AB14" s="36">
        <v>0</v>
      </c>
      <c r="AC14" s="36">
        <v>0</v>
      </c>
      <c r="AD14" s="36">
        <v>0</v>
      </c>
      <c r="AE14" s="36">
        <v>0</v>
      </c>
      <c r="AF14" s="36">
        <v>0</v>
      </c>
      <c r="AG14" s="36">
        <v>0</v>
      </c>
      <c r="AH14" s="36">
        <v>0</v>
      </c>
      <c r="AI14" s="36">
        <v>0</v>
      </c>
      <c r="AJ14" s="36">
        <v>0</v>
      </c>
      <c r="AK14" s="36">
        <v>0</v>
      </c>
      <c r="AL14" s="36">
        <v>0</v>
      </c>
      <c r="AM14" s="36">
        <v>0</v>
      </c>
      <c r="AN14" s="36">
        <v>0</v>
      </c>
    </row>
    <row r="15" spans="1:40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</row>
    <row r="16" spans="1:40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</row>
    <row r="17" spans="1:40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</row>
    <row r="18" spans="1:40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</row>
    <row r="19" spans="1:40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</row>
    <row r="20" spans="1:40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</row>
    <row r="21" spans="1:40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</row>
    <row r="22" spans="1:40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</row>
    <row r="23" spans="1:40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</row>
    <row r="24" spans="1:40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</row>
    <row r="25" spans="1:40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</row>
    <row r="26" spans="1:40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</row>
    <row r="27" spans="1:40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</row>
    <row r="28" spans="1:40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</row>
    <row r="29" spans="1:40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</row>
    <row r="30" spans="1:40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</row>
    <row r="31" spans="1:40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</row>
    <row r="32" spans="1:40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</row>
    <row r="33" spans="1:40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</row>
    <row r="34" spans="1:40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</row>
    <row r="35" spans="1:40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</row>
    <row r="36" spans="1:40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</row>
    <row r="37" spans="1:40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</row>
    <row r="38" spans="1:40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</row>
    <row r="39" spans="1:40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</row>
    <row r="40" spans="1:40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</row>
    <row r="41" spans="1:40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</row>
    <row r="42" spans="1:40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</row>
    <row r="43" spans="1:40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</row>
    <row r="44" spans="1:40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</row>
    <row r="45" spans="1:40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</row>
    <row r="46" spans="1:40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</row>
    <row r="47" spans="1:40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</row>
    <row r="48" spans="1:40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</row>
    <row r="49" spans="1:40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</row>
    <row r="50" spans="1:40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</row>
    <row r="51" spans="1:40" x14ac:dyDescent="0.25">
      <c r="A51" s="21"/>
      <c r="B51" s="21"/>
      <c r="C51" s="21"/>
      <c r="D51" s="21"/>
      <c r="E51" s="21"/>
      <c r="F51" s="21"/>
      <c r="G51" s="21"/>
      <c r="H51" s="21"/>
      <c r="I51" s="21"/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</row>
    <row r="52" spans="1:40" x14ac:dyDescent="0.25">
      <c r="A52" s="21"/>
      <c r="B52" s="21"/>
      <c r="C52" s="21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</row>
    <row r="53" spans="1:40" x14ac:dyDescent="0.25">
      <c r="A53" s="21"/>
      <c r="B53" s="21"/>
      <c r="C53" s="21"/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</row>
    <row r="54" spans="1:40" x14ac:dyDescent="0.25">
      <c r="A54" s="21"/>
      <c r="B54" s="21"/>
      <c r="C54" s="21"/>
      <c r="D54" s="21"/>
      <c r="E54" s="21"/>
      <c r="F54" s="21"/>
      <c r="G54" s="21"/>
      <c r="H54" s="21"/>
      <c r="I54" s="21"/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</row>
    <row r="55" spans="1:40" x14ac:dyDescent="0.25">
      <c r="A55" s="21"/>
      <c r="B55" s="21"/>
      <c r="C55" s="21"/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</row>
    <row r="56" spans="1:40" x14ac:dyDescent="0.25">
      <c r="A56" s="21"/>
      <c r="B56" s="21"/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</row>
    <row r="57" spans="1:40" x14ac:dyDescent="0.25">
      <c r="A57" s="21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</row>
    <row r="58" spans="1:40" x14ac:dyDescent="0.25">
      <c r="A58" s="21"/>
      <c r="B58" s="21"/>
      <c r="C58" s="21"/>
      <c r="D58" s="21"/>
      <c r="E58" s="21"/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</row>
    <row r="59" spans="1:40" x14ac:dyDescent="0.25">
      <c r="A59" s="21"/>
      <c r="B59" s="21"/>
      <c r="C59" s="21"/>
      <c r="D59" s="21"/>
      <c r="E59" s="21"/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</row>
    <row r="60" spans="1:40" x14ac:dyDescent="0.25">
      <c r="A60" s="21"/>
      <c r="B60" s="21"/>
      <c r="C60" s="21"/>
      <c r="D60" s="21"/>
      <c r="E60" s="21"/>
      <c r="F60" s="21"/>
      <c r="G60" s="21"/>
      <c r="H60" s="21"/>
      <c r="I60" s="21"/>
      <c r="J60" s="21"/>
      <c r="K60" s="21"/>
      <c r="L60" s="21"/>
      <c r="M60" s="21"/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</row>
    <row r="61" spans="1:40" x14ac:dyDescent="0.25">
      <c r="A61" s="21"/>
      <c r="B61" s="21"/>
      <c r="C61" s="21"/>
      <c r="D61" s="21"/>
      <c r="E61" s="21"/>
      <c r="F61" s="21"/>
      <c r="G61" s="21"/>
      <c r="H61" s="21"/>
      <c r="I61" s="21"/>
      <c r="J61" s="21"/>
      <c r="K61" s="21"/>
      <c r="L61" s="21"/>
      <c r="M61" s="21"/>
      <c r="N61" s="21"/>
      <c r="O61" s="21"/>
      <c r="P61" s="21"/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</row>
    <row r="62" spans="1:40" x14ac:dyDescent="0.25">
      <c r="A62" s="21"/>
      <c r="B62" s="21"/>
      <c r="C62" s="21"/>
      <c r="D62" s="21"/>
      <c r="E62" s="21"/>
      <c r="F62" s="21"/>
      <c r="G62" s="21"/>
      <c r="H62" s="21"/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</row>
    <row r="63" spans="1:40" x14ac:dyDescent="0.25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</row>
    <row r="64" spans="1:40" x14ac:dyDescent="0.25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21"/>
      <c r="L64" s="21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</row>
    <row r="65" spans="1:40" x14ac:dyDescent="0.25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</row>
    <row r="66" spans="1:40" x14ac:dyDescent="0.25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21"/>
      <c r="L66" s="21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</row>
    <row r="67" spans="1:40" x14ac:dyDescent="0.25">
      <c r="A67" s="21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  <c r="O67" s="21"/>
      <c r="P67" s="21"/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</row>
    <row r="68" spans="1:40" x14ac:dyDescent="0.25">
      <c r="A68" s="21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</row>
    <row r="69" spans="1:40" x14ac:dyDescent="0.25">
      <c r="A69" s="21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  <c r="P69" s="21"/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</row>
    <row r="70" spans="1:40" x14ac:dyDescent="0.25">
      <c r="A70" s="21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  <c r="O70" s="21"/>
      <c r="P70" s="21"/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</row>
    <row r="71" spans="1:40" x14ac:dyDescent="0.25">
      <c r="A71" s="21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</row>
    <row r="72" spans="1:40" x14ac:dyDescent="0.25">
      <c r="A72" s="21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</row>
    <row r="73" spans="1:40" x14ac:dyDescent="0.25">
      <c r="A73" s="21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</row>
    <row r="74" spans="1:40" x14ac:dyDescent="0.25">
      <c r="A74" s="21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</row>
    <row r="75" spans="1:40" x14ac:dyDescent="0.25">
      <c r="A75" s="21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</row>
    <row r="76" spans="1:40" x14ac:dyDescent="0.25">
      <c r="A76" s="21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</row>
    <row r="77" spans="1:40" x14ac:dyDescent="0.25">
      <c r="A77" s="21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</row>
    <row r="78" spans="1:40" x14ac:dyDescent="0.25">
      <c r="A78" s="21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</row>
    <row r="79" spans="1:40" x14ac:dyDescent="0.25">
      <c r="A79" s="21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</row>
    <row r="80" spans="1:40" x14ac:dyDescent="0.25">
      <c r="A80" s="21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</row>
    <row r="81" spans="1:40" x14ac:dyDescent="0.25">
      <c r="A81" s="21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</row>
    <row r="82" spans="1:40" x14ac:dyDescent="0.25">
      <c r="A82" s="21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</row>
    <row r="83" spans="1:40" x14ac:dyDescent="0.25">
      <c r="A83" s="21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</row>
    <row r="84" spans="1:40" x14ac:dyDescent="0.25">
      <c r="A84" s="21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</row>
    <row r="85" spans="1:40" x14ac:dyDescent="0.25">
      <c r="A85" s="21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</row>
    <row r="86" spans="1:40" x14ac:dyDescent="0.25">
      <c r="A86" s="21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</row>
    <row r="87" spans="1:40" x14ac:dyDescent="0.25">
      <c r="A87" s="21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</row>
    <row r="88" spans="1:40" x14ac:dyDescent="0.25">
      <c r="A88" s="21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</row>
    <row r="89" spans="1:40" x14ac:dyDescent="0.25">
      <c r="A89" s="21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</row>
    <row r="90" spans="1:40" x14ac:dyDescent="0.25">
      <c r="A90" s="21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</row>
    <row r="91" spans="1:40" x14ac:dyDescent="0.25">
      <c r="A91" s="21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</row>
    <row r="92" spans="1:40" x14ac:dyDescent="0.25">
      <c r="A92" s="21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</row>
    <row r="93" spans="1:40" x14ac:dyDescent="0.25">
      <c r="A93" s="21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</row>
    <row r="94" spans="1:40" x14ac:dyDescent="0.25">
      <c r="A94" s="21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</row>
    <row r="95" spans="1:40" x14ac:dyDescent="0.25">
      <c r="A95" s="21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</row>
    <row r="96" spans="1:40" x14ac:dyDescent="0.25">
      <c r="A96" s="21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</row>
    <row r="97" spans="1:40" x14ac:dyDescent="0.25">
      <c r="A97" s="21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</row>
    <row r="98" spans="1:40" x14ac:dyDescent="0.25">
      <c r="A98" s="21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</row>
    <row r="99" spans="1:40" x14ac:dyDescent="0.25">
      <c r="A99" s="21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</row>
    <row r="100" spans="1:40" x14ac:dyDescent="0.25">
      <c r="A100" s="21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</row>
    <row r="101" spans="1:40" x14ac:dyDescent="0.25">
      <c r="A101" s="21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</row>
    <row r="102" spans="1:40" x14ac:dyDescent="0.25">
      <c r="A102" s="21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</row>
    <row r="103" spans="1:40" x14ac:dyDescent="0.25">
      <c r="A103" s="21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</row>
    <row r="104" spans="1:40" x14ac:dyDescent="0.25">
      <c r="A104" s="21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</row>
    <row r="105" spans="1:40" x14ac:dyDescent="0.25">
      <c r="A105" s="21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/>
      <c r="U105" s="21"/>
      <c r="V105" s="21"/>
      <c r="W105" s="21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</row>
    <row r="106" spans="1:40" x14ac:dyDescent="0.25">
      <c r="A106" s="21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/>
      <c r="U106" s="21"/>
      <c r="V106" s="21"/>
      <c r="W106" s="21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</row>
    <row r="107" spans="1:40" x14ac:dyDescent="0.25">
      <c r="A107" s="21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</row>
    <row r="108" spans="1:40" x14ac:dyDescent="0.25">
      <c r="A108" s="21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</row>
    <row r="109" spans="1:40" x14ac:dyDescent="0.25">
      <c r="A109" s="21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</row>
    <row r="110" spans="1:40" x14ac:dyDescent="0.25">
      <c r="A110" s="21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</row>
    <row r="111" spans="1:40" x14ac:dyDescent="0.25">
      <c r="A111" s="21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</row>
    <row r="112" spans="1:40" x14ac:dyDescent="0.25">
      <c r="A112" s="21"/>
      <c r="B112" s="21"/>
      <c r="C112" s="21"/>
      <c r="D112" s="21"/>
      <c r="E112" s="21"/>
      <c r="F112" s="21"/>
      <c r="G112" s="21"/>
      <c r="H112" s="21"/>
      <c r="I112" s="21"/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</row>
    <row r="113" spans="1:40" x14ac:dyDescent="0.25">
      <c r="A113" s="21"/>
      <c r="B113" s="21"/>
      <c r="C113" s="21"/>
      <c r="D113" s="21"/>
      <c r="E113" s="21"/>
      <c r="F113" s="21"/>
      <c r="G113" s="21"/>
      <c r="H113" s="21"/>
      <c r="I113" s="21"/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</row>
    <row r="114" spans="1:40" x14ac:dyDescent="0.25">
      <c r="A114" s="21"/>
      <c r="B114" s="21"/>
      <c r="C114" s="21"/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/>
      <c r="W114" s="21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</row>
    <row r="115" spans="1:40" x14ac:dyDescent="0.25">
      <c r="A115" s="21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</row>
    <row r="116" spans="1:40" x14ac:dyDescent="0.25">
      <c r="A116" s="21"/>
      <c r="B116" s="21"/>
      <c r="C116" s="21"/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</row>
    <row r="117" spans="1:40" x14ac:dyDescent="0.25">
      <c r="A117" s="21"/>
      <c r="B117" s="21"/>
      <c r="C117" s="21"/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</row>
    <row r="118" spans="1:40" x14ac:dyDescent="0.25">
      <c r="A118" s="21"/>
      <c r="B118" s="21"/>
      <c r="C118" s="21"/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</row>
    <row r="119" spans="1:40" x14ac:dyDescent="0.25">
      <c r="A119" s="21"/>
      <c r="B119" s="21"/>
      <c r="C119" s="21"/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</row>
    <row r="120" spans="1:40" x14ac:dyDescent="0.25">
      <c r="A120" s="21"/>
      <c r="B120" s="21"/>
      <c r="C120" s="21"/>
      <c r="D120" s="21"/>
      <c r="E120" s="21"/>
      <c r="F120" s="21"/>
      <c r="G120" s="21"/>
      <c r="H120" s="21"/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</row>
    <row r="121" spans="1:40" x14ac:dyDescent="0.25">
      <c r="A121" s="21"/>
      <c r="B121" s="21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</row>
    <row r="122" spans="1:40" x14ac:dyDescent="0.25">
      <c r="A122" s="21"/>
      <c r="B122" s="21"/>
      <c r="C122" s="21"/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</row>
    <row r="123" spans="1:40" x14ac:dyDescent="0.25">
      <c r="A123" s="21"/>
      <c r="B123" s="21"/>
      <c r="C123" s="21"/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</row>
    <row r="124" spans="1:40" x14ac:dyDescent="0.25">
      <c r="A124" s="21"/>
      <c r="B124" s="21"/>
      <c r="C124" s="21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</row>
    <row r="125" spans="1:40" x14ac:dyDescent="0.25">
      <c r="A125" s="21"/>
      <c r="B125" s="21"/>
      <c r="C125" s="21"/>
      <c r="D125" s="21"/>
      <c r="E125" s="21"/>
      <c r="F125" s="21"/>
      <c r="G125" s="21"/>
      <c r="H125" s="21"/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</row>
    <row r="126" spans="1:40" x14ac:dyDescent="0.25">
      <c r="A126" s="21"/>
      <c r="B126" s="21"/>
      <c r="C126" s="21"/>
      <c r="D126" s="21"/>
      <c r="E126" s="21"/>
      <c r="F126" s="21"/>
      <c r="G126" s="21"/>
      <c r="H126" s="21"/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</row>
    <row r="127" spans="1:40" x14ac:dyDescent="0.25">
      <c r="A127" s="21"/>
      <c r="B127" s="21"/>
      <c r="C127" s="21"/>
      <c r="D127" s="21"/>
      <c r="E127" s="21"/>
      <c r="F127" s="21"/>
      <c r="G127" s="21"/>
      <c r="H127" s="21"/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</row>
    <row r="128" spans="1:40" x14ac:dyDescent="0.25">
      <c r="A128" s="21"/>
      <c r="B128" s="21"/>
      <c r="C128" s="21"/>
      <c r="D128" s="21"/>
      <c r="E128" s="21"/>
      <c r="F128" s="21"/>
      <c r="G128" s="21"/>
      <c r="H128" s="21"/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</row>
    <row r="129" spans="1:40" x14ac:dyDescent="0.25">
      <c r="A129" s="21"/>
      <c r="B129" s="21"/>
      <c r="C129" s="21"/>
      <c r="D129" s="21"/>
      <c r="E129" s="21"/>
      <c r="F129" s="21"/>
      <c r="G129" s="21"/>
      <c r="H129" s="21"/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</row>
    <row r="130" spans="1:40" x14ac:dyDescent="0.25">
      <c r="A130" s="21"/>
      <c r="B130" s="21"/>
      <c r="C130" s="21"/>
      <c r="D130" s="21"/>
      <c r="E130" s="21"/>
      <c r="F130" s="21"/>
      <c r="G130" s="21"/>
      <c r="H130" s="21"/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</row>
    <row r="131" spans="1:40" x14ac:dyDescent="0.25">
      <c r="A131" s="21"/>
      <c r="B131" s="21"/>
      <c r="C131" s="21"/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</row>
    <row r="132" spans="1:40" x14ac:dyDescent="0.25">
      <c r="A132" s="21"/>
      <c r="B132" s="21"/>
      <c r="C132" s="21"/>
      <c r="D132" s="21"/>
      <c r="E132" s="21"/>
      <c r="F132" s="21"/>
      <c r="G132" s="21"/>
      <c r="H132" s="21"/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</row>
    <row r="133" spans="1:40" x14ac:dyDescent="0.25">
      <c r="A133" s="21"/>
      <c r="B133" s="21"/>
      <c r="C133" s="21"/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</row>
    <row r="134" spans="1:40" x14ac:dyDescent="0.25">
      <c r="A134" s="21"/>
      <c r="B134" s="21"/>
      <c r="C134" s="21"/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</row>
    <row r="135" spans="1:40" x14ac:dyDescent="0.25">
      <c r="A135" s="21"/>
      <c r="B135" s="21"/>
      <c r="C135" s="21"/>
      <c r="D135" s="21"/>
      <c r="E135" s="21"/>
      <c r="F135" s="21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</row>
    <row r="136" spans="1:40" x14ac:dyDescent="0.25">
      <c r="A136" s="21"/>
      <c r="B136" s="21"/>
      <c r="C136" s="21"/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</row>
    <row r="137" spans="1:40" x14ac:dyDescent="0.25">
      <c r="A137" s="21"/>
      <c r="B137" s="21"/>
      <c r="C137" s="21"/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</row>
    <row r="138" spans="1:40" x14ac:dyDescent="0.25">
      <c r="A138" s="21"/>
      <c r="B138" s="21"/>
      <c r="C138" s="21"/>
      <c r="D138" s="21"/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</row>
    <row r="139" spans="1:40" x14ac:dyDescent="0.25">
      <c r="A139" s="21"/>
      <c r="B139" s="21"/>
      <c r="C139" s="21"/>
      <c r="D139" s="21"/>
      <c r="E139" s="21"/>
      <c r="F139" s="21"/>
      <c r="G139" s="21"/>
      <c r="H139" s="21"/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</row>
    <row r="140" spans="1:40" x14ac:dyDescent="0.25">
      <c r="A140" s="21"/>
      <c r="B140" s="21"/>
      <c r="C140" s="21"/>
      <c r="D140" s="21"/>
      <c r="E140" s="21"/>
      <c r="F140" s="21"/>
      <c r="G140" s="21"/>
      <c r="H140" s="21"/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</row>
    <row r="141" spans="1:40" x14ac:dyDescent="0.25">
      <c r="A141" s="21"/>
      <c r="B141" s="21"/>
      <c r="C141" s="21"/>
      <c r="D141" s="21"/>
      <c r="E141" s="21"/>
      <c r="F141" s="21"/>
      <c r="G141" s="21"/>
      <c r="H141" s="21"/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</row>
    <row r="142" spans="1:40" x14ac:dyDescent="0.25">
      <c r="A142" s="21"/>
      <c r="B142" s="21"/>
      <c r="C142" s="21"/>
      <c r="D142" s="21"/>
      <c r="E142" s="21"/>
      <c r="F142" s="21"/>
      <c r="G142" s="21"/>
      <c r="H142" s="21"/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</row>
    <row r="143" spans="1:40" x14ac:dyDescent="0.25">
      <c r="A143" s="21"/>
      <c r="B143" s="21"/>
      <c r="C143" s="21"/>
      <c r="D143" s="21"/>
      <c r="E143" s="21"/>
      <c r="F143" s="21"/>
      <c r="G143" s="21"/>
      <c r="H143" s="21"/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</row>
    <row r="144" spans="1:40" x14ac:dyDescent="0.25">
      <c r="A144" s="21"/>
      <c r="B144" s="21"/>
      <c r="C144" s="21"/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</row>
    <row r="145" spans="1:40" x14ac:dyDescent="0.25">
      <c r="A145" s="21"/>
      <c r="B145" s="21"/>
      <c r="C145" s="21"/>
      <c r="D145" s="21"/>
      <c r="E145" s="21"/>
      <c r="F145" s="21"/>
      <c r="G145" s="21"/>
      <c r="H145" s="21"/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</row>
    <row r="146" spans="1:40" x14ac:dyDescent="0.25">
      <c r="A146" s="21"/>
      <c r="B146" s="21"/>
      <c r="C146" s="21"/>
      <c r="D146" s="21"/>
      <c r="E146" s="21"/>
      <c r="F146" s="21"/>
      <c r="G146" s="21"/>
      <c r="H146" s="21"/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</row>
    <row r="147" spans="1:40" x14ac:dyDescent="0.25">
      <c r="A147" s="21"/>
      <c r="B147" s="21"/>
      <c r="C147" s="21"/>
      <c r="D147" s="21"/>
      <c r="E147" s="21"/>
      <c r="F147" s="21"/>
      <c r="G147" s="21"/>
      <c r="H147" s="21"/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</row>
    <row r="148" spans="1:40" x14ac:dyDescent="0.25">
      <c r="A148" s="21"/>
      <c r="B148" s="21"/>
      <c r="C148" s="21"/>
      <c r="D148" s="21"/>
      <c r="E148" s="21"/>
      <c r="F148" s="21"/>
      <c r="G148" s="21"/>
      <c r="H148" s="21"/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</row>
    <row r="149" spans="1:40" x14ac:dyDescent="0.25">
      <c r="A149" s="21"/>
      <c r="B149" s="21"/>
      <c r="C149" s="21"/>
      <c r="D149" s="21"/>
      <c r="E149" s="21"/>
      <c r="F149" s="21"/>
      <c r="G149" s="21"/>
      <c r="H149" s="21"/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</row>
    <row r="150" spans="1:40" x14ac:dyDescent="0.25">
      <c r="A150" s="21"/>
      <c r="B150" s="21"/>
      <c r="C150" s="21"/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</row>
    <row r="151" spans="1:40" x14ac:dyDescent="0.25">
      <c r="A151" s="21"/>
      <c r="B151" s="21"/>
      <c r="C151" s="21"/>
      <c r="D151" s="21"/>
      <c r="E151" s="21"/>
      <c r="F151" s="21"/>
      <c r="G151" s="21"/>
      <c r="H151" s="21"/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</row>
    <row r="152" spans="1:40" x14ac:dyDescent="0.25">
      <c r="A152" s="21"/>
      <c r="B152" s="21"/>
      <c r="C152" s="21"/>
      <c r="D152" s="21"/>
      <c r="E152" s="21"/>
      <c r="F152" s="21"/>
      <c r="G152" s="21"/>
      <c r="H152" s="21"/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</row>
    <row r="153" spans="1:40" x14ac:dyDescent="0.25">
      <c r="A153" s="21"/>
      <c r="B153" s="21"/>
      <c r="C153" s="21"/>
      <c r="D153" s="21"/>
      <c r="E153" s="21"/>
      <c r="F153" s="21"/>
      <c r="G153" s="21"/>
      <c r="H153" s="21"/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</row>
    <row r="154" spans="1:40" x14ac:dyDescent="0.25">
      <c r="A154" s="21"/>
      <c r="B154" s="21"/>
      <c r="C154" s="21"/>
      <c r="D154" s="21"/>
      <c r="E154" s="21"/>
      <c r="F154" s="21"/>
      <c r="G154" s="21"/>
      <c r="H154" s="21"/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</row>
    <row r="155" spans="1:40" x14ac:dyDescent="0.25">
      <c r="A155" s="21"/>
      <c r="B155" s="21"/>
      <c r="C155" s="21"/>
      <c r="D155" s="21"/>
      <c r="E155" s="21"/>
      <c r="F155" s="21"/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</row>
    <row r="156" spans="1:40" x14ac:dyDescent="0.25">
      <c r="A156" s="21"/>
      <c r="B156" s="21"/>
      <c r="C156" s="21"/>
      <c r="D156" s="21"/>
      <c r="E156" s="21"/>
      <c r="F156" s="21"/>
      <c r="G156" s="21"/>
      <c r="H156" s="21"/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</row>
    <row r="157" spans="1:40" x14ac:dyDescent="0.25">
      <c r="A157" s="21"/>
      <c r="B157" s="21"/>
      <c r="C157" s="21"/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</row>
    <row r="158" spans="1:40" x14ac:dyDescent="0.25">
      <c r="A158" s="21"/>
      <c r="B158" s="21"/>
      <c r="C158" s="21"/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</row>
    <row r="159" spans="1:40" x14ac:dyDescent="0.25">
      <c r="A159" s="21"/>
      <c r="B159" s="21"/>
      <c r="C159" s="21"/>
      <c r="D159" s="21"/>
      <c r="E159" s="21"/>
      <c r="F159" s="21"/>
      <c r="G159" s="21"/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</row>
    <row r="160" spans="1:40" x14ac:dyDescent="0.25">
      <c r="A160" s="21"/>
      <c r="B160" s="21"/>
      <c r="C160" s="21"/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</row>
    <row r="161" spans="1:40" x14ac:dyDescent="0.25">
      <c r="A161" s="21"/>
      <c r="B161" s="21"/>
      <c r="C161" s="21"/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</row>
    <row r="162" spans="1:40" x14ac:dyDescent="0.25">
      <c r="A162" s="21"/>
      <c r="B162" s="21"/>
      <c r="C162" s="21"/>
      <c r="D162" s="21"/>
      <c r="E162" s="21"/>
      <c r="F162" s="21"/>
      <c r="G162" s="21"/>
      <c r="H162" s="21"/>
      <c r="I162" s="21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</row>
    <row r="163" spans="1:40" x14ac:dyDescent="0.25">
      <c r="A163" s="21"/>
      <c r="B163" s="21"/>
      <c r="C163" s="21"/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</row>
    <row r="164" spans="1:40" x14ac:dyDescent="0.25">
      <c r="A164" s="21"/>
      <c r="B164" s="21"/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</row>
    <row r="165" spans="1:40" x14ac:dyDescent="0.25">
      <c r="A165" s="21"/>
      <c r="B165" s="21"/>
      <c r="C165" s="21"/>
      <c r="D165" s="21"/>
      <c r="E165" s="21"/>
      <c r="F165" s="21"/>
      <c r="G165" s="21"/>
      <c r="H165" s="21"/>
      <c r="I165" s="21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</row>
    <row r="166" spans="1:40" x14ac:dyDescent="0.25">
      <c r="A166" s="21"/>
      <c r="B166" s="21"/>
      <c r="C166" s="21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</row>
    <row r="167" spans="1:40" x14ac:dyDescent="0.25">
      <c r="A167" s="21"/>
      <c r="B167" s="21"/>
      <c r="C167" s="21"/>
      <c r="D167" s="21"/>
      <c r="E167" s="21"/>
      <c r="F167" s="21"/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</row>
    <row r="168" spans="1:40" x14ac:dyDescent="0.25">
      <c r="A168" s="21"/>
      <c r="B168" s="21"/>
      <c r="C168" s="21"/>
      <c r="D168" s="21"/>
      <c r="E168" s="21"/>
      <c r="F168" s="21"/>
      <c r="G168" s="21"/>
      <c r="H168" s="21"/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</row>
    <row r="169" spans="1:40" x14ac:dyDescent="0.25">
      <c r="A169" s="21"/>
      <c r="B169" s="21"/>
      <c r="C169" s="21"/>
      <c r="D169" s="21"/>
      <c r="E169" s="21"/>
      <c r="F169" s="21"/>
      <c r="G169" s="21"/>
      <c r="H169" s="21"/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</row>
    <row r="170" spans="1:40" x14ac:dyDescent="0.25">
      <c r="A170" s="21"/>
      <c r="B170" s="21"/>
      <c r="C170" s="21"/>
      <c r="D170" s="21"/>
      <c r="E170" s="21"/>
      <c r="F170" s="21"/>
      <c r="G170" s="21"/>
      <c r="H170" s="21"/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</row>
    <row r="171" spans="1:40" x14ac:dyDescent="0.25">
      <c r="A171" s="21"/>
      <c r="B171" s="21"/>
      <c r="C171" s="21"/>
      <c r="D171" s="21"/>
      <c r="E171" s="21"/>
      <c r="F171" s="21"/>
      <c r="G171" s="21"/>
      <c r="H171" s="21"/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</row>
    <row r="172" spans="1:40" x14ac:dyDescent="0.25">
      <c r="A172" s="21"/>
      <c r="B172" s="21"/>
      <c r="C172" s="21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</row>
    <row r="173" spans="1:40" x14ac:dyDescent="0.25">
      <c r="A173" s="21"/>
      <c r="B173" s="21"/>
      <c r="C173" s="21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</row>
    <row r="174" spans="1:40" x14ac:dyDescent="0.25">
      <c r="A174" s="21"/>
      <c r="B174" s="21"/>
      <c r="C174" s="21"/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</row>
    <row r="175" spans="1:40" x14ac:dyDescent="0.25">
      <c r="A175" s="21"/>
      <c r="B175" s="21"/>
      <c r="C175" s="21"/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</row>
    <row r="176" spans="1:40" x14ac:dyDescent="0.25">
      <c r="A176" s="21"/>
      <c r="B176" s="21"/>
      <c r="C176" s="21"/>
      <c r="D176" s="21"/>
      <c r="E176" s="21"/>
      <c r="F176" s="21"/>
      <c r="G176" s="21"/>
      <c r="H176" s="21"/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</row>
    <row r="177" spans="1:40" x14ac:dyDescent="0.25">
      <c r="A177" s="21"/>
      <c r="B177" s="21"/>
      <c r="C177" s="21"/>
      <c r="D177" s="21"/>
      <c r="E177" s="21"/>
      <c r="F177" s="21"/>
      <c r="G177" s="21"/>
      <c r="H177" s="21"/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</row>
    <row r="178" spans="1:40" x14ac:dyDescent="0.25">
      <c r="A178" s="21"/>
      <c r="B178" s="21"/>
      <c r="C178" s="21"/>
      <c r="D178" s="21"/>
      <c r="E178" s="21"/>
      <c r="F178" s="21"/>
      <c r="G178" s="21"/>
      <c r="H178" s="21"/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</row>
    <row r="179" spans="1:40" x14ac:dyDescent="0.25">
      <c r="A179" s="21"/>
      <c r="B179" s="21"/>
      <c r="C179" s="21"/>
      <c r="D179" s="21"/>
      <c r="E179" s="21"/>
      <c r="F179" s="21"/>
      <c r="G179" s="21"/>
      <c r="H179" s="21"/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</row>
    <row r="180" spans="1:40" x14ac:dyDescent="0.25">
      <c r="A180" s="21"/>
      <c r="B180" s="21"/>
      <c r="C180" s="21"/>
      <c r="D180" s="21"/>
      <c r="E180" s="21"/>
      <c r="F180" s="21"/>
      <c r="G180" s="21"/>
      <c r="H180" s="21"/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</row>
    <row r="181" spans="1:40" x14ac:dyDescent="0.25">
      <c r="A181" s="21"/>
      <c r="B181" s="21"/>
      <c r="C181" s="21"/>
      <c r="D181" s="21"/>
      <c r="E181" s="21"/>
      <c r="F181" s="21"/>
      <c r="G181" s="21"/>
      <c r="H181" s="21"/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</row>
    <row r="182" spans="1:40" x14ac:dyDescent="0.25">
      <c r="A182" s="21"/>
      <c r="B182" s="21"/>
      <c r="C182" s="21"/>
      <c r="D182" s="21"/>
      <c r="E182" s="21"/>
      <c r="F182" s="21"/>
      <c r="G182" s="21"/>
      <c r="H182" s="21"/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</row>
    <row r="183" spans="1:40" x14ac:dyDescent="0.25">
      <c r="A183" s="21"/>
      <c r="B183" s="21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</row>
    <row r="184" spans="1:40" x14ac:dyDescent="0.25">
      <c r="A184" s="21"/>
      <c r="B184" s="21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</row>
    <row r="185" spans="1:40" x14ac:dyDescent="0.25">
      <c r="A185" s="21"/>
      <c r="B185" s="21"/>
      <c r="C185" s="21"/>
      <c r="D185" s="21"/>
      <c r="E185" s="21"/>
      <c r="F185" s="21"/>
      <c r="G185" s="21"/>
      <c r="H185" s="21"/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</row>
    <row r="186" spans="1:40" x14ac:dyDescent="0.25">
      <c r="A186" s="21"/>
      <c r="B186" s="21"/>
      <c r="C186" s="21"/>
      <c r="D186" s="21"/>
      <c r="E186" s="21"/>
      <c r="F186" s="21"/>
      <c r="G186" s="21"/>
      <c r="H186" s="21"/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</row>
    <row r="187" spans="1:40" x14ac:dyDescent="0.25">
      <c r="A187" s="21"/>
      <c r="B187" s="21"/>
      <c r="C187" s="21"/>
      <c r="D187" s="21"/>
      <c r="E187" s="21"/>
      <c r="F187" s="21"/>
      <c r="G187" s="21"/>
      <c r="H187" s="21"/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</row>
    <row r="188" spans="1:40" x14ac:dyDescent="0.25">
      <c r="A188" s="21"/>
      <c r="B188" s="21"/>
      <c r="C188" s="21"/>
      <c r="D188" s="21"/>
      <c r="E188" s="21"/>
      <c r="F188" s="21"/>
      <c r="G188" s="21"/>
      <c r="H188" s="21"/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</row>
    <row r="189" spans="1:40" x14ac:dyDescent="0.25">
      <c r="A189" s="21"/>
      <c r="B189" s="21"/>
      <c r="C189" s="21"/>
      <c r="D189" s="21"/>
      <c r="E189" s="21"/>
      <c r="F189" s="21"/>
      <c r="G189" s="21"/>
      <c r="H189" s="21"/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</row>
    <row r="190" spans="1:40" x14ac:dyDescent="0.25">
      <c r="A190" s="21"/>
      <c r="B190" s="21"/>
      <c r="C190" s="21"/>
      <c r="D190" s="21"/>
      <c r="E190" s="21"/>
      <c r="F190" s="21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</row>
    <row r="191" spans="1:40" x14ac:dyDescent="0.25">
      <c r="A191" s="21"/>
      <c r="B191" s="21"/>
      <c r="C191" s="21"/>
      <c r="D191" s="21"/>
      <c r="E191" s="21"/>
      <c r="F191" s="21"/>
      <c r="G191" s="21"/>
      <c r="H191" s="21"/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</row>
    <row r="192" spans="1:40" x14ac:dyDescent="0.25">
      <c r="A192" s="21"/>
      <c r="B192" s="21"/>
      <c r="C192" s="21"/>
      <c r="D192" s="21"/>
      <c r="E192" s="21"/>
      <c r="F192" s="21"/>
      <c r="G192" s="21"/>
      <c r="H192" s="21"/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</row>
    <row r="193" spans="1:40" x14ac:dyDescent="0.25">
      <c r="A193" s="21"/>
      <c r="B193" s="21"/>
      <c r="C193" s="21"/>
      <c r="D193" s="21"/>
      <c r="E193" s="21"/>
      <c r="F193" s="21"/>
      <c r="G193" s="21"/>
      <c r="H193" s="21"/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</row>
    <row r="194" spans="1:40" x14ac:dyDescent="0.25">
      <c r="A194" s="21"/>
      <c r="B194" s="21"/>
      <c r="C194" s="21"/>
      <c r="D194" s="21"/>
      <c r="E194" s="21"/>
      <c r="F194" s="21"/>
      <c r="G194" s="21"/>
      <c r="H194" s="21"/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</row>
    <row r="195" spans="1:40" x14ac:dyDescent="0.25">
      <c r="A195" s="21"/>
      <c r="B195" s="21"/>
      <c r="C195" s="21"/>
      <c r="D195" s="21"/>
      <c r="E195" s="21"/>
      <c r="F195" s="21"/>
      <c r="G195" s="21"/>
      <c r="H195" s="21"/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</row>
    <row r="196" spans="1:40" x14ac:dyDescent="0.25">
      <c r="A196" s="21"/>
      <c r="B196" s="21"/>
      <c r="C196" s="21"/>
      <c r="D196" s="21"/>
      <c r="E196" s="21"/>
      <c r="F196" s="21"/>
      <c r="G196" s="21"/>
      <c r="H196" s="21"/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</row>
    <row r="197" spans="1:40" x14ac:dyDescent="0.25">
      <c r="A197" s="21"/>
      <c r="B197" s="21"/>
      <c r="C197" s="21"/>
      <c r="D197" s="21"/>
      <c r="E197" s="21"/>
      <c r="F197" s="21"/>
      <c r="G197" s="21"/>
      <c r="H197" s="21"/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</row>
    <row r="198" spans="1:40" x14ac:dyDescent="0.25">
      <c r="A198" s="21"/>
      <c r="B198" s="21"/>
      <c r="C198" s="21"/>
      <c r="D198" s="21"/>
      <c r="E198" s="21"/>
      <c r="F198" s="21"/>
      <c r="G198" s="21"/>
      <c r="H198" s="21"/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</row>
    <row r="199" spans="1:40" x14ac:dyDescent="0.25">
      <c r="A199" s="21"/>
      <c r="B199" s="21"/>
      <c r="C199" s="21"/>
      <c r="D199" s="21"/>
      <c r="E199" s="21"/>
      <c r="F199" s="21"/>
      <c r="G199" s="21"/>
      <c r="H199" s="21"/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</row>
    <row r="200" spans="1:40" x14ac:dyDescent="0.25">
      <c r="A200" s="21"/>
      <c r="B200" s="21"/>
      <c r="C200" s="21"/>
      <c r="D200" s="21"/>
      <c r="E200" s="21"/>
      <c r="F200" s="21"/>
      <c r="G200" s="21"/>
      <c r="H200" s="21"/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</row>
    <row r="201" spans="1:40" x14ac:dyDescent="0.25">
      <c r="A201" s="21"/>
      <c r="B201" s="21"/>
      <c r="C201" s="21"/>
      <c r="D201" s="21"/>
      <c r="E201" s="21"/>
      <c r="F201" s="21"/>
      <c r="G201" s="21"/>
      <c r="H201" s="21"/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</row>
    <row r="202" spans="1:40" x14ac:dyDescent="0.25">
      <c r="A202" s="21"/>
      <c r="B202" s="21"/>
      <c r="C202" s="21"/>
      <c r="D202" s="21"/>
      <c r="E202" s="21"/>
      <c r="F202" s="21"/>
      <c r="G202" s="21"/>
      <c r="H202" s="21"/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</row>
    <row r="203" spans="1:40" x14ac:dyDescent="0.25">
      <c r="A203" s="21"/>
      <c r="B203" s="21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</row>
    <row r="204" spans="1:40" x14ac:dyDescent="0.25">
      <c r="A204" s="21"/>
      <c r="B204" s="21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</row>
    <row r="205" spans="1:40" x14ac:dyDescent="0.25">
      <c r="A205" s="21"/>
      <c r="B205" s="21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</row>
    <row r="206" spans="1:40" x14ac:dyDescent="0.25">
      <c r="A206" s="21"/>
      <c r="B206" s="21"/>
      <c r="C206" s="21"/>
      <c r="D206" s="21"/>
      <c r="E206" s="21"/>
      <c r="F206" s="21"/>
      <c r="G206" s="21"/>
      <c r="H206" s="21"/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</row>
    <row r="207" spans="1:40" x14ac:dyDescent="0.25">
      <c r="A207" s="21"/>
      <c r="B207" s="21"/>
      <c r="C207" s="21"/>
      <c r="D207" s="21"/>
      <c r="E207" s="21"/>
      <c r="F207" s="21"/>
      <c r="G207" s="21"/>
      <c r="H207" s="21"/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</row>
    <row r="208" spans="1:40" x14ac:dyDescent="0.25">
      <c r="A208" s="21"/>
      <c r="B208" s="21"/>
      <c r="C208" s="21"/>
      <c r="D208" s="21"/>
      <c r="E208" s="21"/>
      <c r="F208" s="21"/>
      <c r="G208" s="21"/>
      <c r="H208" s="21"/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</row>
    <row r="209" spans="1:40" x14ac:dyDescent="0.25">
      <c r="A209" s="21"/>
      <c r="B209" s="21"/>
      <c r="C209" s="21"/>
      <c r="D209" s="21"/>
      <c r="E209" s="21"/>
      <c r="F209" s="21"/>
      <c r="G209" s="21"/>
      <c r="H209" s="21"/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</row>
    <row r="210" spans="1:40" x14ac:dyDescent="0.25">
      <c r="A210" s="21"/>
      <c r="B210" s="21"/>
      <c r="C210" s="21"/>
      <c r="D210" s="21"/>
      <c r="E210" s="21"/>
      <c r="F210" s="21"/>
      <c r="G210" s="21"/>
      <c r="H210" s="21"/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</row>
    <row r="211" spans="1:40" x14ac:dyDescent="0.25">
      <c r="A211" s="21"/>
      <c r="B211" s="21"/>
      <c r="C211" s="21"/>
      <c r="D211" s="21"/>
      <c r="E211" s="21"/>
      <c r="F211" s="21"/>
      <c r="G211" s="21"/>
      <c r="H211" s="21"/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</row>
    <row r="212" spans="1:40" x14ac:dyDescent="0.25">
      <c r="A212" s="21"/>
      <c r="B212" s="21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</row>
    <row r="213" spans="1:40" x14ac:dyDescent="0.25">
      <c r="A213" s="21"/>
      <c r="B213" s="21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</row>
    <row r="214" spans="1:40" x14ac:dyDescent="0.25">
      <c r="A214" s="21"/>
      <c r="B214" s="21"/>
      <c r="C214" s="21"/>
      <c r="D214" s="21"/>
      <c r="E214" s="21"/>
      <c r="F214" s="21"/>
      <c r="G214" s="21"/>
      <c r="H214" s="21"/>
      <c r="I214" s="21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</row>
    <row r="215" spans="1:40" x14ac:dyDescent="0.25">
      <c r="A215" s="21"/>
      <c r="B215" s="21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</row>
    <row r="216" spans="1:40" x14ac:dyDescent="0.25">
      <c r="A216" s="21"/>
      <c r="B216" s="21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</row>
    <row r="217" spans="1:40" x14ac:dyDescent="0.25">
      <c r="A217" s="21"/>
      <c r="B217" s="21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</row>
    <row r="218" spans="1:40" x14ac:dyDescent="0.25">
      <c r="A218" s="21"/>
      <c r="B218" s="21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</row>
    <row r="219" spans="1:40" x14ac:dyDescent="0.25">
      <c r="A219" s="21"/>
      <c r="B219" s="21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</row>
    <row r="220" spans="1:40" x14ac:dyDescent="0.25">
      <c r="A220" s="21"/>
      <c r="B220" s="21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</row>
    <row r="221" spans="1:40" x14ac:dyDescent="0.25">
      <c r="A221" s="21"/>
      <c r="B221" s="21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</row>
    <row r="222" spans="1:40" x14ac:dyDescent="0.25">
      <c r="A222" s="21"/>
      <c r="B222" s="21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</row>
    <row r="223" spans="1:40" x14ac:dyDescent="0.25">
      <c r="A223" s="21"/>
      <c r="B223" s="21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</row>
    <row r="224" spans="1:40" x14ac:dyDescent="0.25">
      <c r="A224" s="21"/>
      <c r="B224" s="21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</row>
    <row r="225" spans="1:40" x14ac:dyDescent="0.25">
      <c r="A225" s="21"/>
      <c r="B225" s="21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</row>
    <row r="226" spans="1:40" x14ac:dyDescent="0.25">
      <c r="A226" s="21"/>
      <c r="B226" s="21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</row>
    <row r="227" spans="1:40" x14ac:dyDescent="0.25">
      <c r="A227" s="21"/>
      <c r="B227" s="21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</row>
    <row r="228" spans="1:40" x14ac:dyDescent="0.25">
      <c r="A228" s="21"/>
      <c r="B228" s="21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</row>
    <row r="229" spans="1:40" x14ac:dyDescent="0.25">
      <c r="A229" s="21"/>
      <c r="B229" s="21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</row>
    <row r="230" spans="1:40" x14ac:dyDescent="0.25">
      <c r="A230" s="21"/>
      <c r="B230" s="21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</row>
    <row r="231" spans="1:40" x14ac:dyDescent="0.25">
      <c r="A231" s="21"/>
      <c r="B231" s="21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</row>
    <row r="232" spans="1:40" x14ac:dyDescent="0.25">
      <c r="A232" s="21"/>
      <c r="B232" s="21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</row>
    <row r="233" spans="1:40" x14ac:dyDescent="0.25">
      <c r="A233" s="21"/>
      <c r="B233" s="21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</row>
    <row r="234" spans="1:40" x14ac:dyDescent="0.25">
      <c r="A234" s="21"/>
      <c r="B234" s="21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</row>
    <row r="235" spans="1:40" x14ac:dyDescent="0.25">
      <c r="A235" s="21"/>
      <c r="B235" s="21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</row>
    <row r="236" spans="1:40" x14ac:dyDescent="0.25">
      <c r="A236" s="21"/>
      <c r="B236" s="21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</row>
    <row r="237" spans="1:40" x14ac:dyDescent="0.25">
      <c r="A237" s="21"/>
      <c r="B237" s="21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</row>
    <row r="238" spans="1:40" x14ac:dyDescent="0.25">
      <c r="A238" s="21"/>
      <c r="B238" s="21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</row>
    <row r="239" spans="1:40" x14ac:dyDescent="0.25">
      <c r="A239" s="21"/>
      <c r="B239" s="21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</row>
    <row r="240" spans="1:40" x14ac:dyDescent="0.25">
      <c r="A240" s="21"/>
      <c r="B240" s="21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</row>
    <row r="241" spans="1:40" x14ac:dyDescent="0.25">
      <c r="A241" s="21"/>
      <c r="B241" s="21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</row>
    <row r="242" spans="1:40" x14ac:dyDescent="0.25">
      <c r="A242" s="21"/>
      <c r="B242" s="21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</row>
    <row r="243" spans="1:40" x14ac:dyDescent="0.25">
      <c r="A243" s="21"/>
      <c r="B243" s="21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</row>
    <row r="244" spans="1:40" x14ac:dyDescent="0.25">
      <c r="A244" s="21"/>
      <c r="B244" s="21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</row>
    <row r="245" spans="1:40" x14ac:dyDescent="0.25">
      <c r="A245" s="21"/>
      <c r="B245" s="21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</row>
    <row r="246" spans="1:40" x14ac:dyDescent="0.25">
      <c r="A246" s="21"/>
      <c r="B246" s="21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</row>
    <row r="247" spans="1:40" x14ac:dyDescent="0.25">
      <c r="A247" s="21"/>
      <c r="B247" s="21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</row>
    <row r="248" spans="1:40" x14ac:dyDescent="0.25">
      <c r="A248" s="21"/>
      <c r="B248" s="21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</row>
    <row r="249" spans="1:40" x14ac:dyDescent="0.25">
      <c r="A249" s="21"/>
      <c r="B249" s="21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</row>
    <row r="250" spans="1:40" x14ac:dyDescent="0.25">
      <c r="A250" s="21"/>
      <c r="B250" s="21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</row>
    <row r="251" spans="1:40" x14ac:dyDescent="0.25">
      <c r="A251" s="21"/>
      <c r="B251" s="21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</row>
    <row r="252" spans="1:40" x14ac:dyDescent="0.25">
      <c r="A252" s="21"/>
      <c r="B252" s="21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</row>
    <row r="253" spans="1:40" x14ac:dyDescent="0.25">
      <c r="A253" s="21"/>
      <c r="B253" s="21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</row>
    <row r="254" spans="1:40" x14ac:dyDescent="0.25">
      <c r="A254" s="21"/>
      <c r="B254" s="21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</row>
    <row r="255" spans="1:40" x14ac:dyDescent="0.25">
      <c r="A255" s="21"/>
      <c r="B255" s="21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</row>
    <row r="256" spans="1:40" x14ac:dyDescent="0.25">
      <c r="A256" s="21"/>
      <c r="B256" s="21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</row>
    <row r="257" spans="1:40" x14ac:dyDescent="0.25">
      <c r="A257" s="21"/>
      <c r="B257" s="21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</row>
    <row r="258" spans="1:40" x14ac:dyDescent="0.25">
      <c r="A258" s="21"/>
      <c r="B258" s="21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</row>
    <row r="259" spans="1:40" x14ac:dyDescent="0.25">
      <c r="A259" s="21"/>
      <c r="B259" s="21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</row>
    <row r="260" spans="1:40" x14ac:dyDescent="0.25">
      <c r="A260" s="21"/>
      <c r="B260" s="21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</row>
    <row r="261" spans="1:40" x14ac:dyDescent="0.25">
      <c r="A261" s="21"/>
      <c r="B261" s="21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</row>
    <row r="262" spans="1:40" x14ac:dyDescent="0.25">
      <c r="A262" s="21"/>
      <c r="B262" s="21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</row>
    <row r="263" spans="1:40" x14ac:dyDescent="0.25">
      <c r="A263" s="21"/>
      <c r="B263" s="21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</row>
    <row r="264" spans="1:40" x14ac:dyDescent="0.25">
      <c r="A264" s="21"/>
      <c r="B264" s="21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</row>
    <row r="265" spans="1:40" x14ac:dyDescent="0.25">
      <c r="A265" s="21"/>
      <c r="B265" s="21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</row>
    <row r="266" spans="1:40" x14ac:dyDescent="0.25">
      <c r="A266" s="21"/>
      <c r="B266" s="21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</row>
    <row r="267" spans="1:40" x14ac:dyDescent="0.25">
      <c r="A267" s="21"/>
      <c r="B267" s="21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</row>
    <row r="268" spans="1:40" x14ac:dyDescent="0.25">
      <c r="A268" s="21"/>
      <c r="B268" s="21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</row>
    <row r="269" spans="1:40" x14ac:dyDescent="0.25">
      <c r="A269" s="21"/>
      <c r="B269" s="21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</row>
    <row r="270" spans="1:40" x14ac:dyDescent="0.25">
      <c r="A270" s="21"/>
      <c r="B270" s="21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</row>
    <row r="271" spans="1:40" x14ac:dyDescent="0.25">
      <c r="A271" s="21"/>
      <c r="B271" s="21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</row>
    <row r="272" spans="1:40" x14ac:dyDescent="0.25">
      <c r="A272" s="21"/>
      <c r="B272" s="21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</row>
    <row r="273" spans="1:40" x14ac:dyDescent="0.25">
      <c r="A273" s="21"/>
      <c r="B273" s="21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</row>
    <row r="274" spans="1:40" x14ac:dyDescent="0.25">
      <c r="A274" s="21"/>
      <c r="B274" s="21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</row>
    <row r="275" spans="1:40" x14ac:dyDescent="0.25">
      <c r="A275" s="21"/>
      <c r="B275" s="21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</row>
    <row r="276" spans="1:40" x14ac:dyDescent="0.25">
      <c r="A276" s="21"/>
      <c r="B276" s="21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</row>
    <row r="277" spans="1:40" x14ac:dyDescent="0.25">
      <c r="A277" s="21"/>
      <c r="B277" s="21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</row>
    <row r="278" spans="1:40" x14ac:dyDescent="0.25">
      <c r="A278" s="21"/>
      <c r="B278" s="21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</row>
    <row r="279" spans="1:40" x14ac:dyDescent="0.25">
      <c r="A279" s="21"/>
      <c r="B279" s="21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</row>
    <row r="280" spans="1:40" x14ac:dyDescent="0.25">
      <c r="A280" s="21"/>
      <c r="B280" s="21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</row>
    <row r="281" spans="1:40" x14ac:dyDescent="0.25">
      <c r="A281" s="21"/>
      <c r="B281" s="21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</row>
    <row r="282" spans="1:40" x14ac:dyDescent="0.25">
      <c r="A282" s="21"/>
      <c r="B282" s="21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</row>
    <row r="283" spans="1:40" x14ac:dyDescent="0.25">
      <c r="A283" s="21"/>
      <c r="B283" s="21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</row>
    <row r="284" spans="1:40" x14ac:dyDescent="0.25">
      <c r="A284" s="21"/>
      <c r="B284" s="21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</row>
    <row r="285" spans="1:40" x14ac:dyDescent="0.25">
      <c r="A285" s="21"/>
      <c r="B285" s="21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</row>
    <row r="286" spans="1:40" x14ac:dyDescent="0.25">
      <c r="A286" s="21"/>
      <c r="B286" s="21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</row>
    <row r="287" spans="1:40" x14ac:dyDescent="0.25">
      <c r="A287" s="21"/>
      <c r="B287" s="21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</row>
    <row r="288" spans="1:40" x14ac:dyDescent="0.25">
      <c r="A288" s="21"/>
      <c r="B288" s="21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</row>
    <row r="289" spans="1:40" x14ac:dyDescent="0.25">
      <c r="A289" s="21"/>
      <c r="B289" s="21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</row>
    <row r="290" spans="1:40" x14ac:dyDescent="0.25">
      <c r="A290" s="21"/>
      <c r="B290" s="21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</row>
    <row r="291" spans="1:40" x14ac:dyDescent="0.25">
      <c r="A291" s="21"/>
      <c r="B291" s="21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</row>
    <row r="292" spans="1:40" x14ac:dyDescent="0.25">
      <c r="A292" s="21"/>
      <c r="B292" s="21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</row>
    <row r="293" spans="1:40" x14ac:dyDescent="0.25">
      <c r="A293" s="21"/>
      <c r="B293" s="21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</row>
    <row r="294" spans="1:40" x14ac:dyDescent="0.25">
      <c r="A294" s="21"/>
      <c r="B294" s="21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</row>
    <row r="295" spans="1:40" x14ac:dyDescent="0.25">
      <c r="A295" s="21"/>
      <c r="B295" s="21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</row>
    <row r="296" spans="1:40" x14ac:dyDescent="0.25">
      <c r="A296" s="21"/>
      <c r="B296" s="21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</row>
    <row r="297" spans="1:40" x14ac:dyDescent="0.25">
      <c r="A297" s="21"/>
      <c r="B297" s="21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</row>
    <row r="298" spans="1:40" x14ac:dyDescent="0.25">
      <c r="A298" s="21"/>
      <c r="B298" s="21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</row>
    <row r="299" spans="1:40" x14ac:dyDescent="0.25">
      <c r="A299" s="21"/>
      <c r="B299" s="21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</row>
    <row r="300" spans="1:40" x14ac:dyDescent="0.25">
      <c r="A300" s="21"/>
      <c r="B300" s="21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</row>
    <row r="301" spans="1:40" x14ac:dyDescent="0.25">
      <c r="A301" s="21"/>
      <c r="B301" s="21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</row>
    <row r="302" spans="1:40" x14ac:dyDescent="0.25">
      <c r="A302" s="21"/>
      <c r="B302" s="21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</row>
    <row r="303" spans="1:40" x14ac:dyDescent="0.25">
      <c r="A303" s="21"/>
      <c r="B303" s="21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</row>
    <row r="304" spans="1:40" x14ac:dyDescent="0.25">
      <c r="A304" s="21"/>
      <c r="B304" s="21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</row>
    <row r="305" spans="1:40" x14ac:dyDescent="0.25">
      <c r="A305" s="21"/>
      <c r="B305" s="21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</row>
    <row r="306" spans="1:40" x14ac:dyDescent="0.25">
      <c r="A306" s="21"/>
      <c r="B306" s="21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</row>
    <row r="307" spans="1:40" x14ac:dyDescent="0.25">
      <c r="A307" s="21"/>
      <c r="B307" s="21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</row>
    <row r="308" spans="1:40" x14ac:dyDescent="0.25">
      <c r="A308" s="21"/>
      <c r="B308" s="21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</row>
    <row r="309" spans="1:40" x14ac:dyDescent="0.25">
      <c r="A309" s="21"/>
      <c r="B309" s="21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</row>
    <row r="310" spans="1:40" x14ac:dyDescent="0.25">
      <c r="A310" s="21"/>
      <c r="B310" s="21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</row>
    <row r="311" spans="1:40" x14ac:dyDescent="0.25">
      <c r="A311" s="21"/>
      <c r="B311" s="21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</row>
    <row r="312" spans="1:40" x14ac:dyDescent="0.25">
      <c r="A312" s="21"/>
      <c r="B312" s="21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</row>
    <row r="313" spans="1:40" x14ac:dyDescent="0.25">
      <c r="A313" s="21"/>
      <c r="B313" s="21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</row>
    <row r="314" spans="1:40" x14ac:dyDescent="0.25">
      <c r="A314" s="21"/>
      <c r="B314" s="21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</row>
    <row r="315" spans="1:40" x14ac:dyDescent="0.25">
      <c r="A315" s="21"/>
      <c r="B315" s="21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</row>
    <row r="316" spans="1:40" x14ac:dyDescent="0.25">
      <c r="A316" s="21"/>
      <c r="B316" s="21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</row>
    <row r="317" spans="1:40" x14ac:dyDescent="0.25">
      <c r="A317" s="21"/>
      <c r="B317" s="21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</row>
    <row r="318" spans="1:40" x14ac:dyDescent="0.25">
      <c r="A318" s="21"/>
      <c r="B318" s="21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</row>
    <row r="319" spans="1:40" x14ac:dyDescent="0.25">
      <c r="A319" s="21"/>
      <c r="B319" s="21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</row>
    <row r="320" spans="1:40" x14ac:dyDescent="0.25">
      <c r="A320" s="21"/>
      <c r="B320" s="21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</row>
    <row r="321" spans="1:40" x14ac:dyDescent="0.25">
      <c r="A321" s="21"/>
      <c r="B321" s="21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</row>
    <row r="322" spans="1:40" x14ac:dyDescent="0.25">
      <c r="A322" s="21"/>
      <c r="B322" s="21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</row>
    <row r="323" spans="1:40" x14ac:dyDescent="0.25">
      <c r="A323" s="21"/>
      <c r="B323" s="21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</row>
    <row r="324" spans="1:40" x14ac:dyDescent="0.25">
      <c r="A324" s="21"/>
      <c r="B324" s="21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</row>
    <row r="325" spans="1:40" x14ac:dyDescent="0.25">
      <c r="A325" s="21"/>
      <c r="B325" s="21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</row>
    <row r="326" spans="1:40" x14ac:dyDescent="0.25">
      <c r="A326" s="21"/>
      <c r="B326" s="21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</row>
    <row r="327" spans="1:40" x14ac:dyDescent="0.25">
      <c r="A327" s="21"/>
      <c r="B327" s="21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</row>
    <row r="328" spans="1:40" x14ac:dyDescent="0.25">
      <c r="A328" s="21"/>
      <c r="B328" s="21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</row>
    <row r="329" spans="1:40" x14ac:dyDescent="0.25">
      <c r="A329" s="21"/>
      <c r="B329" s="21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</row>
    <row r="330" spans="1:40" x14ac:dyDescent="0.25">
      <c r="A330" s="21"/>
      <c r="B330" s="21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</row>
    <row r="331" spans="1:40" x14ac:dyDescent="0.25">
      <c r="A331" s="21"/>
      <c r="B331" s="21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</row>
    <row r="332" spans="1:40" x14ac:dyDescent="0.25">
      <c r="A332" s="21"/>
      <c r="B332" s="21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</row>
    <row r="333" spans="1:40" x14ac:dyDescent="0.25">
      <c r="A333" s="21"/>
      <c r="B333" s="21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</row>
    <row r="334" spans="1:40" x14ac:dyDescent="0.25">
      <c r="A334" s="21"/>
      <c r="B334" s="21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</row>
    <row r="335" spans="1:40" x14ac:dyDescent="0.25">
      <c r="A335" s="21"/>
      <c r="B335" s="21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</row>
    <row r="336" spans="1:40" x14ac:dyDescent="0.25">
      <c r="A336" s="21"/>
      <c r="B336" s="21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</row>
    <row r="337" spans="1:40" x14ac:dyDescent="0.25">
      <c r="A337" s="21"/>
      <c r="B337" s="21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</row>
    <row r="338" spans="1:40" x14ac:dyDescent="0.25">
      <c r="A338" s="21"/>
      <c r="B338" s="21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</row>
    <row r="339" spans="1:40" x14ac:dyDescent="0.25">
      <c r="A339" s="21"/>
      <c r="B339" s="21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</row>
    <row r="340" spans="1:40" x14ac:dyDescent="0.25">
      <c r="A340" s="21"/>
      <c r="B340" s="21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</row>
    <row r="341" spans="1:40" x14ac:dyDescent="0.25">
      <c r="A341" s="21"/>
      <c r="B341" s="21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</row>
    <row r="342" spans="1:40" x14ac:dyDescent="0.25">
      <c r="A342" s="21"/>
      <c r="B342" s="21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</row>
    <row r="343" spans="1:40" x14ac:dyDescent="0.25">
      <c r="A343" s="21"/>
      <c r="B343" s="21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</row>
    <row r="344" spans="1:40" x14ac:dyDescent="0.25">
      <c r="A344" s="21"/>
      <c r="B344" s="21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</row>
    <row r="345" spans="1:40" x14ac:dyDescent="0.25">
      <c r="A345" s="21"/>
      <c r="B345" s="21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</row>
    <row r="346" spans="1:40" x14ac:dyDescent="0.25">
      <c r="A346" s="21"/>
      <c r="B346" s="21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</row>
    <row r="347" spans="1:40" x14ac:dyDescent="0.25">
      <c r="A347" s="21"/>
      <c r="B347" s="21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</row>
    <row r="348" spans="1:40" x14ac:dyDescent="0.25">
      <c r="A348" s="21"/>
      <c r="B348" s="21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</row>
    <row r="349" spans="1:40" x14ac:dyDescent="0.25">
      <c r="A349" s="21"/>
      <c r="B349" s="21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</row>
    <row r="350" spans="1:40" x14ac:dyDescent="0.25">
      <c r="A350" s="21"/>
      <c r="B350" s="21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</row>
    <row r="351" spans="1:40" x14ac:dyDescent="0.25">
      <c r="A351" s="21"/>
      <c r="B351" s="21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</row>
    <row r="352" spans="1:40" x14ac:dyDescent="0.25">
      <c r="A352" s="21"/>
      <c r="B352" s="21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</row>
    <row r="353" spans="1:40" x14ac:dyDescent="0.25">
      <c r="A353" s="21"/>
      <c r="B353" s="21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</row>
    <row r="354" spans="1:40" x14ac:dyDescent="0.25">
      <c r="A354" s="21"/>
      <c r="B354" s="21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</row>
    <row r="355" spans="1:40" x14ac:dyDescent="0.25">
      <c r="A355" s="21"/>
      <c r="B355" s="21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</row>
    <row r="356" spans="1:40" x14ac:dyDescent="0.25">
      <c r="A356" s="21"/>
      <c r="B356" s="21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</row>
    <row r="357" spans="1:40" x14ac:dyDescent="0.25">
      <c r="A357" s="21"/>
      <c r="B357" s="21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</row>
    <row r="358" spans="1:40" x14ac:dyDescent="0.25">
      <c r="A358" s="21"/>
      <c r="B358" s="21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</row>
    <row r="359" spans="1:40" x14ac:dyDescent="0.25">
      <c r="A359" s="21"/>
      <c r="B359" s="21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</row>
    <row r="360" spans="1:40" x14ac:dyDescent="0.25">
      <c r="A360" s="21"/>
      <c r="B360" s="21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</row>
    <row r="361" spans="1:40" x14ac:dyDescent="0.25">
      <c r="A361" s="21"/>
      <c r="B361" s="21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</row>
    <row r="362" spans="1:40" x14ac:dyDescent="0.25">
      <c r="A362" s="21"/>
      <c r="B362" s="21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</row>
    <row r="363" spans="1:40" x14ac:dyDescent="0.25">
      <c r="A363" s="21"/>
      <c r="B363" s="21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</row>
    <row r="364" spans="1:40" x14ac:dyDescent="0.25">
      <c r="A364" s="21"/>
      <c r="B364" s="21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</row>
    <row r="365" spans="1:40" x14ac:dyDescent="0.25">
      <c r="A365" s="21"/>
      <c r="B365" s="21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</row>
    <row r="366" spans="1:40" x14ac:dyDescent="0.25">
      <c r="A366" s="21"/>
      <c r="B366" s="21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</row>
    <row r="367" spans="1:40" x14ac:dyDescent="0.25">
      <c r="A367" s="21"/>
      <c r="B367" s="21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</row>
    <row r="368" spans="1:40" x14ac:dyDescent="0.25">
      <c r="A368" s="21"/>
      <c r="B368" s="21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</row>
    <row r="369" spans="1:40" x14ac:dyDescent="0.25">
      <c r="A369" s="21"/>
      <c r="B369" s="21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</row>
    <row r="370" spans="1:40" x14ac:dyDescent="0.25">
      <c r="A370" s="21"/>
      <c r="B370" s="21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</row>
    <row r="371" spans="1:40" x14ac:dyDescent="0.25">
      <c r="A371" s="21"/>
      <c r="B371" s="21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</row>
    <row r="372" spans="1:40" x14ac:dyDescent="0.25">
      <c r="A372" s="21"/>
      <c r="B372" s="21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</row>
    <row r="373" spans="1:40" x14ac:dyDescent="0.25">
      <c r="A373" s="21"/>
      <c r="B373" s="21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</row>
    <row r="374" spans="1:40" x14ac:dyDescent="0.25">
      <c r="A374" s="21"/>
      <c r="B374" s="21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</row>
    <row r="375" spans="1:40" x14ac:dyDescent="0.25">
      <c r="A375" s="21"/>
      <c r="B375" s="21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</row>
    <row r="376" spans="1:40" x14ac:dyDescent="0.25">
      <c r="A376" s="21"/>
      <c r="B376" s="21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</row>
    <row r="377" spans="1:40" x14ac:dyDescent="0.25">
      <c r="A377" s="21"/>
      <c r="B377" s="21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</row>
    <row r="378" spans="1:40" x14ac:dyDescent="0.25">
      <c r="A378" s="21"/>
      <c r="B378" s="21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</row>
    <row r="379" spans="1:40" x14ac:dyDescent="0.25">
      <c r="A379" s="21"/>
      <c r="B379" s="21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</row>
    <row r="380" spans="1:40" x14ac:dyDescent="0.25">
      <c r="A380" s="21"/>
      <c r="B380" s="21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</row>
    <row r="381" spans="1:40" x14ac:dyDescent="0.25">
      <c r="A381" s="21"/>
      <c r="B381" s="21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</row>
    <row r="382" spans="1:40" x14ac:dyDescent="0.25">
      <c r="A382" s="21"/>
      <c r="B382" s="21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</row>
    <row r="383" spans="1:40" x14ac:dyDescent="0.25">
      <c r="A383" s="21"/>
      <c r="B383" s="21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</row>
    <row r="384" spans="1:40" x14ac:dyDescent="0.25">
      <c r="A384" s="21"/>
      <c r="B384" s="21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</row>
    <row r="385" spans="1:40" x14ac:dyDescent="0.25">
      <c r="A385" s="21"/>
      <c r="B385" s="21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</row>
    <row r="386" spans="1:40" x14ac:dyDescent="0.25">
      <c r="A386" s="21"/>
      <c r="B386" s="21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</row>
    <row r="387" spans="1:40" x14ac:dyDescent="0.25">
      <c r="A387" s="21"/>
      <c r="B387" s="21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</row>
    <row r="388" spans="1:40" x14ac:dyDescent="0.25">
      <c r="A388" s="21"/>
      <c r="B388" s="21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</row>
    <row r="389" spans="1:40" x14ac:dyDescent="0.25">
      <c r="A389" s="21"/>
      <c r="B389" s="21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</row>
    <row r="390" spans="1:40" x14ac:dyDescent="0.25">
      <c r="A390" s="21"/>
      <c r="B390" s="21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</row>
    <row r="391" spans="1:40" x14ac:dyDescent="0.25">
      <c r="A391" s="21"/>
      <c r="B391" s="21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</row>
    <row r="392" spans="1:40" x14ac:dyDescent="0.25">
      <c r="A392" s="21"/>
      <c r="B392" s="21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</row>
    <row r="393" spans="1:40" x14ac:dyDescent="0.25">
      <c r="A393" s="21"/>
      <c r="B393" s="21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</row>
    <row r="394" spans="1:40" x14ac:dyDescent="0.25">
      <c r="A394" s="21"/>
      <c r="B394" s="21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</row>
    <row r="395" spans="1:40" x14ac:dyDescent="0.25">
      <c r="A395" s="21"/>
      <c r="B395" s="21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</row>
    <row r="396" spans="1:40" x14ac:dyDescent="0.25">
      <c r="A396" s="21"/>
      <c r="B396" s="21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</row>
    <row r="397" spans="1:40" x14ac:dyDescent="0.25">
      <c r="A397" s="21"/>
      <c r="B397" s="21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</row>
    <row r="398" spans="1:40" x14ac:dyDescent="0.25">
      <c r="A398" s="21"/>
      <c r="B398" s="21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</row>
    <row r="399" spans="1:40" x14ac:dyDescent="0.25">
      <c r="A399" s="21"/>
      <c r="B399" s="21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</row>
    <row r="400" spans="1:40" x14ac:dyDescent="0.25">
      <c r="A400" s="21"/>
      <c r="B400" s="21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</row>
    <row r="401" spans="1:40" x14ac:dyDescent="0.25">
      <c r="A401" s="21"/>
      <c r="B401" s="21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</row>
    <row r="402" spans="1:40" x14ac:dyDescent="0.25">
      <c r="A402" s="21"/>
      <c r="B402" s="21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</row>
    <row r="403" spans="1:40" x14ac:dyDescent="0.25">
      <c r="A403" s="21"/>
      <c r="B403" s="21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</row>
    <row r="404" spans="1:40" x14ac:dyDescent="0.25">
      <c r="A404" s="21"/>
      <c r="B404" s="21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</row>
    <row r="405" spans="1:40" x14ac:dyDescent="0.25">
      <c r="A405" s="21"/>
      <c r="B405" s="21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</row>
    <row r="406" spans="1:40" x14ac:dyDescent="0.25">
      <c r="A406" s="21"/>
      <c r="B406" s="21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</row>
    <row r="407" spans="1:40" x14ac:dyDescent="0.25">
      <c r="A407" s="21"/>
      <c r="B407" s="21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</row>
    <row r="408" spans="1:40" x14ac:dyDescent="0.25">
      <c r="A408" s="21"/>
      <c r="B408" s="21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</row>
    <row r="409" spans="1:40" x14ac:dyDescent="0.25">
      <c r="A409" s="21"/>
      <c r="B409" s="21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</row>
    <row r="410" spans="1:40" x14ac:dyDescent="0.25">
      <c r="A410" s="21"/>
      <c r="B410" s="21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</row>
    <row r="411" spans="1:40" x14ac:dyDescent="0.25">
      <c r="A411" s="21"/>
      <c r="B411" s="21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</row>
    <row r="412" spans="1:40" x14ac:dyDescent="0.25">
      <c r="A412" s="21"/>
      <c r="B412" s="21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</row>
    <row r="413" spans="1:40" x14ac:dyDescent="0.25">
      <c r="A413" s="21"/>
      <c r="B413" s="21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</row>
    <row r="414" spans="1:40" x14ac:dyDescent="0.25">
      <c r="A414" s="21"/>
      <c r="B414" s="21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</row>
    <row r="415" spans="1:40" x14ac:dyDescent="0.25">
      <c r="A415" s="21"/>
      <c r="B415" s="21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</row>
    <row r="416" spans="1:40" x14ac:dyDescent="0.25">
      <c r="A416" s="21"/>
      <c r="B416" s="21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</row>
    <row r="417" spans="1:40" x14ac:dyDescent="0.25">
      <c r="A417" s="21"/>
      <c r="B417" s="21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</row>
    <row r="418" spans="1:40" x14ac:dyDescent="0.25">
      <c r="A418" s="21"/>
      <c r="B418" s="21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</row>
    <row r="419" spans="1:40" x14ac:dyDescent="0.25">
      <c r="A419" s="21"/>
      <c r="B419" s="21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</row>
    <row r="420" spans="1:40" x14ac:dyDescent="0.25">
      <c r="A420" s="21"/>
      <c r="B420" s="21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</row>
    <row r="421" spans="1:40" x14ac:dyDescent="0.25">
      <c r="A421" s="21"/>
      <c r="B421" s="21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</row>
    <row r="422" spans="1:40" x14ac:dyDescent="0.25">
      <c r="A422" s="21"/>
      <c r="B422" s="21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</row>
    <row r="423" spans="1:40" x14ac:dyDescent="0.25">
      <c r="A423" s="21"/>
      <c r="B423" s="21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</row>
    <row r="424" spans="1:40" x14ac:dyDescent="0.25">
      <c r="A424" s="21"/>
      <c r="B424" s="21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</row>
    <row r="425" spans="1:40" x14ac:dyDescent="0.25">
      <c r="A425" s="21"/>
      <c r="B425" s="21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</row>
    <row r="426" spans="1:40" x14ac:dyDescent="0.25">
      <c r="A426" s="21"/>
      <c r="B426" s="21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</row>
    <row r="427" spans="1:40" x14ac:dyDescent="0.25">
      <c r="A427" s="21"/>
      <c r="B427" s="21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</row>
    <row r="428" spans="1:40" x14ac:dyDescent="0.25">
      <c r="A428" s="21"/>
      <c r="B428" s="21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</row>
    <row r="429" spans="1:40" x14ac:dyDescent="0.25">
      <c r="A429" s="21"/>
      <c r="B429" s="21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</row>
    <row r="430" spans="1:40" x14ac:dyDescent="0.25">
      <c r="A430" s="21"/>
      <c r="B430" s="21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</row>
    <row r="431" spans="1:40" x14ac:dyDescent="0.25">
      <c r="A431" s="21"/>
      <c r="B431" s="21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</row>
    <row r="432" spans="1:40" x14ac:dyDescent="0.25">
      <c r="A432" s="21"/>
      <c r="B432" s="21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</row>
    <row r="433" spans="1:40" x14ac:dyDescent="0.25">
      <c r="A433" s="21"/>
      <c r="B433" s="21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</row>
    <row r="434" spans="1:40" x14ac:dyDescent="0.25">
      <c r="A434" s="21"/>
      <c r="B434" s="21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</row>
    <row r="435" spans="1:40" x14ac:dyDescent="0.25">
      <c r="A435" s="21"/>
      <c r="B435" s="21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</row>
    <row r="436" spans="1:40" x14ac:dyDescent="0.25">
      <c r="A436" s="21"/>
      <c r="B436" s="21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</row>
    <row r="437" spans="1:40" x14ac:dyDescent="0.25">
      <c r="A437" s="21"/>
      <c r="B437" s="21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</row>
    <row r="438" spans="1:40" x14ac:dyDescent="0.25">
      <c r="A438" s="21"/>
      <c r="B438" s="21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</row>
    <row r="439" spans="1:40" x14ac:dyDescent="0.25">
      <c r="A439" s="21"/>
      <c r="B439" s="21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</row>
    <row r="440" spans="1:40" x14ac:dyDescent="0.25">
      <c r="A440" s="21"/>
      <c r="B440" s="21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</row>
    <row r="441" spans="1:40" x14ac:dyDescent="0.25">
      <c r="A441" s="21"/>
      <c r="B441" s="21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</row>
    <row r="442" spans="1:40" x14ac:dyDescent="0.25">
      <c r="A442" s="21"/>
      <c r="B442" s="21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</row>
    <row r="443" spans="1:40" x14ac:dyDescent="0.25">
      <c r="A443" s="21"/>
      <c r="B443" s="21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</row>
    <row r="444" spans="1:40" x14ac:dyDescent="0.25">
      <c r="A444" s="21"/>
      <c r="B444" s="21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</row>
    <row r="445" spans="1:40" x14ac:dyDescent="0.25">
      <c r="A445" s="21"/>
      <c r="B445" s="21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</row>
    <row r="446" spans="1:40" x14ac:dyDescent="0.25">
      <c r="A446" s="21"/>
      <c r="B446" s="21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</row>
    <row r="447" spans="1:40" x14ac:dyDescent="0.25">
      <c r="A447" s="21"/>
      <c r="B447" s="21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</row>
    <row r="448" spans="1:40" x14ac:dyDescent="0.25">
      <c r="A448" s="21"/>
      <c r="B448" s="21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</row>
    <row r="449" spans="1:40" x14ac:dyDescent="0.25">
      <c r="A449" s="21"/>
      <c r="B449" s="21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</row>
    <row r="450" spans="1:40" x14ac:dyDescent="0.25">
      <c r="A450" s="21"/>
      <c r="B450" s="21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</row>
    <row r="451" spans="1:40" x14ac:dyDescent="0.25">
      <c r="A451" s="21"/>
      <c r="B451" s="21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</row>
    <row r="452" spans="1:40" x14ac:dyDescent="0.25">
      <c r="A452" s="21"/>
      <c r="B452" s="21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</row>
    <row r="453" spans="1:40" x14ac:dyDescent="0.25">
      <c r="A453" s="21"/>
      <c r="B453" s="21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</row>
    <row r="454" spans="1:40" x14ac:dyDescent="0.25">
      <c r="A454" s="21"/>
      <c r="B454" s="21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</row>
    <row r="455" spans="1:40" x14ac:dyDescent="0.25">
      <c r="A455" s="21"/>
      <c r="B455" s="21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</row>
    <row r="456" spans="1:40" x14ac:dyDescent="0.25">
      <c r="A456" s="21"/>
      <c r="B456" s="21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</row>
    <row r="457" spans="1:40" x14ac:dyDescent="0.25">
      <c r="A457" s="21"/>
      <c r="B457" s="21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</row>
    <row r="458" spans="1:40" x14ac:dyDescent="0.25">
      <c r="A458" s="21"/>
      <c r="B458" s="21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</row>
    <row r="459" spans="1:40" x14ac:dyDescent="0.25">
      <c r="A459" s="21"/>
      <c r="B459" s="21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</row>
    <row r="460" spans="1:40" x14ac:dyDescent="0.25">
      <c r="A460" s="21"/>
      <c r="B460" s="21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</row>
  </sheetData>
  <pageMargins left="0.7" right="0.7" top="0.75" bottom="0.75" header="0.3" footer="0.3"/>
  <pageSetup paperSize="9" orientation="portrait" horizontalDpi="0" verticalDpi="0" r:id="rId2"/>
  <drawing r:id="rId3"/>
  <tableParts count="4">
    <tablePart r:id="rId4"/>
    <tablePart r:id="rId5"/>
    <tablePart r:id="rId6"/>
    <tablePart r:id="rId7"/>
  </tableParts>
  <extLst>
    <ext xmlns:x14="http://schemas.microsoft.com/office/spreadsheetml/2009/9/main" uri="{A8765BA9-456A-4dab-B4F3-ACF838C121DE}">
      <x14:slicerList>
        <x14:slicer r:id="rId8"/>
      </x14:slicerList>
    </ext>
  </extLst>
</worksheet>
</file>

<file path=customUI/_rels/customUI14.xml.rels><?xml version="1.0" encoding="UTF-8" standalone="yes"?>
<Relationships xmlns="http://schemas.openxmlformats.org/package/2006/relationships"><Relationship Id="btn-down" Type="http://schemas.openxmlformats.org/officeDocument/2006/relationships/image" Target="images/btn-down.png"/><Relationship Id="btn-update" Type="http://schemas.openxmlformats.org/officeDocument/2006/relationships/image" Target="images/btn-update.png"/><Relationship Id="select-list" Type="http://schemas.openxmlformats.org/officeDocument/2006/relationships/image" Target="images/select-list.png"/><Relationship Id="Periods" Type="http://schemas.openxmlformats.org/officeDocument/2006/relationships/image" Target="images/Periods.png"/><Relationship Id="btn-list" Type="http://schemas.openxmlformats.org/officeDocument/2006/relationships/image" Target="images/btn-list.png"/><Relationship Id="Main" Type="http://schemas.openxmlformats.org/officeDocument/2006/relationships/image" Target="images/Main.png"/><Relationship Id="btn-prev" Type="http://schemas.openxmlformats.org/officeDocument/2006/relationships/image" Target="images/btn-prev.png"/><Relationship Id="btn-resize" Type="http://schemas.openxmlformats.org/officeDocument/2006/relationships/image" Target="images/btn-resize.png"/><Relationship Id="btn-up" Type="http://schemas.openxmlformats.org/officeDocument/2006/relationships/image" Target="images/btn-up.png"/><Relationship Id="btn-config" Type="http://schemas.openxmlformats.org/officeDocument/2006/relationships/image" Target="images/btn-config.png"/><Relationship Id="btn-next" Type="http://schemas.openxmlformats.org/officeDocument/2006/relationships/image" Target="images/btn-next.png"/></Relationships>
</file>

<file path=customUI/customUI14.xml><?xml version="1.0" encoding="utf-8"?>
<customUI xmlns="http://schemas.microsoft.com/office/2009/07/customui" onLoad="RibbonOnLoad">
  <ribbon startFromScratch="false">
    <tabs>
      <tab id="SocialControl" label="Управление услугами" getVisible="GetVisible" tag="XSocialControl">
        <group id="Transitions" label="Перемещения по страницам" getVisible="GetterVisible" tag="GTran">
          <button id="MainID" label="Домой" image="Main" size="large" onAction="MainClick"/>
          <menu id="SelectListID" label="Выбрать страницу" image="select-list" size="large">
            <button id="onMainID" label="Домой" image="Main" onAction="MainClick"/>
            <button id="onMonthID" label="Месяцы" image="btn-list" onAction="MonthClick"/>
            <button id="onDurationID" label="Периоды" image="Periods" onAction="DurationClick"/>
            <button id="GYearsID" label="Год" imageMso="DatasheetView" onAction="YearsBtnClick"/>
          </menu>
          <button id="PrevID" label="Предыдущая" image="btn-prev" size="large" onAction="PrevClick"/>
          <button id="NextID" label="Следующая" image="btn-next" size="large" onAction="NextClick"/>
        </group>
        <group id="XTransitions" label="Перемещения по страницам" getVisible="GetterVisible" tag="XTran">
          <button id="XMain" label="Домой" image="Main" size="large" onAction="MainClick"/>
          <menu id="XSelectListID" label="Выбрать страницу" image="select-list" size="large">
            <button id="XMainID" label="Домой" image="Main" onAction="MainClick"/>
            <button id="XMonthID" label="Месяцы" image="btn-list" onAction="MonthClick"/>
            <button id="XDurationID" label="Периоды" image="Periods" onAction="DurationClick"/>
            <button id="XYearsID" label="Год" imageMso="DatasheetView" onAction="YearsBtnClick"/>
          </menu>
          <button id="XPrevID" label="Предыдущая" image="btn-prev" size="large" onAction="PrevClick"/>
          <button id="XNextID" label="Следующая" image="btn-next" size="large" onAction="NextClick"/>
        </group>
        <group id="TransitionsID" label="Перемещения по страницам" getVisible="GetterVisible" tag="MyTran">
          <button id="MyMain" label="Домой" image="Main" size="large" onAction="MainClick"/>
          <menu id="MySelectListID" label="Выбрать страницу" image="select-list" size="large">
            <button id="MyMainID" label="Домой" image="Main" onAction="MainClick"/>
            <button id="MyMonthID" label="Месяцы" image="btn-list" onAction="MonthClick"/>
            <button id="MyDurationID" label="Периоды" image="Periods" onAction="DurationClick"/>
            <button id="MyYearsID" label="Год" imageMso="DatasheetView" onAction="YearsBtnClick"/>
          </menu>
          <button id="MyBtnUpID" label="Вверх" image="btn-up" size="large" onAction="UpClick"/>
          <button id="MyBtnDownID" label="Вниз" image="btn-down" size="large" onAction="DownClick"/>
          <button id="MyPrevID" label="Предыдущая" image="btn-prev" size="large" onAction="PrevClick"/>
          <button id="MyNextID" label="Следующая" image="btn-next" size="large" onAction="NextClick"/>
        </group>
        <group id="SocialEditorID" label="Редактирование" getVisible="GetterVisible" tag="MyEdit">
          <button id="BtnExpandID" label="Развернуть" imageMso="PivotExpandField" size="large" onAction="BtnExpandClick"/>
          <button id="BtnCollapseID" label="Свернуть" imageMso="PivotCollapseField" size="large" onAction="BtnCollapseClick"/>
          <button id="BtnFitSizesID" label="Подогнать размеры" image="btn-resize" size="large" onAction="BtnFitSizesClick"/>
          <button id="MyUpdateMonth" label="Обновить" image="btn-update" size="large" onAction="UpdateClick"/>
        </group>
        <group id="MyConfigurationID" label="Настройки" getVisible="GetterVisible" tag="GConf">
          <button id="MyBtnConfID" label="Настройки" image="btn-config" size="large" onAction="ConfigClick"/>
        </group>
        <group id="ConfigurationID" label="Настройки" getVisible="GetterVisible" tag="MyConf">
          <button id="BtnConfID" label="Настройки" image="btn-config" size="large" onAction="ConfigClick"/>
        </group>
        <group id="XConfigurationID" label="Настройки" getVisible="GetterVisible" tag="XConf">
          <button id="XBtnConfID" label="Настройки" image="btn-config" size="large" onAction="ConfigClick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8D4246-49D0-4C41-9642-E4F747C24F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Настройки</vt:lpstr>
      <vt:lpstr>Главная</vt:lpstr>
      <vt:lpstr>Месяцы</vt:lpstr>
      <vt:lpstr>Период</vt:lpstr>
      <vt:lpstr>Год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utv2</cp:lastModifiedBy>
  <cp:lastPrinted>2023-03-23T16:10:36Z</cp:lastPrinted>
  <dcterms:created xsi:type="dcterms:W3CDTF">2006-09-16T00:00:00Z</dcterms:created>
  <dcterms:modified xsi:type="dcterms:W3CDTF">2026-03-25T11:48:12Z</dcterms:modified>
</cp:coreProperties>
</file>